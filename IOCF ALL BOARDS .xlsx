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Board Credits &amp; Important U" sheetId="1" r:id="rId5"/>
    <sheet state="visible" name="IOCF 2.0" sheetId="2" r:id="rId6"/>
    <sheet state="visible" name="All Time Records" sheetId="3" r:id="rId7"/>
    <sheet state="visible" name="Afghanistan" sheetId="4" r:id="rId8"/>
    <sheet state="hidden" name="Dismantled Argentina" sheetId="5" r:id="rId9"/>
    <sheet state="visible" name="Australia" sheetId="6" r:id="rId10"/>
    <sheet state="visible" name="Bangladesh" sheetId="7" r:id="rId11"/>
    <sheet state="visible" name="Canada" sheetId="8" r:id="rId12"/>
    <sheet state="visible" name="England" sheetId="9" r:id="rId13"/>
    <sheet state="visible" name="India" sheetId="10" r:id="rId14"/>
    <sheet state="visible" name="Ireland" sheetId="11" r:id="rId15"/>
    <sheet state="visible" name="Italy" sheetId="12" r:id="rId16"/>
    <sheet state="visible" name="Japan" sheetId="13" r:id="rId17"/>
    <sheet state="visible" name="Kenya" sheetId="14" r:id="rId18"/>
    <sheet state="visible" name="Nepal" sheetId="15" r:id="rId19"/>
    <sheet state="visible" name="Netherlands" sheetId="16" r:id="rId20"/>
    <sheet state="visible" name="Newzealand" sheetId="17" r:id="rId21"/>
    <sheet state="visible" name="Pakistan" sheetId="18" r:id="rId22"/>
    <sheet state="visible" name="PNG" sheetId="19" r:id="rId23"/>
    <sheet state="visible" name="Portugal" sheetId="20" r:id="rId24"/>
    <sheet state="visible" name="Qatar" sheetId="21" r:id="rId25"/>
    <sheet state="visible" name="Scotland" sheetId="22" r:id="rId26"/>
    <sheet state="visible" name="SA" sheetId="23" r:id="rId27"/>
    <sheet state="visible" name="Spain" sheetId="24" r:id="rId28"/>
    <sheet state="visible" name="Srilanka" sheetId="25" r:id="rId29"/>
    <sheet state="visible" name="UAE" sheetId="26" r:id="rId30"/>
    <sheet state="visible" name="Uganda" sheetId="27" r:id="rId31"/>
    <sheet state="visible" name="USA" sheetId="28" r:id="rId32"/>
    <sheet state="visible" name="WestIndies" sheetId="29" r:id="rId33"/>
    <sheet state="visible" name="Zimbabwe" sheetId="30" r:id="rId34"/>
    <sheet state="visible" name="T20 World Cup 2026" sheetId="31" r:id="rId35"/>
    <sheet state="visible" name="KCL 2026" sheetId="32" r:id="rId36"/>
    <sheet state="visible" name="Emerging Talent League" sheetId="33" r:id="rId37"/>
    <sheet state="visible" name="IOCF Lone Warrior" sheetId="34" r:id="rId38"/>
    <sheet state="visible" name="IOCF Cards" sheetId="35" r:id="rId39"/>
    <sheet state="visible" name="100 2026" sheetId="36" r:id="rId40"/>
    <sheet state="visible" name="PSL 2026" sheetId="37" r:id="rId41"/>
    <sheet state="visible" name="BBL 2026" sheetId="38" r:id="rId42"/>
    <sheet state="visible" name="BPL 2026" sheetId="39" r:id="rId43"/>
    <sheet state="visible" name="IPL 2026" sheetId="40" r:id="rId44"/>
    <sheet state="visible" name="CPL 2026" sheetId="41" r:id="rId45"/>
    <sheet state="visible" name="SPL 2026" sheetId="42" r:id="rId46"/>
    <sheet state="visible" name="Womens Global League" sheetId="43" r:id="rId47"/>
    <sheet state="visible" name="IOCF ASIA CUP" sheetId="44" r:id="rId48"/>
    <sheet state="visible" name="IOCF EURO CUP" sheetId="45" r:id="rId49"/>
    <sheet state="visible" name="IOCF OCEANIA CUP" sheetId="46" r:id="rId50"/>
    <sheet state="visible" name="IOCF Associate Nations Cup" sheetId="47" r:id="rId51"/>
    <sheet state="visible" name="IOCF ODI WORLD CUP" sheetId="48" r:id="rId52"/>
    <sheet state="visible" name="WTC Matches" sheetId="49" r:id="rId53"/>
    <sheet state="visible" name="Series Matches" sheetId="50" r:id="rId54"/>
    <sheet state="visible" name="Series Squads &amp; Matches Details" sheetId="51" r:id="rId55"/>
    <sheet state="visible" name="QECL" sheetId="52" r:id="rId56"/>
    <sheet state="visible" name="Champions league" sheetId="53" r:id="rId57"/>
    <sheet state="visible" name="Board Rankings" sheetId="54" r:id="rId58"/>
    <sheet state="hidden" name="Dismantled UAE" sheetId="55" r:id="rId59"/>
    <sheet state="hidden" name="Dismantled USA" sheetId="56" r:id="rId60"/>
    <sheet state="hidden" name="Dismantled South Africa " sheetId="57" r:id="rId61"/>
  </sheets>
  <definedNames/>
  <calcPr/>
</workbook>
</file>

<file path=xl/sharedStrings.xml><?xml version="1.0" encoding="utf-8"?>
<sst xmlns="http://schemas.openxmlformats.org/spreadsheetml/2006/main" count="30829" uniqueCount="12346">
  <si>
    <t>Credits</t>
  </si>
  <si>
    <t>Stadiums of all boards</t>
  </si>
  <si>
    <t>Boards</t>
  </si>
  <si>
    <t>Available Credits</t>
  </si>
  <si>
    <t>Australia</t>
  </si>
  <si>
    <t>Bangladesh</t>
  </si>
  <si>
    <t>England</t>
  </si>
  <si>
    <t>India</t>
  </si>
  <si>
    <t>Italy</t>
  </si>
  <si>
    <t>Netherlands</t>
  </si>
  <si>
    <t>Newzealand</t>
  </si>
  <si>
    <t>Pakistan</t>
  </si>
  <si>
    <t>Qatar</t>
  </si>
  <si>
    <t>Scotland</t>
  </si>
  <si>
    <t>South Africa</t>
  </si>
  <si>
    <t>Srilanka</t>
  </si>
  <si>
    <t>UAE</t>
  </si>
  <si>
    <t>West Indies</t>
  </si>
  <si>
    <t>Zimbabwe</t>
  </si>
  <si>
    <t>Canada</t>
  </si>
  <si>
    <t xml:space="preserve">Melbourne Cricket Ground </t>
  </si>
  <si>
    <t>Padma - Meghna Cricket Arena</t>
  </si>
  <si>
    <t>Lords International Stadium</t>
  </si>
  <si>
    <t>Eternal Coliseum</t>
  </si>
  <si>
    <t>Vivian Richards Cricket Ground</t>
  </si>
  <si>
    <t xml:space="preserve">Maya Stadium Amsterdam </t>
  </si>
  <si>
    <t xml:space="preserve">Eden Park </t>
  </si>
  <si>
    <t>Pindi International Stadium</t>
  </si>
  <si>
    <t xml:space="preserve">West End Park </t>
  </si>
  <si>
    <t>Grange Cricket Stadium</t>
  </si>
  <si>
    <t>Newlands Cricket Stadium</t>
  </si>
  <si>
    <t>Colombo International Stadium</t>
  </si>
  <si>
    <t>Dubai International Stadium</t>
  </si>
  <si>
    <t>ABD Georgetown Cricket Arena</t>
  </si>
  <si>
    <t>Mosi-oa-Tunya ICS</t>
  </si>
  <si>
    <t>CAA Centre</t>
  </si>
  <si>
    <t xml:space="preserve">Sydney Cricket Ground </t>
  </si>
  <si>
    <t>Hilsha Heritage Stadium | Franchise League L1 | Upgraded</t>
  </si>
  <si>
    <t>WGG International Stadium</t>
  </si>
  <si>
    <t>Sree Padmanaba Cricket Park</t>
  </si>
  <si>
    <t>Ovale di Carteria</t>
  </si>
  <si>
    <t>Dutch Cricket Arena Hague</t>
  </si>
  <si>
    <t>Sky International Stadium</t>
  </si>
  <si>
    <t>Karachi International Stadium</t>
  </si>
  <si>
    <t>Lusail International Stadium</t>
  </si>
  <si>
    <t>Seven Oaks Stadium</t>
  </si>
  <si>
    <t>Wanderers International Stadium</t>
  </si>
  <si>
    <t>Kandy International Stadium</t>
  </si>
  <si>
    <t>Level 2 Stadiums</t>
  </si>
  <si>
    <t>Malayalipuram International Stadium</t>
  </si>
  <si>
    <t>Lachit Borphukan Cricket Stadium</t>
  </si>
  <si>
    <t xml:space="preserve">Optus Stadium | Free T20 WC </t>
  </si>
  <si>
    <t>Karnaphuli Cricket Park</t>
  </si>
  <si>
    <t xml:space="preserve">The Rose Bowl </t>
  </si>
  <si>
    <t>Jannat Wadi | Franchise League L1 | Upgraded</t>
  </si>
  <si>
    <t>Zubeen Garg Heritage Stadium</t>
  </si>
  <si>
    <t>Sovereign Crown Arena</t>
  </si>
  <si>
    <t>Gaddafi Stadium Lahore | Franchise League L1 | Upgraded</t>
  </si>
  <si>
    <t>Doha International Stadium</t>
  </si>
  <si>
    <t>Scotba Cricket Stadium | L1 FL | UP</t>
  </si>
  <si>
    <t>None</t>
  </si>
  <si>
    <t>Bridgetown Royal Cricket Arena | Franchise League L1 | Upgraded</t>
  </si>
  <si>
    <t xml:space="preserve">Adelaide Oval </t>
  </si>
  <si>
    <t>Mango Fortress Stadium</t>
  </si>
  <si>
    <t>Trent Bridge | Franchise League L1 | Upgraded</t>
  </si>
  <si>
    <t>Pragjyotish Ground</t>
  </si>
  <si>
    <t xml:space="preserve">Thunder Dome </t>
  </si>
  <si>
    <t>Multan International Stadium</t>
  </si>
  <si>
    <t>K.M Cricket Arena</t>
  </si>
  <si>
    <t>Level 1 Stadiums</t>
  </si>
  <si>
    <t>Basseterre Patriots Cricket Ground</t>
  </si>
  <si>
    <t>Sydney Show Ground | Franchise League L1 | Upgraded</t>
  </si>
  <si>
    <t>Sylhet Jewel Stadium</t>
  </si>
  <si>
    <t xml:space="preserve">The Oval </t>
  </si>
  <si>
    <t>Nilachal Khel Pathar</t>
  </si>
  <si>
    <t>Inferno Bay Arena</t>
  </si>
  <si>
    <t>Hyder Cricket Stadium</t>
  </si>
  <si>
    <t>Kingstown Volcano Cricket Stdaium</t>
  </si>
  <si>
    <t xml:space="preserve">Marvel Cricket Stadium </t>
  </si>
  <si>
    <t>Sundarbans Cricket Fortress</t>
  </si>
  <si>
    <t xml:space="preserve">Old Trafford </t>
  </si>
  <si>
    <t>Ironhold Park</t>
  </si>
  <si>
    <t>Quetta Cricket Arena</t>
  </si>
  <si>
    <t>Port of Spain Knights Arena</t>
  </si>
  <si>
    <t xml:space="preserve">The Gabba </t>
  </si>
  <si>
    <t>Sonar Bangla Cricket Arena</t>
  </si>
  <si>
    <t>Yorkshire Headingley</t>
  </si>
  <si>
    <t>Prince's Arena</t>
  </si>
  <si>
    <t>Alpine Crown Arena</t>
  </si>
  <si>
    <t>Karakoram Stadium Skardu</t>
  </si>
  <si>
    <t>Kingston Kings Cricket Stadium</t>
  </si>
  <si>
    <t xml:space="preserve">Ninja Stadium Hobart </t>
  </si>
  <si>
    <t>Sands cox's Bazar</t>
  </si>
  <si>
    <t>Somerset County Ground</t>
  </si>
  <si>
    <t>Lion's Citadel</t>
  </si>
  <si>
    <t>Titan Bay Coliseum | Franchise League L1 | Ugraded</t>
  </si>
  <si>
    <t>Khyber Stadium Peshawar</t>
  </si>
  <si>
    <t>St. John's Falcon Cricket Arena</t>
  </si>
  <si>
    <t>Master's Arena</t>
  </si>
  <si>
    <t>Hayley Matthews IS</t>
  </si>
  <si>
    <t>Middlesex Lords County Cricket Ground</t>
  </si>
  <si>
    <t>Durahm Riverside Ground</t>
  </si>
  <si>
    <t>Sponsors</t>
  </si>
  <si>
    <t>Ireland</t>
  </si>
  <si>
    <t>Uganda</t>
  </si>
  <si>
    <t>USA</t>
  </si>
  <si>
    <t>Argentina</t>
  </si>
  <si>
    <t>Kenya</t>
  </si>
  <si>
    <t>Franchise League Updates</t>
  </si>
  <si>
    <t>Nepal</t>
  </si>
  <si>
    <t>League Name</t>
  </si>
  <si>
    <t>Award Name</t>
  </si>
  <si>
    <t>Award Winner</t>
  </si>
  <si>
    <t>Franchise Team</t>
  </si>
  <si>
    <t>National Board</t>
  </si>
  <si>
    <t>Papua New Guinea</t>
  </si>
  <si>
    <t>THE HUNDRED 2026</t>
  </si>
  <si>
    <t>Emerging Player</t>
  </si>
  <si>
    <t>Vishnu CV</t>
  </si>
  <si>
    <t>Southern Brave</t>
  </si>
  <si>
    <t>Portugal</t>
  </si>
  <si>
    <t>Economical Bowler</t>
  </si>
  <si>
    <t>Waleed Khan</t>
  </si>
  <si>
    <t>Afghanistan</t>
  </si>
  <si>
    <t>Most Sixes</t>
  </si>
  <si>
    <t>Hasan Musabir</t>
  </si>
  <si>
    <t>MI London</t>
  </si>
  <si>
    <t>International Tournament Updates</t>
  </si>
  <si>
    <t>Best Bowler</t>
  </si>
  <si>
    <t>Safeer Babu</t>
  </si>
  <si>
    <t>Sunrisers Leeds</t>
  </si>
  <si>
    <t>Tournament Name</t>
  </si>
  <si>
    <t>Awards</t>
  </si>
  <si>
    <t>Award Winners</t>
  </si>
  <si>
    <t>Official Board</t>
  </si>
  <si>
    <t>Best Batsman</t>
  </si>
  <si>
    <t>Nirmal Baishya</t>
  </si>
  <si>
    <t>T20 World CUP 2026</t>
  </si>
  <si>
    <t>Most Dot Balls</t>
  </si>
  <si>
    <t>Toby Joseph</t>
  </si>
  <si>
    <t>Player of the Tournament</t>
  </si>
  <si>
    <t>Shivaji Prakash</t>
  </si>
  <si>
    <t>Welsh Fire</t>
  </si>
  <si>
    <t>Most Maidens</t>
  </si>
  <si>
    <t>Anurag Raj</t>
  </si>
  <si>
    <t>Runners Up</t>
  </si>
  <si>
    <t>Best Economy</t>
  </si>
  <si>
    <t xml:space="preserve">Virendra </t>
  </si>
  <si>
    <t>Champions</t>
  </si>
  <si>
    <t>Best Bat Average</t>
  </si>
  <si>
    <t>Bhavin Kumar</t>
  </si>
  <si>
    <t>PAKISTAN SUPER LEAGUE 2026</t>
  </si>
  <si>
    <t>Wajdan</t>
  </si>
  <si>
    <t>Lahore Qalandars</t>
  </si>
  <si>
    <t>Fastest Century</t>
  </si>
  <si>
    <t xml:space="preserve">Rejith Mohan </t>
  </si>
  <si>
    <t>Muhammad Usman</t>
  </si>
  <si>
    <t>Fastest Fifty</t>
  </si>
  <si>
    <t>Diljith Das</t>
  </si>
  <si>
    <t xml:space="preserve">Best Bowler </t>
  </si>
  <si>
    <t>Adithya Mahajan</t>
  </si>
  <si>
    <t>Most Fours</t>
  </si>
  <si>
    <t>Al Ameen</t>
  </si>
  <si>
    <t>Quetta Gladiators</t>
  </si>
  <si>
    <t>Hashir</t>
  </si>
  <si>
    <t>Best Bowl Figure</t>
  </si>
  <si>
    <t>Anshad</t>
  </si>
  <si>
    <t>Fair Play Award</t>
  </si>
  <si>
    <t>Highest Individual Score</t>
  </si>
  <si>
    <t>Sai Naveen</t>
  </si>
  <si>
    <t>Runners up</t>
  </si>
  <si>
    <t>Hyderabad Kings</t>
  </si>
  <si>
    <t>Fastest Umpire</t>
  </si>
  <si>
    <t>Nasrullah Kapri</t>
  </si>
  <si>
    <t>World Cup Operaions Excellence</t>
  </si>
  <si>
    <t>Yasin Iqbal</t>
  </si>
  <si>
    <t>BIG BASH LEAGUE 2026</t>
  </si>
  <si>
    <t>Best Young Player</t>
  </si>
  <si>
    <t>Anand Ajikumar</t>
  </si>
  <si>
    <t>Sydney Sixers</t>
  </si>
  <si>
    <t>Best Captain</t>
  </si>
  <si>
    <t>Midhun Manilal</t>
  </si>
  <si>
    <t>Arnab Sarkar &amp; Nasrullah Kapri</t>
  </si>
  <si>
    <t>Australia &amp; Pakistan</t>
  </si>
  <si>
    <t>Chappy</t>
  </si>
  <si>
    <t>Best Bowler ( Golden Arm )</t>
  </si>
  <si>
    <t>Zarnish Saira</t>
  </si>
  <si>
    <t>Melbourne Stars</t>
  </si>
  <si>
    <t>Best Batsman ( Golden Bat )</t>
  </si>
  <si>
    <t xml:space="preserve">Arnab Sarkar  </t>
  </si>
  <si>
    <t>Man of the Tournament</t>
  </si>
  <si>
    <t>Brisbane Heat</t>
  </si>
  <si>
    <t>EMERGING TALENTS LEAGUE 2026</t>
  </si>
  <si>
    <t>Amjith</t>
  </si>
  <si>
    <t>Mowglee</t>
  </si>
  <si>
    <t>KIWI CROWN LEAGUE 2026</t>
  </si>
  <si>
    <t>Rise of the crown (Emerging Player)</t>
  </si>
  <si>
    <t>Karthik Devadiga</t>
  </si>
  <si>
    <t>Wellington Warriors</t>
  </si>
  <si>
    <t>Shajahan</t>
  </si>
  <si>
    <t>The Thunder Striker (Most Sixes)</t>
  </si>
  <si>
    <t>Vishnu Vijay</t>
  </si>
  <si>
    <t>Northern Knights</t>
  </si>
  <si>
    <t>The Shadow scepter (Best Bowler)</t>
  </si>
  <si>
    <t>Waqas Mughal</t>
  </si>
  <si>
    <t>Tauranga Titans</t>
  </si>
  <si>
    <t>Match of the Tournament</t>
  </si>
  <si>
    <t>England &amp; West Indies</t>
  </si>
  <si>
    <t>The Golden Crown (Best Batsman)</t>
  </si>
  <si>
    <t>Best Talent Discovery Board</t>
  </si>
  <si>
    <t>All four Boards</t>
  </si>
  <si>
    <t>Crowned Warrior (Player of the Tournament)</t>
  </si>
  <si>
    <t>Fair Play</t>
  </si>
  <si>
    <t>England &amp; Scotland</t>
  </si>
  <si>
    <t>Spirit of Crown (Fair Play Award)</t>
  </si>
  <si>
    <t>Canterbury Kings</t>
  </si>
  <si>
    <t>LONE WARRIOR 2026</t>
  </si>
  <si>
    <t>Semifinalists</t>
  </si>
  <si>
    <t>Abhi &amp; Anshad</t>
  </si>
  <si>
    <t>Scotland &amp; India</t>
  </si>
  <si>
    <t>INDIAN PREMIER LEAGUE 2026</t>
  </si>
  <si>
    <t>Asru KSD</t>
  </si>
  <si>
    <t>Kolkata Knight Riders</t>
  </si>
  <si>
    <t>Runner Up</t>
  </si>
  <si>
    <t>Shamroz</t>
  </si>
  <si>
    <t>Punjab Kings</t>
  </si>
  <si>
    <t xml:space="preserve">Champion </t>
  </si>
  <si>
    <t>Purple Cap</t>
  </si>
  <si>
    <t>ASIA CUP 2026</t>
  </si>
  <si>
    <t>Fair play</t>
  </si>
  <si>
    <t>Orange Cap</t>
  </si>
  <si>
    <t>Shukoor</t>
  </si>
  <si>
    <t>Captain of the tournament</t>
  </si>
  <si>
    <t>Ans Sheikh</t>
  </si>
  <si>
    <t>Rahul Seenu</t>
  </si>
  <si>
    <t>Delhi Capitals</t>
  </si>
  <si>
    <t>Sebin</t>
  </si>
  <si>
    <t>Chennai Super Kings</t>
  </si>
  <si>
    <t>Golden Ball</t>
  </si>
  <si>
    <t>Ahmed Mughal</t>
  </si>
  <si>
    <t>Golden Bat</t>
  </si>
  <si>
    <t>Syed Raza</t>
  </si>
  <si>
    <t>Rajasthan Royals</t>
  </si>
  <si>
    <t>Player of the tournament</t>
  </si>
  <si>
    <t>CARIBBEAN PREMIER LEAGUE 2026</t>
  </si>
  <si>
    <t>Abhishek Vava</t>
  </si>
  <si>
    <t>Barbados Royals</t>
  </si>
  <si>
    <t>Guyana Amazon Warriors</t>
  </si>
  <si>
    <t>Anish Babu</t>
  </si>
  <si>
    <t>Jamaica Kingsmen</t>
  </si>
  <si>
    <t>EURO CUP 2026</t>
  </si>
  <si>
    <t>Rahul Suresh</t>
  </si>
  <si>
    <t>Trinbago Knight Riders</t>
  </si>
  <si>
    <t>St Vincent Volcanoes</t>
  </si>
  <si>
    <t>Jihan</t>
  </si>
  <si>
    <t>Sunaif</t>
  </si>
  <si>
    <t>Subaida</t>
  </si>
  <si>
    <t>SCOTTISH PREMIER LEAGUE 2026</t>
  </si>
  <si>
    <t>Ajoy Babu</t>
  </si>
  <si>
    <t>Perth Panthers</t>
  </si>
  <si>
    <t>Mahesh Margol</t>
  </si>
  <si>
    <t>Glasgow Giants</t>
  </si>
  <si>
    <t>Aaiz Khan</t>
  </si>
  <si>
    <t>Highland Hawks</t>
  </si>
  <si>
    <t>OCEANIA CUP 2026</t>
  </si>
  <si>
    <t>Arjun Raj R</t>
  </si>
  <si>
    <t>Kaushik &amp; Ajay</t>
  </si>
  <si>
    <t>South Africa &amp; West Indies</t>
  </si>
  <si>
    <t>Arnab Sarkar</t>
  </si>
  <si>
    <t>Tartan Strikers</t>
  </si>
  <si>
    <t>Harsh Dubey</t>
  </si>
  <si>
    <t>WOMEN'S GLOBAL LEAGUE 2026</t>
  </si>
  <si>
    <t>Best Women Talent Discovery Board</t>
  </si>
  <si>
    <t>All five Boards</t>
  </si>
  <si>
    <t>Ishita Sharma</t>
  </si>
  <si>
    <t>Tasnim</t>
  </si>
  <si>
    <t>Sneha Jyothish</t>
  </si>
  <si>
    <t>ASSOCIATE NATIONS CUP 2026</t>
  </si>
  <si>
    <t>Naveen Gupta</t>
  </si>
  <si>
    <t>Rehan</t>
  </si>
  <si>
    <t>Dhurbo Rajbongshi</t>
  </si>
  <si>
    <t>Noufal</t>
  </si>
  <si>
    <t>Best Bowling figure in a match</t>
  </si>
  <si>
    <t>Mohsin Lathif &amp; Dhurbo</t>
  </si>
  <si>
    <t>USA &amp; Zimbabwe</t>
  </si>
  <si>
    <t>Best Batting Average</t>
  </si>
  <si>
    <t>Hosting Nation</t>
  </si>
  <si>
    <t>ODI WORLD CUP 2026</t>
  </si>
  <si>
    <t>Best Umpire (Most Matches Hosted)</t>
  </si>
  <si>
    <t>Umar Abbas &amp; Ganesh Chunduru</t>
  </si>
  <si>
    <t>World Cup Operations Excellence</t>
  </si>
  <si>
    <t>Emerging Player of the Tournament</t>
  </si>
  <si>
    <t>Ahsan Siddiqui</t>
  </si>
  <si>
    <t>Highest Strike Rate</t>
  </si>
  <si>
    <t>Bhavesh B</t>
  </si>
  <si>
    <t>Highest Batting Average</t>
  </si>
  <si>
    <t>Dipankar Roy</t>
  </si>
  <si>
    <t>Best Bowling Economy</t>
  </si>
  <si>
    <t>Ajay Kumar Sajeev</t>
  </si>
  <si>
    <t>Best Bowling Figures in a Match</t>
  </si>
  <si>
    <t>Sidra</t>
  </si>
  <si>
    <t>Fastest 100</t>
  </si>
  <si>
    <t>Fastest 50</t>
  </si>
  <si>
    <t>Shuhaib &amp; Muhammad Ahmed</t>
  </si>
  <si>
    <t>Italy &amp; Pakistan</t>
  </si>
  <si>
    <t>Highest Score in a Match</t>
  </si>
  <si>
    <t>Hari M</t>
  </si>
  <si>
    <t>Best Bowler (Most Wickets)</t>
  </si>
  <si>
    <t>Best Batsman (Most Runs)</t>
  </si>
  <si>
    <t>Council of Champions</t>
  </si>
  <si>
    <t>Council of Established</t>
  </si>
  <si>
    <t>Council of Challengers</t>
  </si>
  <si>
    <t>Council of Origins</t>
  </si>
  <si>
    <t>1. Scotland</t>
  </si>
  <si>
    <t>2. England</t>
  </si>
  <si>
    <t>3. Qatar</t>
  </si>
  <si>
    <t>4. Australia</t>
  </si>
  <si>
    <t>CLUB Format</t>
  </si>
  <si>
    <t>Field</t>
  </si>
  <si>
    <t>Player Name</t>
  </si>
  <si>
    <t>Country</t>
  </si>
  <si>
    <t>Stats</t>
  </si>
  <si>
    <t>Highest Score By a Player in a Match</t>
  </si>
  <si>
    <t>Ameen</t>
  </si>
  <si>
    <t>Best Bowling Figure by a Player in a Match</t>
  </si>
  <si>
    <t>Highest Score By a Team in a Match</t>
  </si>
  <si>
    <t>Lowest Score by a Team in a Match</t>
  </si>
  <si>
    <t>Highest Score chased by a team</t>
  </si>
  <si>
    <t>Lowest score defened by a team</t>
  </si>
  <si>
    <t>T10 Format</t>
  </si>
  <si>
    <t>Abhinav Sham</t>
  </si>
  <si>
    <t>T20 Format</t>
  </si>
  <si>
    <t>Hrushikesh HD</t>
  </si>
  <si>
    <t>ODI Format</t>
  </si>
  <si>
    <t>Test Format</t>
  </si>
  <si>
    <t>Hirak Jyoti</t>
  </si>
  <si>
    <t>Board: Afghanistan</t>
  </si>
  <si>
    <t>Chairman: Waleed Khan | CEO: Umar Khan</t>
  </si>
  <si>
    <t>Credits left:</t>
  </si>
  <si>
    <t>Players</t>
  </si>
  <si>
    <t>Player trade</t>
  </si>
  <si>
    <t xml:space="preserve">Stadium: </t>
  </si>
  <si>
    <t>International Series:</t>
  </si>
  <si>
    <t>Whitewash Win:</t>
  </si>
  <si>
    <t>Trophy Cabinet ( International series)</t>
  </si>
  <si>
    <t>1. Maharoof</t>
  </si>
  <si>
    <t>1. The Golden Cup</t>
  </si>
  <si>
    <t>2. Shobha Joseph</t>
  </si>
  <si>
    <t>1. Umar (IOCF): 20K</t>
  </si>
  <si>
    <t>Level 3 Stadiums</t>
  </si>
  <si>
    <t>1. Away(West Indies): 7000 (Won)</t>
  </si>
  <si>
    <t>1. vs West Indies: 1</t>
  </si>
  <si>
    <t>3. Irfan Sohail</t>
  </si>
  <si>
    <t>Afghan National Sports Complex</t>
  </si>
  <si>
    <t>4. Glinson Babu</t>
  </si>
  <si>
    <t>5. Saleem Rana</t>
  </si>
  <si>
    <t>6. Muhammad Raheel</t>
  </si>
  <si>
    <t>7. Nadeem Ahmed</t>
  </si>
  <si>
    <t>8. Adnan Abbas</t>
  </si>
  <si>
    <t xml:space="preserve">Whitewash lose: </t>
  </si>
  <si>
    <t>9. Abdullah Usmani</t>
  </si>
  <si>
    <t>10. Farhan Mallick</t>
  </si>
  <si>
    <t>11. Nabahan</t>
  </si>
  <si>
    <t>12. Talha Arain</t>
  </si>
  <si>
    <t>13. Anoop</t>
  </si>
  <si>
    <t>14. Saif Ali</t>
  </si>
  <si>
    <t xml:space="preserve">All Franchise League Credits Updates : </t>
  </si>
  <si>
    <t>Qatar Elite Crown League :</t>
  </si>
  <si>
    <t>All Team Profit:</t>
  </si>
  <si>
    <t>AL KHOR PREDATORS</t>
  </si>
  <si>
    <t>AL RAYYAN RAIDERS</t>
  </si>
  <si>
    <t>AL WAKRAH DUKES</t>
  </si>
  <si>
    <t>DOHA STALLIONS</t>
  </si>
  <si>
    <t>LUSAIL KNIGHTS</t>
  </si>
  <si>
    <t>MESAEID BLAZE</t>
  </si>
  <si>
    <t>QATAR VENOMS</t>
  </si>
  <si>
    <t>UMM SALAL SPARTANS</t>
  </si>
  <si>
    <t>Team Profit:</t>
  </si>
  <si>
    <t>1. Waleed Khan</t>
  </si>
  <si>
    <t>No Salary(Traded)</t>
  </si>
  <si>
    <t>Man of the match: 2 (10000)</t>
  </si>
  <si>
    <t>Best Bowler: 1 (5000)</t>
  </si>
  <si>
    <t>Board: ARGENTINA</t>
  </si>
  <si>
    <t>Chairman: Sayandeep Ghosh | CEO: ---</t>
  </si>
  <si>
    <t xml:space="preserve">International Series: </t>
  </si>
  <si>
    <t>Trophy Cabinet ( International Series)</t>
  </si>
  <si>
    <t xml:space="preserve">Whitewash Win: </t>
  </si>
  <si>
    <t>1. Alidad</t>
  </si>
  <si>
    <t>2. Anik Mukherjee</t>
  </si>
  <si>
    <t>Anik from USA: 3000</t>
  </si>
  <si>
    <t xml:space="preserve">1. Home(Portugal): 3000 bet (Lost) </t>
  </si>
  <si>
    <t>3. Aryan Das</t>
  </si>
  <si>
    <t>Ibrahim from USA: 3000</t>
  </si>
  <si>
    <t>LA GUERRERO Cricket Stadium</t>
  </si>
  <si>
    <t>2. Away(Kenya): 3000 bet (Lost)</t>
  </si>
  <si>
    <t>4. Bijoy DS</t>
  </si>
  <si>
    <t>Bijoy from USA: 3000</t>
  </si>
  <si>
    <t>3. Home(Japan): 5000 bet (Lost)</t>
  </si>
  <si>
    <t>5. Bilal</t>
  </si>
  <si>
    <t>Shad from USA: 3000</t>
  </si>
  <si>
    <t xml:space="preserve">Whitewash loss: </t>
  </si>
  <si>
    <t>6. Ibrahim Shihab</t>
  </si>
  <si>
    <t>Jayesh from USA: 3000</t>
  </si>
  <si>
    <t>7. Jayesh Nikije</t>
  </si>
  <si>
    <t>Kuldeep from PNG: 10000</t>
  </si>
  <si>
    <t>1. The Gaucho-Samurai Trophy(Home)</t>
  </si>
  <si>
    <t>8. Wali Muhammad</t>
  </si>
  <si>
    <t>9. Sarwar Kapri</t>
  </si>
  <si>
    <t>10. Shad Mahar</t>
  </si>
  <si>
    <t>11. Shafa Bewas</t>
  </si>
  <si>
    <t>12. Raj</t>
  </si>
  <si>
    <t>Board: AUSTRALIA</t>
  </si>
  <si>
    <t>Chairman: Arnab Sarkar | Ceo: Keshav Shah</t>
  </si>
  <si>
    <t xml:space="preserve">Credits left: </t>
  </si>
  <si>
    <t>Stadium:</t>
  </si>
  <si>
    <t>Whitewash:</t>
  </si>
  <si>
    <t xml:space="preserve">Traded Players: </t>
  </si>
  <si>
    <t xml:space="preserve">IOCF T20 WORLD CUP 🏆: </t>
  </si>
  <si>
    <t>Player limit exceeded: -20000</t>
  </si>
  <si>
    <t xml:space="preserve">IOCF WORLD TEST CHAMPIONSHIP 🏆: </t>
  </si>
  <si>
    <t>CONTINENTAL CUP 2026 🏆: ( OCEANIA )</t>
  </si>
  <si>
    <t xml:space="preserve">ODI WORLD CUP 2026  🏆: </t>
  </si>
  <si>
    <t>Umpires Credits :</t>
  </si>
  <si>
    <t>1. Abrar Ali</t>
  </si>
  <si>
    <t>1. Kangaroo Protea Cup ( Home )</t>
  </si>
  <si>
    <t>2. Adil Rahman</t>
  </si>
  <si>
    <t>Home( Pakistan ): 5000 bet ( Lost )</t>
  </si>
  <si>
    <t>Against South Africa: 1</t>
  </si>
  <si>
    <t>2. Caribbean Tri Nation Series ( Away )</t>
  </si>
  <si>
    <t>1. Yasin Iqbal - 5k</t>
  </si>
  <si>
    <t>Hosting Rights: -42000</t>
  </si>
  <si>
    <t>1. 20 to 25: 10000</t>
  </si>
  <si>
    <t>Player Awards</t>
  </si>
  <si>
    <t>Match Bet Credits</t>
  </si>
  <si>
    <t>Entry Credits</t>
  </si>
  <si>
    <t>Players &amp; Match Awards</t>
  </si>
  <si>
    <t>Umpire</t>
  </si>
  <si>
    <t>Details</t>
  </si>
  <si>
    <t>Total Matches</t>
  </si>
  <si>
    <t>Points</t>
  </si>
  <si>
    <t>3. Alapan Das</t>
  </si>
  <si>
    <t>Home( South Africa): 5000 bet ( Won )</t>
  </si>
  <si>
    <t>Against Afghanistan: 1</t>
  </si>
  <si>
    <t>3. Aus Afg Power series ( Home )</t>
  </si>
  <si>
    <t>2. Karan Kumar - 5k</t>
  </si>
  <si>
    <t>Entry: -5000</t>
  </si>
  <si>
    <t>1. Yasin Iqbal</t>
  </si>
  <si>
    <t>Club Series</t>
  </si>
  <si>
    <t>4. Anandan Ajikumar</t>
  </si>
  <si>
    <t>Away( West Indies/ Scotland ): 5000 ( Won )</t>
  </si>
  <si>
    <t>Against England(Test): 1</t>
  </si>
  <si>
    <t>4. The Ashes( Away )</t>
  </si>
  <si>
    <t>3. Sai Naveen - 5k</t>
  </si>
  <si>
    <t>Players Awards: 2300</t>
  </si>
  <si>
    <t>Home(Pakistan): 5000 ( Won )</t>
  </si>
  <si>
    <t>Trophy Cabinet (Test)</t>
  </si>
  <si>
    <t>Player</t>
  </si>
  <si>
    <t>Award</t>
  </si>
  <si>
    <t>T20 Tournament</t>
  </si>
  <si>
    <t>5. Anik Dey Shanto</t>
  </si>
  <si>
    <t>Home ( Newzealand) : 5000 bet ( Lost )</t>
  </si>
  <si>
    <t>Against Newzealand: 2</t>
  </si>
  <si>
    <t>5. Southee Cummins ( Away )</t>
  </si>
  <si>
    <t>4. Bhavesh B - 5k</t>
  </si>
  <si>
    <t>1. Sai Naveen</t>
  </si>
  <si>
    <t>Away(Pakistan): 5000 (Won)</t>
  </si>
  <si>
    <t xml:space="preserve">Benaud-Qadir </t>
  </si>
  <si>
    <t>Best Batsman(1000): 1</t>
  </si>
  <si>
    <t>1. Arnab Sarkar</t>
  </si>
  <si>
    <t>Man of the match(5000): 1</t>
  </si>
  <si>
    <t>Total Credits</t>
  </si>
  <si>
    <t>6. Ankan Biswas</t>
  </si>
  <si>
    <t>Home ( West Indies): 5000 bet ( Lost )</t>
  </si>
  <si>
    <t>6. Southern Challenge (Away)</t>
  </si>
  <si>
    <t>5. Vaibhav Batra - 5k</t>
  </si>
  <si>
    <t>Man of the match: 1</t>
  </si>
  <si>
    <t>Away(Scotland): 5000 (Won)</t>
  </si>
  <si>
    <t xml:space="preserve">Scottish Wall </t>
  </si>
  <si>
    <t>2. Keshav Shah</t>
  </si>
  <si>
    <t xml:space="preserve">Man of the match(2000): 1 </t>
  </si>
  <si>
    <t>Best Bowler(3000): 4</t>
  </si>
  <si>
    <t>2. Anurag Raj</t>
  </si>
  <si>
    <t>7. Anurag Raj Gautam</t>
  </si>
  <si>
    <t>Away( Scotland): 5000 bet ( Lost )</t>
  </si>
  <si>
    <t>7. Kiwi Kangaroo (Away)</t>
  </si>
  <si>
    <t>6. Saketh Balne - 5k</t>
  </si>
  <si>
    <t>• vs Scotland: 500</t>
  </si>
  <si>
    <t>Home(Scotland): 5000 (Won)</t>
  </si>
  <si>
    <t xml:space="preserve">Aussie Wall </t>
  </si>
  <si>
    <t>Best Bowler(1000): 1</t>
  </si>
  <si>
    <t>Most Dot Balls(1000): 5</t>
  </si>
  <si>
    <t>8. Aqi Syed</t>
  </si>
  <si>
    <t>Home( Afghanistan): 7000 bet ( Won )</t>
  </si>
  <si>
    <t>8. Kingfisher Cup (Home)</t>
  </si>
  <si>
    <t>7. Summan Baig to Pak - 2k</t>
  </si>
  <si>
    <t>Most Sixes: 1</t>
  </si>
  <si>
    <t>Home (England): 5000 (Lost)</t>
  </si>
  <si>
    <t>Sydney Cup</t>
  </si>
  <si>
    <t>Team of the tournament - 5400</t>
  </si>
  <si>
    <t>Best Bowler of the tournament: 800000</t>
  </si>
  <si>
    <t>T20 Series</t>
  </si>
  <si>
    <t>9. Ashwini Verma</t>
  </si>
  <si>
    <t>Away( England ): 10000 ( Won )</t>
  </si>
  <si>
    <t>9. KFC T20 Cup (Home)</t>
  </si>
  <si>
    <t>8. Srinidhi (10k) - SA Chairman</t>
  </si>
  <si>
    <t>• vs Scotland: 300</t>
  </si>
  <si>
    <t>Away(England): 5000 (Lost)</t>
  </si>
  <si>
    <t>Poker Cup</t>
  </si>
  <si>
    <t>3. Waqas Mughal</t>
  </si>
  <si>
    <t>2. Rahul Gadia</t>
  </si>
  <si>
    <t>Most Sixes(1000): 2</t>
  </si>
  <si>
    <t>ODI Tournament</t>
  </si>
  <si>
    <t>10. Achu Achu</t>
  </si>
  <si>
    <t>Away ( England ): 5000 bet ( Lost )</t>
  </si>
  <si>
    <t>Against Newzealand: 1</t>
  </si>
  <si>
    <t>10. IPL Challenger Trophy (Away)</t>
  </si>
  <si>
    <t>9. Donald (10k) - SA Chairman</t>
  </si>
  <si>
    <t>2. Bhavesh B</t>
  </si>
  <si>
    <t xml:space="preserve"> </t>
  </si>
  <si>
    <t>Home(Bangladesh): 5000 (Won)</t>
  </si>
  <si>
    <t>Orange - Yellow Trophy</t>
  </si>
  <si>
    <t>4. Arnab Sarkar</t>
  </si>
  <si>
    <t>3. Malik Zubair</t>
  </si>
  <si>
    <t>T10 Series</t>
  </si>
  <si>
    <t>11. Chintan Poojari</t>
  </si>
  <si>
    <t>Away ( UAE ): 5000 bet ( Lost )</t>
  </si>
  <si>
    <t>Against Scotland: 1</t>
  </si>
  <si>
    <t>11. Great Southern Dutch (Home)</t>
  </si>
  <si>
    <t>10. Noor from WI - 10000</t>
  </si>
  <si>
    <t>Away(Bangladesh): 5000 (Won)</t>
  </si>
  <si>
    <t>Bee Trophy</t>
  </si>
  <si>
    <t>Best Bowler(1000): 2</t>
  </si>
  <si>
    <t>Best Bowler(3000): 1</t>
  </si>
  <si>
    <t>Franchise League</t>
  </si>
  <si>
    <t>12. Chiranjibi Samal</t>
  </si>
  <si>
    <t>Away ( Newzealand ): 5000 bet ( Won )</t>
  </si>
  <si>
    <t>12. The Dublin Showdown (Away)</t>
  </si>
  <si>
    <t>11. Mahi to SA - 2500</t>
  </si>
  <si>
    <t>• vs Afghanistan: 300</t>
  </si>
  <si>
    <t>Home(Netherlands): 5000 (Lost)</t>
  </si>
  <si>
    <t>Southern Cross Test</t>
  </si>
  <si>
    <t>Golden Ball Award(25000)</t>
  </si>
  <si>
    <t>4. Muhammad Noor</t>
  </si>
  <si>
    <t>Best Batsman(3000): 1</t>
  </si>
  <si>
    <t>13. Hur Ali</t>
  </si>
  <si>
    <t>Away (Pakistan): 10000 bet (Won)</t>
  </si>
  <si>
    <t>13.  Last Of the Summer (Home)</t>
  </si>
  <si>
    <t>12. K Rakesh to SA - 2500</t>
  </si>
  <si>
    <t>3. Anurag</t>
  </si>
  <si>
    <t>Away(Netherlands): 5000 (Won)</t>
  </si>
  <si>
    <t>The Gulf Test Series</t>
  </si>
  <si>
    <t>Player of the Tournament(50000)</t>
  </si>
  <si>
    <t>BBL</t>
  </si>
  <si>
    <t>14. Kuldeep Roy</t>
  </si>
  <si>
    <t>Away (Newzealand): 5000 bet (Won)</t>
  </si>
  <si>
    <t>13. Harsh from Qatar - 60000</t>
  </si>
  <si>
    <t>Home(Srilanka): 5000 (Won)</t>
  </si>
  <si>
    <t>Kiwi Kangaroo Trophy</t>
  </si>
  <si>
    <t>5. Abrar Ali</t>
  </si>
  <si>
    <t>15. Malaram Patel</t>
  </si>
  <si>
    <t>Home(Srilanka): 5000 bet (Won)</t>
  </si>
  <si>
    <t>14. Ashfak from BD - 23000</t>
  </si>
  <si>
    <t>Home(Newzealand): 5000 (Won)</t>
  </si>
  <si>
    <t>5. Harsh Dubey</t>
  </si>
  <si>
    <t>6. Chiranjibi Samal</t>
  </si>
  <si>
    <t>3. Arnab Sarkar</t>
  </si>
  <si>
    <t>16. Malik Zubair</t>
  </si>
  <si>
    <t>Home (England): 10000 bet (Won)</t>
  </si>
  <si>
    <t>15. Mohsin to USA - free</t>
  </si>
  <si>
    <t>Economical bowler: 1</t>
  </si>
  <si>
    <t>Away(UAE): 10000 (Won)</t>
  </si>
  <si>
    <t>Golden Bat Award(25000)</t>
  </si>
  <si>
    <t>Most Sixes(1000): 1</t>
  </si>
  <si>
    <t>17. Manish Indoria</t>
  </si>
  <si>
    <t>Home(India): 5000 bet (Lost)</t>
  </si>
  <si>
    <t>16. Arjun to Ireland - 7000</t>
  </si>
  <si>
    <t>• vs West Indies: 300</t>
  </si>
  <si>
    <t>Away(Srilanka): 10000 (Lost)</t>
  </si>
  <si>
    <t>Group Stage Exit</t>
  </si>
  <si>
    <t>18. Muhammad Noor</t>
  </si>
  <si>
    <t>Away(India): 5000 bet (Won)</t>
  </si>
  <si>
    <t>17. Adil to USA: 7000</t>
  </si>
  <si>
    <t>4. Rizwan</t>
  </si>
  <si>
    <t>Away(Newzealand): 10000(Won)</t>
  </si>
  <si>
    <t>6. Mohammaed Noor</t>
  </si>
  <si>
    <t>Fantasy League: 3rd Place</t>
  </si>
  <si>
    <t>19. Nidasha Romanoff</t>
  </si>
  <si>
    <t>Home(Netherlands): 10000 bet (Won)</t>
  </si>
  <si>
    <t>18. Lal to Italy: 50000</t>
  </si>
  <si>
    <t>Home(India): 10000(Lost)</t>
  </si>
  <si>
    <t>ODI Series</t>
  </si>
  <si>
    <t>20. Rahul Gadia</t>
  </si>
  <si>
    <t>Home(England): 10000 bet (Lost)</t>
  </si>
  <si>
    <t>19. Kashif to Zim: 5000</t>
  </si>
  <si>
    <t>Players Awards &amp; Credits</t>
  </si>
  <si>
    <t>7. Waqas Mughal</t>
  </si>
  <si>
    <t>21. Rizwan Mansoori</t>
  </si>
  <si>
    <t>Home(UAE): 3000 bet (Lost)</t>
  </si>
  <si>
    <t>20. Waqas to BD: 200000</t>
  </si>
  <si>
    <t>5. Abrar</t>
  </si>
  <si>
    <t>8. Rahul Gadia</t>
  </si>
  <si>
    <t>22. Zeeshan Yaqoob Gujjar</t>
  </si>
  <si>
    <t>Away(West Indies): 10000 bet (Lost)</t>
  </si>
  <si>
    <t>21. Ashfaq (Banned)</t>
  </si>
  <si>
    <t>1. Rizwan Mansoori</t>
  </si>
  <si>
    <t>Man of the Match: 2 (1000)</t>
  </si>
  <si>
    <t>Away(USA): 10000 bet (Lost)</t>
  </si>
  <si>
    <t>22. Rima from Pak: 25000</t>
  </si>
  <si>
    <t>Best Batsman: 3 (500)</t>
  </si>
  <si>
    <t>BPL</t>
  </si>
  <si>
    <t>Home(Srilanka &amp; UAE): 15000 (Lost)</t>
  </si>
  <si>
    <t>23. Adil from Zim: 60000</t>
  </si>
  <si>
    <t>Eliminated in Group Stage: 10k</t>
  </si>
  <si>
    <t>Best Bowler: 1 (500)</t>
  </si>
  <si>
    <t>IPL</t>
  </si>
  <si>
    <t>Away(Zimbabwe): 5000 (Lost)</t>
  </si>
  <si>
    <t>24. Rima to Pak: 25000</t>
  </si>
  <si>
    <t>KCL ( Commentory )</t>
  </si>
  <si>
    <t>Away(Ireland): 6000 (Won)</t>
  </si>
  <si>
    <t>25. Harsh to USA: 100000</t>
  </si>
  <si>
    <t xml:space="preserve">Players Awards: 15000 </t>
  </si>
  <si>
    <t>Best Batsman: 2 (500)</t>
  </si>
  <si>
    <t>Away(Canada): 5000 (Lost)</t>
  </si>
  <si>
    <t>26. Shahzad to Spain: 5000</t>
  </si>
  <si>
    <t>1. Anurag Raj</t>
  </si>
  <si>
    <t>Best Bowler: 2 (500)</t>
  </si>
  <si>
    <t>CPL ( Commentory )</t>
  </si>
  <si>
    <t>Home(West Indies): 5000 (Lost)</t>
  </si>
  <si>
    <t>27. Kuldeep from Arg: 10000</t>
  </si>
  <si>
    <t>Most Maidens(2): 5000</t>
  </si>
  <si>
    <t>3. Saubhagya Gupta</t>
  </si>
  <si>
    <t>Man of the Match: 1 (1000)</t>
  </si>
  <si>
    <t>Away(West Indies): 5000 bet (Lost)</t>
  </si>
  <si>
    <t>28. Chintan from Zim: 20000</t>
  </si>
  <si>
    <t>2. Sai Naveen</t>
  </si>
  <si>
    <t>Best Batsman: 0 (500)</t>
  </si>
  <si>
    <t>4. Abrar Ali</t>
  </si>
  <si>
    <t>Home(India): 5000 bet (Won)</t>
  </si>
  <si>
    <t>Highest Individual Score(140): 5000</t>
  </si>
  <si>
    <t>Home(West Indies): 10000 (Lost)</t>
  </si>
  <si>
    <t>3. Yasin Iqbal</t>
  </si>
  <si>
    <t>Man of the Match: 5 (1000)</t>
  </si>
  <si>
    <t>Home(Canada &amp; West Indies): 10000 (Lost)</t>
  </si>
  <si>
    <t>World cup operations Excellence: 5000</t>
  </si>
  <si>
    <t>Best Batsman: 1 (500)</t>
  </si>
  <si>
    <t>5. Keshav Shah</t>
  </si>
  <si>
    <t>Away(Newzealand): 10000 (Lost)</t>
  </si>
  <si>
    <t>Best Bowler: 4 (500)</t>
  </si>
  <si>
    <t>Hosting Nation: 30000</t>
  </si>
  <si>
    <t>5. Anand Kumar</t>
  </si>
  <si>
    <t>Man of the Match: 0 (1000)</t>
  </si>
  <si>
    <t>Prediction 3rd Place: 5000</t>
  </si>
  <si>
    <t>Best Bowler: 0 (500)</t>
  </si>
  <si>
    <t>6. Rahul Gadia</t>
  </si>
  <si>
    <t>Test Tournament</t>
  </si>
  <si>
    <t>Club Tournament</t>
  </si>
  <si>
    <t>7. Anand Ajikumar</t>
  </si>
  <si>
    <t>KCL</t>
  </si>
  <si>
    <t>8. Anurag Raj</t>
  </si>
  <si>
    <t>6. Malaram Patel</t>
  </si>
  <si>
    <t>7. Chiranjibi Samal</t>
  </si>
  <si>
    <t>CPL</t>
  </si>
  <si>
    <t>8. K Srinidhi</t>
  </si>
  <si>
    <t>THE HUNDRED : 42400</t>
  </si>
  <si>
    <t>9. Waqas Mughal</t>
  </si>
  <si>
    <t>London Spirit</t>
  </si>
  <si>
    <t>Team Profit: 2500</t>
  </si>
  <si>
    <t>Team Profit: 4800</t>
  </si>
  <si>
    <t>Team Profit: 3000</t>
  </si>
  <si>
    <t>Team Profit: 32300</t>
  </si>
  <si>
    <t>1. Rahul Gadia</t>
  </si>
  <si>
    <t>Salary: 2500</t>
  </si>
  <si>
    <t>Salary: 2800</t>
  </si>
  <si>
    <t>Salary: 3500</t>
  </si>
  <si>
    <t>2. Anand Akj</t>
  </si>
  <si>
    <t>Best Bowler:1 ( 200 )</t>
  </si>
  <si>
    <t>Best Batsman: 1 ( 200 )</t>
  </si>
  <si>
    <t>Salary: 1000</t>
  </si>
  <si>
    <t>Man of the match: 1 ( 500 )</t>
  </si>
  <si>
    <t>3. Bhavesh B</t>
  </si>
  <si>
    <t>Champions: 5300</t>
  </si>
  <si>
    <t>10. Muhammad Noor</t>
  </si>
  <si>
    <t>Best Bowler: 2 ( 400 )</t>
  </si>
  <si>
    <t>3. Chiranjibi Samal</t>
  </si>
  <si>
    <t>Salary: 1700</t>
  </si>
  <si>
    <t>Salary: 1500</t>
  </si>
  <si>
    <t xml:space="preserve">Pakistan Super League : </t>
  </si>
  <si>
    <t>LAHORE QALANDARS</t>
  </si>
  <si>
    <t xml:space="preserve">PINDIZ </t>
  </si>
  <si>
    <t>MULTAN SULTANS</t>
  </si>
  <si>
    <t xml:space="preserve">KARACHI KINGS </t>
  </si>
  <si>
    <t>QUETTA GLADIATORS</t>
  </si>
  <si>
    <t>HYDERABAD KINGSMEN</t>
  </si>
  <si>
    <t xml:space="preserve">Team Profit: </t>
  </si>
  <si>
    <t>Team Profit: 10550</t>
  </si>
  <si>
    <t>Team Profit: 15750</t>
  </si>
  <si>
    <t>Team Profit: 7300</t>
  </si>
  <si>
    <t>Team Profit: 13760</t>
  </si>
  <si>
    <t>1. Saubhagya Gupta</t>
  </si>
  <si>
    <t>1. Anand AJK</t>
  </si>
  <si>
    <t>1. Chiranjibi Samal</t>
  </si>
  <si>
    <t>Salary: 2200</t>
  </si>
  <si>
    <t>Direct Signing: 5000</t>
  </si>
  <si>
    <t>Salary: 500</t>
  </si>
  <si>
    <t>Salary: 4000</t>
  </si>
  <si>
    <t>Man of the match: 1 (500)</t>
  </si>
  <si>
    <t>Best Batsman:2 (400)</t>
  </si>
  <si>
    <t>Salary: 2700</t>
  </si>
  <si>
    <t>Best Batsman: 2 (400)</t>
  </si>
  <si>
    <t>2. Rizwan Mansoori</t>
  </si>
  <si>
    <t>Best Bowler: 1 (200)</t>
  </si>
  <si>
    <t>3. Abrar Ali</t>
  </si>
  <si>
    <t>Salary: 3300</t>
  </si>
  <si>
    <t>Runners up: 2480</t>
  </si>
  <si>
    <t>Salary: 3750</t>
  </si>
  <si>
    <t>2. K Rakesh</t>
  </si>
  <si>
    <t>Salary: 2850</t>
  </si>
  <si>
    <t>Best Batsman:1 (200)</t>
  </si>
  <si>
    <t>Salary: 3000</t>
  </si>
  <si>
    <t>Best Bowler: 2 (400)</t>
  </si>
  <si>
    <t>4. Rahul Gadia</t>
  </si>
  <si>
    <t>3. Malaram Patel</t>
  </si>
  <si>
    <t>Salary: 3100</t>
  </si>
  <si>
    <t>4. K Srinidhi</t>
  </si>
  <si>
    <t>5. Lal Krishna</t>
  </si>
  <si>
    <t>6. Anik Dey</t>
  </si>
  <si>
    <t>Salary: 700</t>
  </si>
  <si>
    <t xml:space="preserve">7. Zeeshan </t>
  </si>
  <si>
    <t>Salary: 1100</t>
  </si>
  <si>
    <t>Best Batsman: 1 (200)</t>
  </si>
  <si>
    <t>Big Bash League ( Own League )</t>
  </si>
  <si>
    <t>Hosting Rights : 100000</t>
  </si>
  <si>
    <t>All Team Profit: 522300</t>
  </si>
  <si>
    <t>Adelaide Strikers</t>
  </si>
  <si>
    <t>Hobart Hurricanes</t>
  </si>
  <si>
    <t>Melbourne Renegades</t>
  </si>
  <si>
    <t>Perth Scorchers</t>
  </si>
  <si>
    <t>Sydney Thunders</t>
  </si>
  <si>
    <t>Team Profit: 43000</t>
  </si>
  <si>
    <t>Team Profit: 66800</t>
  </si>
  <si>
    <t>Team Profit: 51000</t>
  </si>
  <si>
    <t>Team Profit: 43500</t>
  </si>
  <si>
    <t>Team Profit: 38700</t>
  </si>
  <si>
    <t>Team Profit: 20000</t>
  </si>
  <si>
    <t>Team Profit: 183000</t>
  </si>
  <si>
    <t>Team Profit: 40000</t>
  </si>
  <si>
    <t>1. Donald Baghwar</t>
  </si>
  <si>
    <t>1. Keshav Shah</t>
  </si>
  <si>
    <t>1. K Srinidhi</t>
  </si>
  <si>
    <t>1. Waqas Mughal</t>
  </si>
  <si>
    <t>1. Malaram Patel</t>
  </si>
  <si>
    <t>Captain Salary: 20000</t>
  </si>
  <si>
    <t>2. Anik Dey Shanto</t>
  </si>
  <si>
    <t>Man of the Match: 3 (3000)</t>
  </si>
  <si>
    <t>2. K Rakesh CSK</t>
  </si>
  <si>
    <t>Man of the Match: 4 ( 4000 )</t>
  </si>
  <si>
    <t>2. Saubhagya Gupta</t>
  </si>
  <si>
    <t>Best Bowler: 2 (1000)</t>
  </si>
  <si>
    <t>Marquee Salary: 20000</t>
  </si>
  <si>
    <t>Best Batsman: 4 ( 2000 )</t>
  </si>
  <si>
    <t>Fair Play Award(Captain): 3500</t>
  </si>
  <si>
    <t>3. Arjun</t>
  </si>
  <si>
    <t>3. Ankan Biswas</t>
  </si>
  <si>
    <t>3. Manish Indoria</t>
  </si>
  <si>
    <t>2. Mahi Mahendra</t>
  </si>
  <si>
    <t>Salary: 7000</t>
  </si>
  <si>
    <t>Runners up(Captain): 7000</t>
  </si>
  <si>
    <t>Salary: 6000</t>
  </si>
  <si>
    <t>Most Sixes: 10000</t>
  </si>
  <si>
    <t>Best Batsman: 1 ( 500 )</t>
  </si>
  <si>
    <t>3. Ajay</t>
  </si>
  <si>
    <t>2. Abrar Ali</t>
  </si>
  <si>
    <t>Golden Bat( Best Batsman): 20000</t>
  </si>
  <si>
    <t>Fair Play Award: 3100</t>
  </si>
  <si>
    <t>4. Nihas</t>
  </si>
  <si>
    <t>Player of the Tournament: 40000</t>
  </si>
  <si>
    <t>3. Zeeshan</t>
  </si>
  <si>
    <t>4. Manish</t>
  </si>
  <si>
    <t>Champions(Captain): 13000</t>
  </si>
  <si>
    <t>Salary: 8000</t>
  </si>
  <si>
    <t>Salary: 1800</t>
  </si>
  <si>
    <t>2. Anand AJK</t>
  </si>
  <si>
    <t>Runners up: 6200</t>
  </si>
  <si>
    <t>4. Kushagra</t>
  </si>
  <si>
    <t>Best Young Player: 10000</t>
  </si>
  <si>
    <t>Rating By All Boards on BBL 2026(9 out of 10): 45000 credits</t>
  </si>
  <si>
    <t>Champions: 11000</t>
  </si>
  <si>
    <t xml:space="preserve">Kiwi Crown League : </t>
  </si>
  <si>
    <t>All Team Profit: 40000</t>
  </si>
  <si>
    <t xml:space="preserve">Wellington Warriors </t>
  </si>
  <si>
    <t>Auckland Aces</t>
  </si>
  <si>
    <t>Otago Volts</t>
  </si>
  <si>
    <t>Central Stags</t>
  </si>
  <si>
    <t>Queenstown Royals</t>
  </si>
  <si>
    <t>1. Anik Dey</t>
  </si>
  <si>
    <t>1. Donald</t>
  </si>
  <si>
    <t>1. Arjun Akj</t>
  </si>
  <si>
    <t xml:space="preserve">Salary: 2000 </t>
  </si>
  <si>
    <t xml:space="preserve">Salary: 20000 </t>
  </si>
  <si>
    <t>Direct Signing: 20000</t>
  </si>
  <si>
    <t xml:space="preserve">Salary: 11000 </t>
  </si>
  <si>
    <t xml:space="preserve">Salary: 8000 </t>
  </si>
  <si>
    <t>Man of the match: 1 (1500)</t>
  </si>
  <si>
    <t>Man of the Match: 1 (1500)</t>
  </si>
  <si>
    <t>2. K Srinidhi</t>
  </si>
  <si>
    <t>Man of the match: 2 (3000)</t>
  </si>
  <si>
    <t>Best Bowler: 1 (750)</t>
  </si>
  <si>
    <t>Best Batsman: 1 (750)</t>
  </si>
  <si>
    <t xml:space="preserve">Salary: 6500 </t>
  </si>
  <si>
    <t>Salary: 6500</t>
  </si>
  <si>
    <t>Best Batsman: 2 (1500)</t>
  </si>
  <si>
    <t>Fair Play: 5555</t>
  </si>
  <si>
    <t>2. Chiranjibi Samal</t>
  </si>
  <si>
    <t>Champions: 19900</t>
  </si>
  <si>
    <t>Best Bowler of the Tournament: 40000</t>
  </si>
  <si>
    <t xml:space="preserve">Salary: 10000 </t>
  </si>
  <si>
    <t xml:space="preserve">Salary: 13000 </t>
  </si>
  <si>
    <t>Runners Up: 9950</t>
  </si>
  <si>
    <t xml:space="preserve">Salary: 15000 </t>
  </si>
  <si>
    <t xml:space="preserve">Salary: 1000 </t>
  </si>
  <si>
    <t>Salary: 10000</t>
  </si>
  <si>
    <t xml:space="preserve">Salary: 3500 </t>
  </si>
  <si>
    <t>4. Anand Ajk</t>
  </si>
  <si>
    <t xml:space="preserve">Salary: 4000 </t>
  </si>
  <si>
    <t>4. Ankan Biswas</t>
  </si>
  <si>
    <t>5. Manish Indoria</t>
  </si>
  <si>
    <t>Salary: 2000</t>
  </si>
  <si>
    <t>5. Muhammad Noor</t>
  </si>
  <si>
    <t>Bangladesh Premier League :</t>
  </si>
  <si>
    <t>BARISAL RIVER RIDERS</t>
  </si>
  <si>
    <t>CHANDPUR ILLISH TITANS</t>
  </si>
  <si>
    <t>SYLHET EMERALD BLADES</t>
  </si>
  <si>
    <t>RAJSHAHI MANGO LEGION</t>
  </si>
  <si>
    <t>DHAKA BURIGANGA BLAZERS</t>
  </si>
  <si>
    <t>CHITTAGONG MARINERS</t>
  </si>
  <si>
    <t>MAINAMATI TITANS</t>
  </si>
  <si>
    <t>SONARGAON ROYALS</t>
  </si>
  <si>
    <t>MYMENSINGH MAVERICKS</t>
  </si>
  <si>
    <t>CUMILA FALCONS</t>
  </si>
  <si>
    <t>1. Ankan</t>
  </si>
  <si>
    <t>1. Donald Baghwar Dkhar</t>
  </si>
  <si>
    <t>1. Zeeshan</t>
  </si>
  <si>
    <t>1. Arjun</t>
  </si>
  <si>
    <t>1. Rizwan</t>
  </si>
  <si>
    <t>Salary: 5000</t>
  </si>
  <si>
    <t>Direct Signing: 25000</t>
  </si>
  <si>
    <t>Salary: 1400</t>
  </si>
  <si>
    <t>Salary: 9500</t>
  </si>
  <si>
    <t>Salary: 20000</t>
  </si>
  <si>
    <t>Captain Salary: 80000</t>
  </si>
  <si>
    <t>2. Manish</t>
  </si>
  <si>
    <t>2. Rohit</t>
  </si>
  <si>
    <t>2. Anik</t>
  </si>
  <si>
    <t>Man of the Match: 1 (2000)</t>
  </si>
  <si>
    <t>Best Bowler: 1 (1000)</t>
  </si>
  <si>
    <t>Salary: 11000</t>
  </si>
  <si>
    <t>2. Anand</t>
  </si>
  <si>
    <t>3. Kashif</t>
  </si>
  <si>
    <t>Marquee: 30000</t>
  </si>
  <si>
    <t>Salary: 600</t>
  </si>
  <si>
    <t>3. Anurag Raj</t>
  </si>
  <si>
    <t>4. Noor</t>
  </si>
  <si>
    <t>5. Ashwini</t>
  </si>
  <si>
    <t>6. Waqas</t>
  </si>
  <si>
    <t>Salary: 35000</t>
  </si>
  <si>
    <t>7. Chiranjibi</t>
  </si>
  <si>
    <t>Salary: 26000</t>
  </si>
  <si>
    <t>8. Malaram</t>
  </si>
  <si>
    <t>Salary: 19000</t>
  </si>
  <si>
    <t>9. Rahul Gadia</t>
  </si>
  <si>
    <t>Best Batsman: 2 (2000)</t>
  </si>
  <si>
    <t>Tournament Cancelled</t>
  </si>
  <si>
    <t xml:space="preserve">Indian Premier League </t>
  </si>
  <si>
    <t>CHENNAI SUPER KINGS</t>
  </si>
  <si>
    <t>DELHI CAPITALS</t>
  </si>
  <si>
    <t>GUJRAT TITANS</t>
  </si>
  <si>
    <t>KOLKATA KNIGHT RIDERS</t>
  </si>
  <si>
    <t>LUCKNOW SUPER GAINTS</t>
  </si>
  <si>
    <t>MUMBAI INDIANS</t>
  </si>
  <si>
    <t>PUNJAB KINGS</t>
  </si>
  <si>
    <t>RAJASTHAN ROYALS</t>
  </si>
  <si>
    <t>ROYAL CHALLENGERS BENGALURU</t>
  </si>
  <si>
    <t>SUNRISERS HYDERABAD</t>
  </si>
  <si>
    <t>1. Manish Indoria</t>
  </si>
  <si>
    <t>1. Harsh Dubey</t>
  </si>
  <si>
    <t>Salary: 18000</t>
  </si>
  <si>
    <t>Salary: 9000</t>
  </si>
  <si>
    <t>Marquee Salary: 50000</t>
  </si>
  <si>
    <t>Fair Play: 11000</t>
  </si>
  <si>
    <t>2. Malaram</t>
  </si>
  <si>
    <t>Man of the match: 1 (3000)</t>
  </si>
  <si>
    <t>Salary: 40000</t>
  </si>
  <si>
    <t>Best Batsman: 2 (3000)</t>
  </si>
  <si>
    <t>2. Waqas Mughal</t>
  </si>
  <si>
    <t xml:space="preserve">3. Keshav </t>
  </si>
  <si>
    <t>Salary: 49000</t>
  </si>
  <si>
    <t>Best Bowler: 1 (1500)</t>
  </si>
  <si>
    <t>Champions: 38800</t>
  </si>
  <si>
    <t>Best Batsman: 1 (1500)</t>
  </si>
  <si>
    <t>4. Chiranjibi</t>
  </si>
  <si>
    <t>Man of the match: 2 (6000)</t>
  </si>
  <si>
    <t>Salary: 27000</t>
  </si>
  <si>
    <t xml:space="preserve">3. Abrar Ali </t>
  </si>
  <si>
    <t>Best Bowler: 2 (3000)</t>
  </si>
  <si>
    <t>6. Rohit Patel</t>
  </si>
  <si>
    <t>4. Ashwini Verma</t>
  </si>
  <si>
    <t>Free Agent</t>
  </si>
  <si>
    <t>Salary: 4500</t>
  </si>
  <si>
    <t>Best Bowler: 3 (4500)</t>
  </si>
  <si>
    <t>5. Noor</t>
  </si>
  <si>
    <t>Salary: 5500</t>
  </si>
  <si>
    <t>6. Zeeshan</t>
  </si>
  <si>
    <t>Salary: 7500</t>
  </si>
  <si>
    <t>Caribbean Premier League :</t>
  </si>
  <si>
    <t>Antigua &amp; Barbuda Falcons</t>
  </si>
  <si>
    <t>St Kitts &amp; Nevis Patriots</t>
  </si>
  <si>
    <t>St Lucia Kings</t>
  </si>
  <si>
    <t>1. Noor</t>
  </si>
  <si>
    <t>Salary: 50000</t>
  </si>
  <si>
    <t>Marquee Salary: 60000</t>
  </si>
  <si>
    <t>Man of the match: 1 (3500)</t>
  </si>
  <si>
    <t>Runners up: 22000</t>
  </si>
  <si>
    <t>Best Bowler: 2 (3500)</t>
  </si>
  <si>
    <t>2. Kashif</t>
  </si>
  <si>
    <t>Player of the tournament: 180000</t>
  </si>
  <si>
    <t>2. Harsh</t>
  </si>
  <si>
    <t>Salary: 14000</t>
  </si>
  <si>
    <t>Best Batsman: 2 (3500)</t>
  </si>
  <si>
    <t xml:space="preserve">Scottish Premier League </t>
  </si>
  <si>
    <t>ABERDEEN TITANS</t>
  </si>
  <si>
    <t>DUNDEE WARRIORS</t>
  </si>
  <si>
    <t xml:space="preserve">EDINBURGH ROYALS </t>
  </si>
  <si>
    <t>GLASGOW GIANTS</t>
  </si>
  <si>
    <t>HIGHLAND HAWKS</t>
  </si>
  <si>
    <t>INVERNESS EAGLES</t>
  </si>
  <si>
    <t xml:space="preserve">LOTHIAN LIONS </t>
  </si>
  <si>
    <t>PERTH PANTHERS</t>
  </si>
  <si>
    <t>STIRLING KNIGHTS</t>
  </si>
  <si>
    <t>TARTAN STRIKERS</t>
  </si>
  <si>
    <t>1. Arjun AKJ</t>
  </si>
  <si>
    <t>1. Lal Krishna</t>
  </si>
  <si>
    <t>4. Ashfak</t>
  </si>
  <si>
    <t>Salary: 25000</t>
  </si>
  <si>
    <t>Best Bowler(5000): 1</t>
  </si>
  <si>
    <t>Man of the match: 1 (10000)</t>
  </si>
  <si>
    <t>Best Batsman: 1 (5000)</t>
  </si>
  <si>
    <t>Runners Up: 57000</t>
  </si>
  <si>
    <t>1. Muhammad Noor</t>
  </si>
  <si>
    <t>1. Ashwini Verma</t>
  </si>
  <si>
    <t>1. Malik Zubair</t>
  </si>
  <si>
    <t>1. Anand Ajikumar</t>
  </si>
  <si>
    <t>Salary: 30000</t>
  </si>
  <si>
    <t>Salary: 70000</t>
  </si>
  <si>
    <t>Salary: 130000</t>
  </si>
  <si>
    <t>Runners Up: 59825</t>
  </si>
  <si>
    <t>Fair Play: 33725</t>
  </si>
  <si>
    <t>2. Harsh Dubey</t>
  </si>
  <si>
    <t>2. Muhammad Shahzad</t>
  </si>
  <si>
    <t>Champions: 119175</t>
  </si>
  <si>
    <t>2. Arnab Sarkar</t>
  </si>
  <si>
    <t>Salary: 29000</t>
  </si>
  <si>
    <t>3. Keshav Shah</t>
  </si>
  <si>
    <t>3. Umar Khan</t>
  </si>
  <si>
    <t>Salary: 13000</t>
  </si>
  <si>
    <t>Salary: 125000</t>
  </si>
  <si>
    <t>Best Bowler: 2 (10000)</t>
  </si>
  <si>
    <t>4. Zeeshan Yaqoob Gujjar</t>
  </si>
  <si>
    <t>Best Bowler Award: 300000</t>
  </si>
  <si>
    <t>Player of the tournament: 540000</t>
  </si>
  <si>
    <t>Jamaica Kingsmen 🇯🇲</t>
  </si>
  <si>
    <t>Qatar Venoms</t>
  </si>
  <si>
    <t>Board: Bangladesh</t>
  </si>
  <si>
    <t>Chairman: Sai Naveen | CEO: Bhargab Kashyap</t>
  </si>
  <si>
    <r>
      <rPr>
        <b/>
      </rPr>
      <t xml:space="preserve">TITLE SPONSORS: </t>
    </r>
    <r>
      <rPr>
        <b/>
        <color rgb="FF1155CC"/>
        <u/>
      </rPr>
      <t>CrazieCric asmr</t>
    </r>
  </si>
  <si>
    <t xml:space="preserve">Traded Palyers: </t>
  </si>
  <si>
    <t>IOCF WORLD TEST CHAMPIONSHIP 🏆:</t>
  </si>
  <si>
    <t>Player limit exceeded: -10000</t>
  </si>
  <si>
    <t>CONTINENTAL CUP  2026 🏆: ( ASIA )</t>
  </si>
  <si>
    <t xml:space="preserve">Women's Global League 2026 🏆: </t>
  </si>
  <si>
    <t xml:space="preserve">ODI WORLD CUP 2026 🏆: </t>
  </si>
  <si>
    <t>1. Abhishek Adhikary</t>
  </si>
  <si>
    <t>1. Greater Asia Cup ( Home )</t>
  </si>
  <si>
    <t>2. Ahsan Siddiqui</t>
  </si>
  <si>
    <t>Home ( Afghanistan ): 5000 bet ( Won )</t>
  </si>
  <si>
    <t>2. Boult Taskin ( Away )</t>
  </si>
  <si>
    <t>Hosting Amount: 60k</t>
  </si>
  <si>
    <t>3. Ali Khan</t>
  </si>
  <si>
    <t>3. Battle of Giants ( Away )</t>
  </si>
  <si>
    <t>2. 25 to 30: 10000</t>
  </si>
  <si>
    <t>1. Vaibhav Batra</t>
  </si>
  <si>
    <t>4. Allabux Kapri</t>
  </si>
  <si>
    <t>Home (West Indies): 7000 bet (Lost)</t>
  </si>
  <si>
    <t>4. Dutch Bangla Battle (Away)</t>
  </si>
  <si>
    <t>Away ( West Indies ): 6000 bet ( Lost )</t>
  </si>
  <si>
    <t>5. Asad KB</t>
  </si>
  <si>
    <t>Away (England): 10000 bet ( Won )</t>
  </si>
  <si>
    <t>5. Lords Clash (Away)</t>
  </si>
  <si>
    <t>Home ( West Indies ): 6000 bet ( Lost )</t>
  </si>
  <si>
    <t>1. Redball War ( Away )</t>
  </si>
  <si>
    <t>1. Ali Khan</t>
  </si>
  <si>
    <t>6. Ishaq Farid</t>
  </si>
  <si>
    <t>Away (Netherlands): 4000 bet (Won)</t>
  </si>
  <si>
    <t>6. The Royal Protea Trophy (Home)</t>
  </si>
  <si>
    <t>Away (England): 10000 bet (Won)</t>
  </si>
  <si>
    <t>2. North Sea-Bay Challenge</t>
  </si>
  <si>
    <t>1. Bhargab Kashyap</t>
  </si>
  <si>
    <t>Man of the match(2000): 2</t>
  </si>
  <si>
    <t>Isitha</t>
  </si>
  <si>
    <t>7. Ishita Sharma</t>
  </si>
  <si>
    <t>Home (Pakistan): 5000 bet (Lost)</t>
  </si>
  <si>
    <t>7. Anglo Bengal ODI Trophy (Away)</t>
  </si>
  <si>
    <t>Home (Scotland): 5000 bet (Won)</t>
  </si>
  <si>
    <t>3. Tiger Tulip (Home)</t>
  </si>
  <si>
    <t>Best Batsman(1000): 3</t>
  </si>
  <si>
    <t>8. Karan Kumar</t>
  </si>
  <si>
    <t>Harsh  Dubey(Ban) - 20000</t>
  </si>
  <si>
    <t>Away(England): 5000 bet (Won)</t>
  </si>
  <si>
    <t>8. Tiger Orange Cup (Home)</t>
  </si>
  <si>
    <t>Away (Scotland): 5000 bet (Lost)</t>
  </si>
  <si>
    <t>4. Solidarity Cup (Away)</t>
  </si>
  <si>
    <t>9. Kalpana Bhujel</t>
  </si>
  <si>
    <t>8. Aashutosh from ND: 15000</t>
  </si>
  <si>
    <t>Away(Pakistan): 5000 bet (Lost)</t>
  </si>
  <si>
    <t>9. American-Bangla Trophy (Away)</t>
  </si>
  <si>
    <t>5. Arabia-Bengal Test (Away)</t>
  </si>
  <si>
    <t>Most Dot Balls(1000): 1</t>
  </si>
  <si>
    <t>10. Kaushik Kalita</t>
  </si>
  <si>
    <t>9. Bhavin to SA - 2500</t>
  </si>
  <si>
    <t>Home(South Africa): 5000 bet (Won)</t>
  </si>
  <si>
    <t>10. Tigers - Lions Forest Trophy (Home)</t>
  </si>
  <si>
    <t>Home(Netherlands): 4000 bet (Won)</t>
  </si>
  <si>
    <t>11. Mahira</t>
  </si>
  <si>
    <t>10. Raksh to SA - 2500</t>
  </si>
  <si>
    <t>Away(England): 5000 bet (Lost)</t>
  </si>
  <si>
    <t>Away(Newzeland): 6000 bet (Lost)</t>
  </si>
  <si>
    <t>Most Dot Balls(1000): 2</t>
  </si>
  <si>
    <t>12. Manan Irfan</t>
  </si>
  <si>
    <t>11. Saketh to SA - 2500</t>
  </si>
  <si>
    <t>Home(Netherlands/West Indies): 15000 (Lost)</t>
  </si>
  <si>
    <t>Home(Newzealand): 5000 bet (Lost)</t>
  </si>
  <si>
    <t>Man of the match(2000): 1</t>
  </si>
  <si>
    <t>4. Manan Irfan</t>
  </si>
  <si>
    <t>13. Partha Pratim Bora</t>
  </si>
  <si>
    <t>12. Bhavesh to SA - 2500</t>
  </si>
  <si>
    <t>Away(Pakistan): 5000 bet (Won)</t>
  </si>
  <si>
    <t>1. Crazie Cric asmr (Title Sponsors)</t>
  </si>
  <si>
    <t>5. Princhi Bora</t>
  </si>
  <si>
    <t>14. Pinky Kashyap</t>
  </si>
  <si>
    <t>13. Ahmed to Qatar - 2000</t>
  </si>
  <si>
    <t>1. Sons &amp; Daughter (Pakistan) : Home</t>
  </si>
  <si>
    <t>Away(Australia): 5000 bet (Lost)</t>
  </si>
  <si>
    <t>6. Waqas Mughal</t>
  </si>
  <si>
    <t>Man of the match(5000): 2</t>
  </si>
  <si>
    <t>15. Popi Sultana</t>
  </si>
  <si>
    <t>14. Ebad to Qatar - 2000</t>
  </si>
  <si>
    <t>Home(UAE): 5000 bet (Lost)</t>
  </si>
  <si>
    <t>2. The Stars &amp; Tigers series (USA) : Home</t>
  </si>
  <si>
    <t>Home(Australia): 5000 bet (Lost)</t>
  </si>
  <si>
    <t>4. Sai Naveen</t>
  </si>
  <si>
    <t>16. Princhi Pratim Bora</t>
  </si>
  <si>
    <t>15. Abdul to Qatar - 2000</t>
  </si>
  <si>
    <t>Home (Netherlands): 7000 bet (Won)</t>
  </si>
  <si>
    <t>Home( Bangladesh): 5000 bet (Lost)</t>
  </si>
  <si>
    <t>Runners-UP</t>
  </si>
  <si>
    <t>Best Bowler(3000): 2</t>
  </si>
  <si>
    <t>17. Rahees Ashiq</t>
  </si>
  <si>
    <t>16. Ashutosh to NZ- 5000</t>
  </si>
  <si>
    <t>Away(Italy): 5000 (Lost)</t>
  </si>
  <si>
    <t xml:space="preserve">Whitewash Won: </t>
  </si>
  <si>
    <t>Away(Qatar): 5000 bet (Won)</t>
  </si>
  <si>
    <t>18. Rajab Baloch</t>
  </si>
  <si>
    <t>17. Rao Abul to Qatar - 15000</t>
  </si>
  <si>
    <t>Home(USA): 5000 (Lost)</t>
  </si>
  <si>
    <t>Home(South Africa): 10000 (Lost)</t>
  </si>
  <si>
    <t>7. Tanusri Dutta</t>
  </si>
  <si>
    <t>19. Shubham Dudi</t>
  </si>
  <si>
    <t>18. Harsh Dubey to Qatar - 15000</t>
  </si>
  <si>
    <t>Away(USA): 5000 (Won)</t>
  </si>
  <si>
    <t>1. Tigers - Lions Forest Trophy (Home)</t>
  </si>
  <si>
    <t>20. Sidd V Jain</t>
  </si>
  <si>
    <t>19. Adithya to RSA - 15000</t>
  </si>
  <si>
    <t>Home(England): 10000 (Won)</t>
  </si>
  <si>
    <t>8. Ahsan Siddiqui</t>
  </si>
  <si>
    <t>Emerging Player of the Tournament: 200000</t>
  </si>
  <si>
    <t>21. Suraj Shetty</t>
  </si>
  <si>
    <t>20. Ritik from Ned - 1000</t>
  </si>
  <si>
    <t>IOCF HALL OF FAME</t>
  </si>
  <si>
    <t>Man of the Match: 3 (1000)</t>
  </si>
  <si>
    <t>22. Tasnim</t>
  </si>
  <si>
    <t>21. Ashfak to Aus - 23000</t>
  </si>
  <si>
    <t>Prediction Contest: 1st Place</t>
  </si>
  <si>
    <t>23. Tansuri Dutta</t>
  </si>
  <si>
    <t>22. Rohan (10k) - USA Chairman</t>
  </si>
  <si>
    <t>Best Bowler: 5 (500)</t>
  </si>
  <si>
    <t>Fantasy League: 5th Place</t>
  </si>
  <si>
    <t>24. Tanushree</t>
  </si>
  <si>
    <t>23. Gaurav to USA - 2000</t>
  </si>
  <si>
    <t>Ice in their Veins :  Top Wicket Taker</t>
  </si>
  <si>
    <t>2. Karan Kumar</t>
  </si>
  <si>
    <t>25. Vaibhav Batra</t>
  </si>
  <si>
    <t>24. Adil from USA: 10000</t>
  </si>
  <si>
    <t>PSL</t>
  </si>
  <si>
    <t>26. Waqas Mughal</t>
  </si>
  <si>
    <t>25. Waqas from Aus: 200000</t>
  </si>
  <si>
    <t>27. Yasin Iqbal</t>
  </si>
  <si>
    <t>26. Sajjad to Canada: 25000</t>
  </si>
  <si>
    <t>3. Harsh Dubey</t>
  </si>
  <si>
    <t>27. Allabux from Canada: 25000</t>
  </si>
  <si>
    <t>25. Adil to USA: Free</t>
  </si>
  <si>
    <t>26. Shubham from Kenya: 15000</t>
  </si>
  <si>
    <t>4. Ahsan Siddiqui</t>
  </si>
  <si>
    <t>4. Harsh Dubey</t>
  </si>
  <si>
    <t>27. Sid from SA: 100000</t>
  </si>
  <si>
    <t>28. Kaushik from SA: 100000</t>
  </si>
  <si>
    <t>29. Gamshad to Spain: Free</t>
  </si>
  <si>
    <t>5. Manan Irfan</t>
  </si>
  <si>
    <t>5. Ahsan Siddiqui</t>
  </si>
  <si>
    <t>6. Adithya Mahajan</t>
  </si>
  <si>
    <t>7. Bhargab Kashyap</t>
  </si>
  <si>
    <t>6. Princhi Bora</t>
  </si>
  <si>
    <t>8. Ali Khan</t>
  </si>
  <si>
    <t>7. Partha Bora</t>
  </si>
  <si>
    <t>8. Abhishek Adhikary</t>
  </si>
  <si>
    <t xml:space="preserve">THE HUNDRED : </t>
  </si>
  <si>
    <t>No one is playing: They're new to IOCF</t>
  </si>
  <si>
    <t>Sai Naveen, Bhavesh &amp; Siddiqui called for national duty ( Bangladesh ) for 15k</t>
  </si>
  <si>
    <t>Pakistan Super League : 51070</t>
  </si>
  <si>
    <t>Team Profit: 5490</t>
  </si>
  <si>
    <t>Team Profit: 1200</t>
  </si>
  <si>
    <t>Team Profit: 17400</t>
  </si>
  <si>
    <t>Team Profit: 21980</t>
  </si>
  <si>
    <t>1. Rajab Baloch</t>
  </si>
  <si>
    <t>Direct Signing: 3000</t>
  </si>
  <si>
    <t>Champions: 4990</t>
  </si>
  <si>
    <t>Best Bowler:1 (200)</t>
  </si>
  <si>
    <t>3. Siddiqui Ahsan</t>
  </si>
  <si>
    <t>2. Bhavesh</t>
  </si>
  <si>
    <t>Best Bowler:2 (400)</t>
  </si>
  <si>
    <t>3. Saketh</t>
  </si>
  <si>
    <t>4. Harsh</t>
  </si>
  <si>
    <t>5. Asad</t>
  </si>
  <si>
    <t>4. Sajjad Kapri</t>
  </si>
  <si>
    <t>6. Ghamshad</t>
  </si>
  <si>
    <t>5. Ahsas</t>
  </si>
  <si>
    <t>7. Rahees</t>
  </si>
  <si>
    <t>8. Ahmed</t>
  </si>
  <si>
    <t>6. Neak M</t>
  </si>
  <si>
    <t xml:space="preserve">9. Edad </t>
  </si>
  <si>
    <t>Big Bash League :</t>
  </si>
  <si>
    <t>All Team Profit: 145800</t>
  </si>
  <si>
    <t>Team Profit: 35500</t>
  </si>
  <si>
    <t>Team Profit: 29300</t>
  </si>
  <si>
    <t>Team Profit: 9000</t>
  </si>
  <si>
    <t>Team Profit: 66000</t>
  </si>
  <si>
    <t>Team Profit: 2000</t>
  </si>
  <si>
    <t>1. Bhavesh B</t>
  </si>
  <si>
    <t>1. Karan</t>
  </si>
  <si>
    <t>1. Bhavin</t>
  </si>
  <si>
    <t>1. Ebad</t>
  </si>
  <si>
    <t>Man of the match: 1 (1000)</t>
  </si>
  <si>
    <t>Man of the match: 1 ( 1000)</t>
  </si>
  <si>
    <t>Best Batsman: 2 (1000)</t>
  </si>
  <si>
    <t>Best Bowler: 4 ( 2000 )</t>
  </si>
  <si>
    <t>2. Ahmed</t>
  </si>
  <si>
    <t>Man of the Match: 1 ( 1000 )</t>
  </si>
  <si>
    <t>2. Ahsan</t>
  </si>
  <si>
    <t>3. Rahees</t>
  </si>
  <si>
    <t>3. Ghamshad</t>
  </si>
  <si>
    <t>4. Vaibhav</t>
  </si>
  <si>
    <t>4. Sajjad</t>
  </si>
  <si>
    <t>5. Princhi</t>
  </si>
  <si>
    <t>6. Bhargab</t>
  </si>
  <si>
    <t>Kiwi Crown League :</t>
  </si>
  <si>
    <t>1. Muhammad Ahmed</t>
  </si>
  <si>
    <t>1. Princhi</t>
  </si>
  <si>
    <t>1. Saketh Balne</t>
  </si>
  <si>
    <t xml:space="preserve">Salary: 3000 </t>
  </si>
  <si>
    <t>Best Bowler: 2 (1500)</t>
  </si>
  <si>
    <t xml:space="preserve">Salary: 12000 </t>
  </si>
  <si>
    <t>2. Bhavin Kumar</t>
  </si>
  <si>
    <t>3. Rakshith Raksh</t>
  </si>
  <si>
    <t xml:space="preserve">Salary: 500 </t>
  </si>
  <si>
    <t>3. Vaibhav Batra</t>
  </si>
  <si>
    <t>4. Aashutosh Jha</t>
  </si>
  <si>
    <t>No Salary (Traded)</t>
  </si>
  <si>
    <t>Bangladesh Premier League ( Own League )</t>
  </si>
  <si>
    <t>Hosting Rights : 250000</t>
  </si>
  <si>
    <t>Fine from Afghanistan of 150000 for withdrawing from league</t>
  </si>
  <si>
    <t xml:space="preserve">1. Sai Naveen </t>
  </si>
  <si>
    <t xml:space="preserve">1. Vaibhav Batra </t>
  </si>
  <si>
    <t xml:space="preserve">1. Ahmed </t>
  </si>
  <si>
    <t>1. Princhi Bora</t>
  </si>
  <si>
    <t xml:space="preserve">1. Ebad Malik </t>
  </si>
  <si>
    <t>1. Ahsan Siddiqui</t>
  </si>
  <si>
    <t>1. Ashutosh Jha</t>
  </si>
  <si>
    <t>Man of the match: 1 (2000)</t>
  </si>
  <si>
    <t>2. Rakshith Raksh</t>
  </si>
  <si>
    <t>2. Abdul Haseeb Siddiq</t>
  </si>
  <si>
    <t>2. Manan Irfan</t>
  </si>
  <si>
    <t>Best Batsman: 1 (1000)</t>
  </si>
  <si>
    <t>Best Bowler: 2 (2000)</t>
  </si>
  <si>
    <t>2. Gaurav Mittal</t>
  </si>
  <si>
    <t>Marquee Salary: 30000</t>
  </si>
  <si>
    <t>2. Abrar Ahmed</t>
  </si>
  <si>
    <t>2. Bhargab Kashyap</t>
  </si>
  <si>
    <t>2. Ghamshad Kapri</t>
  </si>
  <si>
    <t>3. chintu</t>
  </si>
  <si>
    <t>3. Anu</t>
  </si>
  <si>
    <t>3. Meer</t>
  </si>
  <si>
    <t>3. Rahees Ashiq</t>
  </si>
  <si>
    <t>3. Rajab</t>
  </si>
  <si>
    <t>3. Karan Kumar</t>
  </si>
  <si>
    <t>Salary: 900</t>
  </si>
  <si>
    <t>4. M Huzaifa</t>
  </si>
  <si>
    <t>4. Asad</t>
  </si>
  <si>
    <t>5. Adithya</t>
  </si>
  <si>
    <t>Salary: 1600</t>
  </si>
  <si>
    <t>5. Alapan Das</t>
  </si>
  <si>
    <t>6. Rao Abul</t>
  </si>
  <si>
    <t>Salary: 1300</t>
  </si>
  <si>
    <t>Cancellation Fine: 125000</t>
  </si>
  <si>
    <t>1. Vaibhav</t>
  </si>
  <si>
    <t>1. Meer Kamran</t>
  </si>
  <si>
    <t>Direct Signing: 35000</t>
  </si>
  <si>
    <t>2. Adithya Mahajn</t>
  </si>
  <si>
    <t>2. Huzaifa</t>
  </si>
  <si>
    <t>Best Bowler : 1 (1500)</t>
  </si>
  <si>
    <t>Salary: 41000</t>
  </si>
  <si>
    <t>2. Bhargab</t>
  </si>
  <si>
    <t>3. Gaurav</t>
  </si>
  <si>
    <t>3. Ahsan</t>
  </si>
  <si>
    <t>4. Princhi</t>
  </si>
  <si>
    <t>Salary: 8500</t>
  </si>
  <si>
    <t>1. Karan Kumar</t>
  </si>
  <si>
    <t xml:space="preserve">1. Partha </t>
  </si>
  <si>
    <t>1. Siddiqui Ahsan</t>
  </si>
  <si>
    <t>Direct Signing: 100000</t>
  </si>
  <si>
    <t>Salary: 32000</t>
  </si>
  <si>
    <t>2. Sajjad Kapri</t>
  </si>
  <si>
    <t>2. Vaibhav Batra</t>
  </si>
  <si>
    <t>Best Bowler: 2 (5000)</t>
  </si>
  <si>
    <t xml:space="preserve">3. Princhi </t>
  </si>
  <si>
    <t>5. Gaurav Mittal</t>
  </si>
  <si>
    <t>6. Ali Khan</t>
  </si>
  <si>
    <t>1. Rahees Ashiq</t>
  </si>
  <si>
    <t>1. Ghamshad Kapri</t>
  </si>
  <si>
    <t>1. Ali Azhar</t>
  </si>
  <si>
    <t>Salary: 12000</t>
  </si>
  <si>
    <t>Salary: 55000</t>
  </si>
  <si>
    <t>2. Farhan Mallick</t>
  </si>
  <si>
    <t>Man of the match: 3 (10000)</t>
  </si>
  <si>
    <t>2. Abhishek Adhikary</t>
  </si>
  <si>
    <t>Salary: 90000</t>
  </si>
  <si>
    <t>Best Bowler: 3 (5000)</t>
  </si>
  <si>
    <t>3. Bhargab Kashyap</t>
  </si>
  <si>
    <t>Salary: 95000</t>
  </si>
  <si>
    <t>4. Ishita</t>
  </si>
  <si>
    <t>3. Partha Pratim Bora</t>
  </si>
  <si>
    <t>6. Tanusri</t>
  </si>
  <si>
    <t>7. Allahbux Kapri</t>
  </si>
  <si>
    <t>Board: Canada</t>
  </si>
  <si>
    <t>Chairman: Farhan Rizvi | CEO: Faraz Kapri</t>
  </si>
  <si>
    <t xml:space="preserve">Associate Nations CUP 2026  🏆: </t>
  </si>
  <si>
    <t>1. Aftab</t>
  </si>
  <si>
    <t>1. Croco-Owl Series ( Away )</t>
  </si>
  <si>
    <t>2. Akash</t>
  </si>
  <si>
    <t>Away( Zimbabwe ): 5000 bet ( Won )</t>
  </si>
  <si>
    <t>2. Red Leaf Cup (Home)</t>
  </si>
  <si>
    <t>3. Arsalan Kapri</t>
  </si>
  <si>
    <t>Home(USA &amp; Uganda): 5000 bet (Won)</t>
  </si>
  <si>
    <t>3. ODI WC Warmup 1 (Home)</t>
  </si>
  <si>
    <t>1. Farhan Rizvi</t>
  </si>
  <si>
    <t>4. Ayaz</t>
  </si>
  <si>
    <t>Away(USA): 3000 (Lost)</t>
  </si>
  <si>
    <t>4. Rhino - Owl Cup (Away)</t>
  </si>
  <si>
    <t>5. Blassy</t>
  </si>
  <si>
    <t>5. Irish Canadian Cup (Away)</t>
  </si>
  <si>
    <t>2. Faraz Kapri</t>
  </si>
  <si>
    <t>1. Naveen Gupta</t>
  </si>
  <si>
    <t>Man of the Match(2000): 3</t>
  </si>
  <si>
    <t>6. Chaitanya Deshpande</t>
  </si>
  <si>
    <t>Home(Australia): 5000 (Won)</t>
  </si>
  <si>
    <t>6. The Latitude Clash (Away)</t>
  </si>
  <si>
    <t>Best Batsman (1000): 1</t>
  </si>
  <si>
    <t>7. Faizan</t>
  </si>
  <si>
    <t>Away(South Africa): 5000 (Won)</t>
  </si>
  <si>
    <t>7.  RED &amp; GREEN RIVALRY II (Away)</t>
  </si>
  <si>
    <t>Best Bowler(1000): 3</t>
  </si>
  <si>
    <t>8. Manjeet</t>
  </si>
  <si>
    <t>Away(Ireland): 5000 (Won)</t>
  </si>
  <si>
    <t>Best Bat Average(10000)</t>
  </si>
  <si>
    <t>9. Mansoor</t>
  </si>
  <si>
    <t>Home(Newzealand): 5000 (Lost)</t>
  </si>
  <si>
    <t>Player of the Tournament(30000)</t>
  </si>
  <si>
    <t>10. Najibullah</t>
  </si>
  <si>
    <t>Away(PNG,Netherlands &amp; West Indies): 7500 (Lost)</t>
  </si>
  <si>
    <t>2. Rehan</t>
  </si>
  <si>
    <t>11. Ahsas Kapri</t>
  </si>
  <si>
    <t>Home(Spain &amp; Kenya): 5000 bet (Lost)</t>
  </si>
  <si>
    <t>Best Batsman of the Tournament(15000)</t>
  </si>
  <si>
    <t>12. Neak Mohammad</t>
  </si>
  <si>
    <t>Away(Australia &amp; West Indies): 10000 (Lost)</t>
  </si>
  <si>
    <t>3. Akash Pol</t>
  </si>
  <si>
    <t>13. Rehan</t>
  </si>
  <si>
    <t>Away(West Indies): 5000 (Won)</t>
  </si>
  <si>
    <t>14. Romeo</t>
  </si>
  <si>
    <t>Away(Ireland): 5000 (Lost)</t>
  </si>
  <si>
    <t>15. Sajjad Kapri</t>
  </si>
  <si>
    <t>16. Sahnavaz</t>
  </si>
  <si>
    <t>1. Sajjad from Bangladesh: 25000</t>
  </si>
  <si>
    <t>17. Shebin</t>
  </si>
  <si>
    <t>2. Allabux to Bangladesh: 25000</t>
  </si>
  <si>
    <t>18. Vishesh</t>
  </si>
  <si>
    <t>3. Naveen to PNG: Free</t>
  </si>
  <si>
    <t>19. Fawad Kapri</t>
  </si>
  <si>
    <t>1. Blessy</t>
  </si>
  <si>
    <t>Salary: 15000</t>
  </si>
  <si>
    <t>Board: England</t>
  </si>
  <si>
    <t>Chairman: Diljith Das | CEO: Sujith CS Ctr</t>
  </si>
  <si>
    <r>
      <rPr>
        <b/>
      </rPr>
      <t xml:space="preserve">TITLE SPONSORS: </t>
    </r>
    <r>
      <rPr>
        <b/>
        <color rgb="FF1155CC"/>
        <u/>
      </rPr>
      <t>Cricket Circle</t>
    </r>
  </si>
  <si>
    <r>
      <rPr>
        <b/>
      </rPr>
      <t xml:space="preserve">KIT SPONSORS: </t>
    </r>
    <r>
      <rPr>
        <b/>
        <color rgb="FF1155CC"/>
        <u/>
      </rPr>
      <t>S-Mark SportsWear</t>
    </r>
  </si>
  <si>
    <r>
      <rPr>
        <b/>
      </rPr>
      <t xml:space="preserve">MERCHANDISE SPONSORS: </t>
    </r>
    <r>
      <rPr>
        <b/>
        <color rgb="FF1155CC"/>
        <u/>
      </rPr>
      <t>Brand Sports</t>
    </r>
  </si>
  <si>
    <t>Whitewash lose:</t>
  </si>
  <si>
    <t>Traded Player:</t>
  </si>
  <si>
    <t xml:space="preserve">IOCF T20 WORLD CUP 🏆 : </t>
  </si>
  <si>
    <t>EMERGING TALENTS LEAGUE:</t>
  </si>
  <si>
    <t>CONTINENTAL CUP 2026 🏆: ( EURO )</t>
  </si>
  <si>
    <t>1. Aash Muhammad</t>
  </si>
  <si>
    <t>1. Sir Vivian Richards Trophy ( Away )</t>
  </si>
  <si>
    <t>2. Abhijith</t>
  </si>
  <si>
    <t>Away( West Indies ): 10000 bet ( Won )</t>
  </si>
  <si>
    <t>1. Anderson Tendulkar ( India )</t>
  </si>
  <si>
    <t>2. Anglo Scotish Trophy ( Home )</t>
  </si>
  <si>
    <t>1. Subaida to SA : 7000</t>
  </si>
  <si>
    <t xml:space="preserve">Players Awards: 30000 </t>
  </si>
  <si>
    <t xml:space="preserve">Tournament Awards: </t>
  </si>
  <si>
    <t>3. Achuz Sukumaran</t>
  </si>
  <si>
    <t>Home( India ): 5000 bet ( Lost )</t>
  </si>
  <si>
    <t>2. The Ashes ( Test - Australia )</t>
  </si>
  <si>
    <t>3. Commonwealth Crown ( Home )</t>
  </si>
  <si>
    <t>2. Hirak to Ned: 5000</t>
  </si>
  <si>
    <t>Players Awards: 7600</t>
  </si>
  <si>
    <t>1. Toby Joseph</t>
  </si>
  <si>
    <t>Match of the Tournament:</t>
  </si>
  <si>
    <t>Eng vs WI (15000)</t>
  </si>
  <si>
    <t>1. Diljith Das</t>
  </si>
  <si>
    <t>4. Ajin P Anil</t>
  </si>
  <si>
    <t>Home ( Scotland ): 5000 bet ( Won )</t>
  </si>
  <si>
    <t>4. Crown series ( Home )</t>
  </si>
  <si>
    <t>3. Ashuotsh to Ned: 5000</t>
  </si>
  <si>
    <t>1. Rahees</t>
  </si>
  <si>
    <t>Most Dot Balls(65): 5000</t>
  </si>
  <si>
    <t>Home(West Indies): 6000 bet (Lost)</t>
  </si>
  <si>
    <t>Best Talent Discovery Board:</t>
  </si>
  <si>
    <t>England (10000)</t>
  </si>
  <si>
    <t>5. Arjun AKJ</t>
  </si>
  <si>
    <t>Away ( Afghanistan): 3000 bet ( Lost )</t>
  </si>
  <si>
    <t>5. Yuvraj Flintoff ( Away )</t>
  </si>
  <si>
    <t>4. Subaida to Italy: 7000</t>
  </si>
  <si>
    <t>2. Rejith Mohan</t>
  </si>
  <si>
    <t>Home (Italy): 5000 bet (Won)</t>
  </si>
  <si>
    <t>1. Royal Test</t>
  </si>
  <si>
    <t>Fair Play:</t>
  </si>
  <si>
    <t>England(15000)</t>
  </si>
  <si>
    <t>1. Safeer Babu</t>
  </si>
  <si>
    <t>Man of the match(2000): 4</t>
  </si>
  <si>
    <t>1. Sujith CS Ctr</t>
  </si>
  <si>
    <t>6. Dileep Kumar</t>
  </si>
  <si>
    <t>Home ( Srilanka): 5000 bet ( Lost)</t>
  </si>
  <si>
    <t>6. Ashes Blitz ( Home )</t>
  </si>
  <si>
    <t>5. Vishnu to Italy: 3000</t>
  </si>
  <si>
    <t>• vs Australia: 500</t>
  </si>
  <si>
    <t>Fastest Century(24B): 5000</t>
  </si>
  <si>
    <t>Home(Bangladesh): 10000 bet (Lost)</t>
  </si>
  <si>
    <t>2. Royal Lion</t>
  </si>
  <si>
    <t xml:space="preserve">Best Batsman: </t>
  </si>
  <si>
    <t>Shajahan (20000)</t>
  </si>
  <si>
    <t>Best Bowler(1000): 4</t>
  </si>
  <si>
    <t>2. Safeer Babu</t>
  </si>
  <si>
    <t>7. Gowri Madhu</t>
  </si>
  <si>
    <t>Home ( Newzealand): 5000 bet ( Won )</t>
  </si>
  <si>
    <t>7. Dutch Anglo ( Away )</t>
  </si>
  <si>
    <t>6. Aneesh to WI: 20000</t>
  </si>
  <si>
    <t>Economical bowler: 3</t>
  </si>
  <si>
    <t>Most Fours:5000</t>
  </si>
  <si>
    <t>Home (Pakistan): 10000 bet (Won)</t>
  </si>
  <si>
    <t>3. Great Subcontinent Clash</t>
  </si>
  <si>
    <t>Player of the Tournament:</t>
  </si>
  <si>
    <t>Shajahan (25000)</t>
  </si>
  <si>
    <t>8. Jyothish</t>
  </si>
  <si>
    <t>Home ( Pakistan): 5000 bet ( Won )</t>
  </si>
  <si>
    <t>8. Karachi London (Away )</t>
  </si>
  <si>
    <t>7. Harshad Vanimal | Removed</t>
  </si>
  <si>
    <t>• vs Australia: 300</t>
  </si>
  <si>
    <t>Best Batsman: 10000</t>
  </si>
  <si>
    <t>Home (India): 5000 bet (Won)</t>
  </si>
  <si>
    <t>4. Fortress Cup</t>
  </si>
  <si>
    <t>Runners UP:</t>
  </si>
  <si>
    <t>9. Molly Stephan</t>
  </si>
  <si>
    <t>Home ( Australia ): 10000 bet ( Lost )</t>
  </si>
  <si>
    <t>9. London Trophy (Home)</t>
  </si>
  <si>
    <t>8. Karthik Verma | Removed</t>
  </si>
  <si>
    <t>3. Diljith Das</t>
  </si>
  <si>
    <t>Away (Newzealand): 5000 bet (Lost)</t>
  </si>
  <si>
    <t>5. London Trophy</t>
  </si>
  <si>
    <t>2. Sanoop</t>
  </si>
  <si>
    <t xml:space="preserve">Best Batsman(1000): 1 </t>
  </si>
  <si>
    <t>100 ( Commentory )</t>
  </si>
  <si>
    <t>10. Nechuz</t>
  </si>
  <si>
    <t>Away ( India ): 10000 bet ( Won )</t>
  </si>
  <si>
    <t>10. Northwave Trophy (Away)</t>
  </si>
  <si>
    <t>9. Amith  | Removed</t>
  </si>
  <si>
    <t>• vs Newzealand: 300</t>
  </si>
  <si>
    <t>Fastest Fifty(10B): 5000</t>
  </si>
  <si>
    <t>Away (Australia): 5000 bet (Won)</t>
  </si>
  <si>
    <t>6. Imperial Lords</t>
  </si>
  <si>
    <t>11. Nisham</t>
  </si>
  <si>
    <t>Home ( Australia ): 5000 bet ( Won )</t>
  </si>
  <si>
    <t>11. The Arabian Challenge (Home)</t>
  </si>
  <si>
    <t>10. Sadik  | Removed</t>
  </si>
  <si>
    <t>Home (Australia): 5000 bet (Won)</t>
  </si>
  <si>
    <t xml:space="preserve">7. Royal WTC Clash </t>
  </si>
  <si>
    <t>3. Sunaif</t>
  </si>
  <si>
    <t>2. Achuz</t>
  </si>
  <si>
    <t>12. Rahees</t>
  </si>
  <si>
    <t>Away (England): 5000 bet (Won)</t>
  </si>
  <si>
    <t>12. Anz ODI Clash (Home)</t>
  </si>
  <si>
    <t>11. Shajahan |  | Removed</t>
  </si>
  <si>
    <t>Runners Up: 40000</t>
  </si>
  <si>
    <t>Away(Qatar): 5000 bet (Lost)</t>
  </si>
  <si>
    <t>13. Rashid</t>
  </si>
  <si>
    <t>Home ( West Indies): 6000 bet (Lost)</t>
  </si>
  <si>
    <t>13. Royal Anglo Trophy (Home)</t>
  </si>
  <si>
    <t>12. Sujith to Portugal: 2000</t>
  </si>
  <si>
    <t>2. Aneesh</t>
  </si>
  <si>
    <t>Home(Netherlands): 5000 bet (Won)</t>
  </si>
  <si>
    <t xml:space="preserve">4. Diljith Das </t>
  </si>
  <si>
    <t>Best Captain Award(15000)</t>
  </si>
  <si>
    <t>4. Renjish</t>
  </si>
  <si>
    <t>14. Renjish</t>
  </si>
  <si>
    <t>Home (Italy): 5000 bet (Lost)</t>
  </si>
  <si>
    <t>14. Unity T20 Cup (Home)</t>
  </si>
  <si>
    <t>13. Dileep from PNG: 15000</t>
  </si>
  <si>
    <t>Most sixes: 1</t>
  </si>
  <si>
    <t>Prediction Winners: 20000</t>
  </si>
  <si>
    <t>Away (Bangladesh): 5000 bet (Won)</t>
  </si>
  <si>
    <t>Team of the tournament(Captain) - 6000</t>
  </si>
  <si>
    <t>15. Sachin P</t>
  </si>
  <si>
    <t>Home (Bangladesh): 10000 bet ( Lost )</t>
  </si>
  <si>
    <t>15. Legacy Cup (Away)</t>
  </si>
  <si>
    <t>Away(UAE): 5000 bet (Lost)</t>
  </si>
  <si>
    <t>5. Sunaif</t>
  </si>
  <si>
    <t>5. Rahees</t>
  </si>
  <si>
    <t>16. Safeer Babu</t>
  </si>
  <si>
    <t>Away (Pakistan): 5000 bet (Won)</t>
  </si>
  <si>
    <t>16. Royal Rivalry Cup (Home)</t>
  </si>
  <si>
    <t>3. Toby</t>
  </si>
  <si>
    <t>Away(Netherlands): 10000 (Lost)</t>
  </si>
  <si>
    <t>6. Diljith Das</t>
  </si>
  <si>
    <t>3. Jyothish</t>
  </si>
  <si>
    <t>17. Sanoop</t>
  </si>
  <si>
    <t>Home (West Indies): 5000 bet (Won)</t>
  </si>
  <si>
    <t>17. Crown &amp; Pearl (Home)</t>
  </si>
  <si>
    <t>Man of the match: 2</t>
  </si>
  <si>
    <t>Home(Scotland): 10000 (Lost)</t>
  </si>
  <si>
    <t>18. Sri Vishnu</t>
  </si>
  <si>
    <t>18. ODI WC Warmup 5 (Home)</t>
  </si>
  <si>
    <t>• vs Afghanistan: 500</t>
  </si>
  <si>
    <t>7. Ajin</t>
  </si>
  <si>
    <t>19. Sunaif</t>
  </si>
  <si>
    <t>Home(Bangladesh): 5000 bet(Lost)</t>
  </si>
  <si>
    <t>19. Kingstown Cup (Away)</t>
  </si>
  <si>
    <t xml:space="preserve">Player limit exceeded: </t>
  </si>
  <si>
    <t>• vs South Africa: 500</t>
  </si>
  <si>
    <t>8. Sanoop</t>
  </si>
  <si>
    <t>Away (Netherlands): 5000 bet (Lost)</t>
  </si>
  <si>
    <t>Home(Srilanka): 5000 bet (Lost)</t>
  </si>
  <si>
    <t>IOCF LONE WARRIOR</t>
  </si>
  <si>
    <t>1. Aneesh</t>
  </si>
  <si>
    <t>Home(UAE): 5000 bet (Won)</t>
  </si>
  <si>
    <t>• vs South Africa: 300</t>
  </si>
  <si>
    <t>Away(Australia): 10000 bet (Lost)</t>
  </si>
  <si>
    <t>Champion: Diljith Das</t>
  </si>
  <si>
    <t>• vs Scotland(Final): 500</t>
  </si>
  <si>
    <t>Home(Newzealand): 10000 bet (Won)</t>
  </si>
  <si>
    <t>4. Rejith</t>
  </si>
  <si>
    <t>2. Jyothish S</t>
  </si>
  <si>
    <t>Man of the Match: 4 (1000)</t>
  </si>
  <si>
    <t>Test Series</t>
  </si>
  <si>
    <t>Home(Bangladesh): 5000 bet(Won)</t>
  </si>
  <si>
    <t>Home(Bangladesh): 5000 bet (Won)</t>
  </si>
  <si>
    <t>• vs West Indies: 500</t>
  </si>
  <si>
    <t>Home(Bangladesh): 5000 bet (Lost)</t>
  </si>
  <si>
    <t>Molly Stephan</t>
  </si>
  <si>
    <t>1. Cricket Circle (Title Sponsors)</t>
  </si>
  <si>
    <t>• vs Newzealand: 500</t>
  </si>
  <si>
    <t>3. Toby Joseph</t>
  </si>
  <si>
    <t>Ring of Fire :  Top Scorer</t>
  </si>
  <si>
    <t>2. S-Mark SportsWear (Kit Sponsors)</t>
  </si>
  <si>
    <t>Away(Australia): 10000 bet (Won)</t>
  </si>
  <si>
    <t>Jyothish S</t>
  </si>
  <si>
    <t>3. Brand Sports ( Merchandise Sponsor )</t>
  </si>
  <si>
    <t>Home(India): 10000 bet (Won)</t>
  </si>
  <si>
    <t>Ring of Fire :  Top Wicket Taker</t>
  </si>
  <si>
    <t>4. Safeer Babu</t>
  </si>
  <si>
    <t>Home(South Africa): 5000 (Won)</t>
  </si>
  <si>
    <t>5. Achuz</t>
  </si>
  <si>
    <t>Home(Uganda): 5000 (Won)</t>
  </si>
  <si>
    <t>4. Arjun AKJ</t>
  </si>
  <si>
    <t>Away(West indies): 10000 (Won)</t>
  </si>
  <si>
    <t>6. Diljith</t>
  </si>
  <si>
    <t>Home(Italy &amp; Newzealand): 10000 (Lost)</t>
  </si>
  <si>
    <t>Most Sixes:1</t>
  </si>
  <si>
    <t>Home(India): 10000 bet (Lost)</t>
  </si>
  <si>
    <t>6. Molly</t>
  </si>
  <si>
    <t>5. Sujith CS Ctr</t>
  </si>
  <si>
    <t>Away(Bangladesh): 10000 bet (Lost)</t>
  </si>
  <si>
    <t>7. Safeer Babu</t>
  </si>
  <si>
    <t>Away(Nepal &amp; Portugal): 3000 bet (Lost)</t>
  </si>
  <si>
    <t>• vs West Indies(Semis): 500</t>
  </si>
  <si>
    <t>7. Sujith Kumar</t>
  </si>
  <si>
    <t>• vs West Indies(Semis): 300</t>
  </si>
  <si>
    <t>8. Sujith CS Ctr</t>
  </si>
  <si>
    <t>8. Karthik Verma</t>
  </si>
  <si>
    <t>6. Aniket Gavit</t>
  </si>
  <si>
    <t>9. Ajin</t>
  </si>
  <si>
    <t>10. Aash</t>
  </si>
  <si>
    <t>11. Diljith Das</t>
  </si>
  <si>
    <t>9. Ajin P Anil</t>
  </si>
  <si>
    <t>All Franchise League Credits Updates :</t>
  </si>
  <si>
    <t xml:space="preserve">THE HUNDRED ( Own League ) </t>
  </si>
  <si>
    <t>Hosting Rights : 40000</t>
  </si>
  <si>
    <t>All Team Profit: 123200</t>
  </si>
  <si>
    <t>Team Profit: 14500</t>
  </si>
  <si>
    <t>Team Profit: 26600</t>
  </si>
  <si>
    <t>Team Profit: 32100</t>
  </si>
  <si>
    <t>Team Profit: 42800</t>
  </si>
  <si>
    <t>1. Shibasis</t>
  </si>
  <si>
    <t xml:space="preserve">1. Rejith Mohan </t>
  </si>
  <si>
    <t>1. Aniket Gavit</t>
  </si>
  <si>
    <t>1. Achuz Sukumaran</t>
  </si>
  <si>
    <t>Captain Salary: 8000</t>
  </si>
  <si>
    <t>2. Toby Joseph</t>
  </si>
  <si>
    <t>2. Diljith Das</t>
  </si>
  <si>
    <t>Man of the match:1 ( 500 )</t>
  </si>
  <si>
    <t>Best Bowler: 1 ( 200 )</t>
  </si>
  <si>
    <t>Marquee Salary: 2000</t>
  </si>
  <si>
    <t>Champions: 5800</t>
  </si>
  <si>
    <t>Runners up: 2950</t>
  </si>
  <si>
    <t xml:space="preserve">3. Sujith Kumar </t>
  </si>
  <si>
    <t xml:space="preserve">3. Rahees </t>
  </si>
  <si>
    <t>2. Sujith CS Ctr</t>
  </si>
  <si>
    <t xml:space="preserve">4. Nadirsha Nachu </t>
  </si>
  <si>
    <t xml:space="preserve">4. Sreeju </t>
  </si>
  <si>
    <t>Best Bowler: 3 ( 600 )</t>
  </si>
  <si>
    <t>3. Aash Muhammad</t>
  </si>
  <si>
    <t>Man of the match: 2 (1000)</t>
  </si>
  <si>
    <t>Best Bowler of the tournament: 10000</t>
  </si>
  <si>
    <t xml:space="preserve">3. Rashid </t>
  </si>
  <si>
    <t>Runners up: 2850</t>
  </si>
  <si>
    <t>4. Vishnu CV</t>
  </si>
  <si>
    <t xml:space="preserve">3. Molly </t>
  </si>
  <si>
    <t>Emerging Player award: 5000</t>
  </si>
  <si>
    <t xml:space="preserve">4. Sadik </t>
  </si>
  <si>
    <t>5. Sadik</t>
  </si>
  <si>
    <t xml:space="preserve">4. Aneesh </t>
  </si>
  <si>
    <t>Suman called for National Duty ( NZ ) for 1k</t>
  </si>
  <si>
    <t>Rating By All Boards on The Hundred 2026(8 out of 10): 40000 credits</t>
  </si>
  <si>
    <t>Team Profit: 18080</t>
  </si>
  <si>
    <t>Team Profit: 3400</t>
  </si>
  <si>
    <t>1. Subaida Subi</t>
  </si>
  <si>
    <t>Salary: 6200</t>
  </si>
  <si>
    <t>Salary: 3400</t>
  </si>
  <si>
    <t>Man of the match: 2 ( 1000 )</t>
  </si>
  <si>
    <t>2. Vishnu</t>
  </si>
  <si>
    <t>All Team Profit: 38800</t>
  </si>
  <si>
    <t>Team Profit: 500</t>
  </si>
  <si>
    <t>Team Profit: 8500</t>
  </si>
  <si>
    <t>Team Profit: 15800</t>
  </si>
  <si>
    <t>Team Profit: 12000</t>
  </si>
  <si>
    <t>1. Sri Vishnu</t>
  </si>
  <si>
    <t>1. Diljith</t>
  </si>
  <si>
    <t>1. Sujith Ctr</t>
  </si>
  <si>
    <t>1. Achuz</t>
  </si>
  <si>
    <t>2. Molly</t>
  </si>
  <si>
    <t>2. Aash</t>
  </si>
  <si>
    <t>Best Bowler: 1 ( 500 )</t>
  </si>
  <si>
    <t>3. Aneesh</t>
  </si>
  <si>
    <t>3. Gowri</t>
  </si>
  <si>
    <t>4. Safeer</t>
  </si>
  <si>
    <t>All Team Profit: 20000</t>
  </si>
  <si>
    <t>1. Jyothish S</t>
  </si>
  <si>
    <t>2. Achuz Sukumaran</t>
  </si>
  <si>
    <t>1. Aash</t>
  </si>
  <si>
    <t>1. Sujith</t>
  </si>
  <si>
    <t>1. Safeer</t>
  </si>
  <si>
    <t>1. Karthik</t>
  </si>
  <si>
    <t>1. Jyothish</t>
  </si>
  <si>
    <t>Salary: 23000</t>
  </si>
  <si>
    <t>2. Diljith</t>
  </si>
  <si>
    <t>2. Sachin</t>
  </si>
  <si>
    <t>2. Renjish</t>
  </si>
  <si>
    <t>1. Renjish</t>
  </si>
  <si>
    <t>1. Shajahan</t>
  </si>
  <si>
    <t>1. Sunaif</t>
  </si>
  <si>
    <t>Salary: 22000</t>
  </si>
  <si>
    <t>Salary: 16000</t>
  </si>
  <si>
    <t>2. Rahees</t>
  </si>
  <si>
    <t>3. Karthik Verma</t>
  </si>
  <si>
    <t>Salary: 31000</t>
  </si>
  <si>
    <t>3. Sri Vishnu</t>
  </si>
  <si>
    <t>1. Amith</t>
  </si>
  <si>
    <t>Best Batsman: 1 (1750)</t>
  </si>
  <si>
    <t>Champion: 44400</t>
  </si>
  <si>
    <t xml:space="preserve">1. Sachin </t>
  </si>
  <si>
    <t>2. Ajin</t>
  </si>
  <si>
    <t>Best Batsman:1 (5000)</t>
  </si>
  <si>
    <t>Fair Play: 32000</t>
  </si>
  <si>
    <t>2. Jyothish</t>
  </si>
  <si>
    <t>Man of the match(10000): 1</t>
  </si>
  <si>
    <t>3. Sanoop</t>
  </si>
  <si>
    <t>2. Rashid</t>
  </si>
  <si>
    <t>3. Renjish</t>
  </si>
  <si>
    <t>2. Sujith Kumar</t>
  </si>
  <si>
    <t>Salary: 46000</t>
  </si>
  <si>
    <t>3. Safeer</t>
  </si>
  <si>
    <t>4. Karthik</t>
  </si>
  <si>
    <t>3. Amith</t>
  </si>
  <si>
    <t>Salary: 36000</t>
  </si>
  <si>
    <t>4. Aneesh</t>
  </si>
  <si>
    <t>6. Shajahan</t>
  </si>
  <si>
    <t>Board: INDIA</t>
  </si>
  <si>
    <t>Chairman: Shivaji Prakash | CEO: Jana CP</t>
  </si>
  <si>
    <t xml:space="preserve">Whitewash: </t>
  </si>
  <si>
    <t>Player limit Increased:</t>
  </si>
  <si>
    <t xml:space="preserve">ODI WORLD  2026 🏆: </t>
  </si>
  <si>
    <t>1. Abheshek</t>
  </si>
  <si>
    <t>2. Abin</t>
  </si>
  <si>
    <t>Away( England ): 5000 bet ( Won )</t>
  </si>
  <si>
    <t>1. Anderson Tendulkar ( England )</t>
  </si>
  <si>
    <t>3. Ajith</t>
  </si>
  <si>
    <t>Away( Srilanka): 6000 bet ( Lost )</t>
  </si>
  <si>
    <t>Players Awards: 5000</t>
  </si>
  <si>
    <t>1. Shivaji Prakash</t>
  </si>
  <si>
    <t>4. Anshad P</t>
  </si>
  <si>
    <t>Home ( England): 10000 ( Lost )</t>
  </si>
  <si>
    <t>1. Anshad</t>
  </si>
  <si>
    <t>Away (Afghanistan): 7000 bet (Lost)</t>
  </si>
  <si>
    <t>5. Asish Anandhu</t>
  </si>
  <si>
    <t>Away (Netherlands): 2000 (Lost)</t>
  </si>
  <si>
    <t>Away(Netherlands): 2500 bet (Won)</t>
  </si>
  <si>
    <t>1. Zubeen Garg Rhine A</t>
  </si>
  <si>
    <t>6. Asru</t>
  </si>
  <si>
    <t>Away(Australia): 5000 (Won)</t>
  </si>
  <si>
    <t>• vs Pakistan: 500</t>
  </si>
  <si>
    <t>Players Trade</t>
  </si>
  <si>
    <t>Away (England): 5000 bet (Lost)</t>
  </si>
  <si>
    <t>2. Legacy Trophy</t>
  </si>
  <si>
    <t>7. Aswin Babu</t>
  </si>
  <si>
    <t>Home(Australia): 5000 (Lost)</t>
  </si>
  <si>
    <t>Economical Bowler: 2</t>
  </si>
  <si>
    <t>Home (Pakistan): 5000 bet (Won)</t>
  </si>
  <si>
    <t>3. Border-Gavaskar Test</t>
  </si>
  <si>
    <t>8. Athif Basheer K</t>
  </si>
  <si>
    <t>Away(England): 10000 (Lost)</t>
  </si>
  <si>
    <t>• vs Pakistan: 300</t>
  </si>
  <si>
    <t>1. Ajith from NZ: 10000</t>
  </si>
  <si>
    <t>Away(South Africa): 5000 bet (Lost)</t>
  </si>
  <si>
    <t>4. Italia–Bharat Test</t>
  </si>
  <si>
    <t>2. Asru KSD</t>
  </si>
  <si>
    <t>Most Dot Balls(1000): 6</t>
  </si>
  <si>
    <t>9. Farhaan</t>
  </si>
  <si>
    <t>Away(UAE): 5000 (Lost)</t>
  </si>
  <si>
    <t>2. Mowglee from WI: 100000</t>
  </si>
  <si>
    <t>Home(South Africa): 5000 bet (Lost)</t>
  </si>
  <si>
    <t>Most Dot Balls in the Tournament: 300000</t>
  </si>
  <si>
    <t>10. George</t>
  </si>
  <si>
    <t>Home(UAE): 5000 (Lost)</t>
  </si>
  <si>
    <t>2. Raheem</t>
  </si>
  <si>
    <t>3. George from WI: 100000</t>
  </si>
  <si>
    <t>Home(Italy): 10000 bet (Lost)</t>
  </si>
  <si>
    <t>3. Anshad P</t>
  </si>
  <si>
    <t>2. Farhan</t>
  </si>
  <si>
    <t>11. Gopikrishnan SV</t>
  </si>
  <si>
    <t>Trophy Cabinet</t>
  </si>
  <si>
    <t>4. Aswin from USA: 60000</t>
  </si>
  <si>
    <t>4. Jana CP</t>
  </si>
  <si>
    <t>12. Harish Byndoor</t>
  </si>
  <si>
    <t>King's Fortress</t>
  </si>
  <si>
    <t>Away(Australia): 5000 (Lost)</t>
  </si>
  <si>
    <t>1. Coca Cola Cup</t>
  </si>
  <si>
    <t>Away(Italy): 10000 (Won)</t>
  </si>
  <si>
    <t>3. Anshad Parakkadan</t>
  </si>
  <si>
    <t>2. Jana CP</t>
  </si>
  <si>
    <t>13. Mowglee</t>
  </si>
  <si>
    <t>Marusthal Arena</t>
  </si>
  <si>
    <t>Home(West Indies): 10000 (Won)</t>
  </si>
  <si>
    <t>2. India - Carribbean Showdown Series(Home)</t>
  </si>
  <si>
    <t>3. Shivaji Prakash</t>
  </si>
  <si>
    <t>14. Peter John</t>
  </si>
  <si>
    <t>Imperial Stadium</t>
  </si>
  <si>
    <t>3. India - Caribbean ODI Showdown Series (Home)</t>
  </si>
  <si>
    <t>15. Pradeesh P</t>
  </si>
  <si>
    <t>Dwarka Coliseum</t>
  </si>
  <si>
    <t>Away(India): 10000 (Won)</t>
  </si>
  <si>
    <t>4. Anderson-Tendulker t20 trophy (Away)</t>
  </si>
  <si>
    <t>• vs Srilanka: 500</t>
  </si>
  <si>
    <t>3. Abhishek</t>
  </si>
  <si>
    <t>16. Raheem K</t>
  </si>
  <si>
    <t>Royal Deccan</t>
  </si>
  <si>
    <t>5. TITANS Cup  (Away)</t>
  </si>
  <si>
    <t>Economical bowler: 2</t>
  </si>
  <si>
    <t>1. Rahul Seenu</t>
  </si>
  <si>
    <t>5. Peter John</t>
  </si>
  <si>
    <t>17. Rahman SN</t>
  </si>
  <si>
    <t>Eternal Aryavarta</t>
  </si>
  <si>
    <t>6. Asru MSD</t>
  </si>
  <si>
    <t>18. Rahul Roy</t>
  </si>
  <si>
    <t>Sher-E-Punjab</t>
  </si>
  <si>
    <t>• vs Scotland(Semis): 300</t>
  </si>
  <si>
    <t>Quarterfinalists</t>
  </si>
  <si>
    <t>19. Rahul Seenu</t>
  </si>
  <si>
    <t>4. Athif Basheer</t>
  </si>
  <si>
    <t>20. Rajeev</t>
  </si>
  <si>
    <t>Semifinalit: Anshad</t>
  </si>
  <si>
    <t>21. Robert John</t>
  </si>
  <si>
    <t>4. Pradeesh</t>
  </si>
  <si>
    <t>22. Sanjith</t>
  </si>
  <si>
    <t>Economical Bowler: 1</t>
  </si>
  <si>
    <t>3. Jana</t>
  </si>
  <si>
    <t>5. Robert John</t>
  </si>
  <si>
    <t>21. Niyas</t>
  </si>
  <si>
    <t>• vs Srilanka: 300</t>
  </si>
  <si>
    <t>22. Mashoo</t>
  </si>
  <si>
    <t>5. Jana</t>
  </si>
  <si>
    <t>23. Zachu</t>
  </si>
  <si>
    <t>4. Asru</t>
  </si>
  <si>
    <t>6. Farhan</t>
  </si>
  <si>
    <t>24. Achu RVD</t>
  </si>
  <si>
    <t>6. Abin</t>
  </si>
  <si>
    <t>IPL ( Commentator )</t>
  </si>
  <si>
    <t>5. Shivaji Prakash</t>
  </si>
  <si>
    <t>7. Gopikrishnan</t>
  </si>
  <si>
    <t>7. Farhaan</t>
  </si>
  <si>
    <t>6. Pradeesh P Nair</t>
  </si>
  <si>
    <t>• vs England: 500</t>
  </si>
  <si>
    <t>8. Mowglee</t>
  </si>
  <si>
    <t>• vs England: 300</t>
  </si>
  <si>
    <t>8. Gopi SV</t>
  </si>
  <si>
    <t>Semifinalists: 20000</t>
  </si>
  <si>
    <t xml:space="preserve">Players Awards: 5000 </t>
  </si>
  <si>
    <t>Best Bowling Figure(7-21) : 5000</t>
  </si>
  <si>
    <t>Prediction Runners: 10000</t>
  </si>
  <si>
    <t>Team Profit: 5400</t>
  </si>
  <si>
    <t>Team Profit: 31400</t>
  </si>
  <si>
    <t>Team Profit: 7750</t>
  </si>
  <si>
    <t>1. Gopikrishnan SV</t>
  </si>
  <si>
    <t>2. Athif Basheer K</t>
  </si>
  <si>
    <t>Best Batsman:2 ( 400 )</t>
  </si>
  <si>
    <t>Salary: 1200</t>
  </si>
  <si>
    <t>Player of the tournament: 20000</t>
  </si>
  <si>
    <t>3. Rahul Seenu</t>
  </si>
  <si>
    <t>Salary: 2300</t>
  </si>
  <si>
    <t>4. Farhaan</t>
  </si>
  <si>
    <t>Team Profit: 3050</t>
  </si>
  <si>
    <t>Team Profit: 21790</t>
  </si>
  <si>
    <t>Team Profit: 8660</t>
  </si>
  <si>
    <t>1. Athif Basheer</t>
  </si>
  <si>
    <t>1. Farhaan</t>
  </si>
  <si>
    <t>Fair Play: 1380</t>
  </si>
  <si>
    <t>2. Rahul Seenu</t>
  </si>
  <si>
    <t>Salary: 7400</t>
  </si>
  <si>
    <t>3. Anshad</t>
  </si>
  <si>
    <t>Salary: 6750</t>
  </si>
  <si>
    <t xml:space="preserve">Big Bash League : </t>
  </si>
  <si>
    <t>All Team Profit: 34800</t>
  </si>
  <si>
    <t>Team Profit: 6000</t>
  </si>
  <si>
    <t>Team Profit: 8300</t>
  </si>
  <si>
    <t>Team Profit: 21000</t>
  </si>
  <si>
    <t>1. Athif</t>
  </si>
  <si>
    <t>1. Anshad Parakkadan</t>
  </si>
  <si>
    <t>Man of the match:1 (1000)</t>
  </si>
  <si>
    <t>2. Abhishek</t>
  </si>
  <si>
    <t>2. Farhaan</t>
  </si>
  <si>
    <t>Salary: 2400</t>
  </si>
  <si>
    <t>3. Rahul Roy</t>
  </si>
  <si>
    <t xml:space="preserve">All Team Profit: </t>
  </si>
  <si>
    <t>1. Abhishek</t>
  </si>
  <si>
    <t>1. Farhan</t>
  </si>
  <si>
    <t>Man of the match:1 (1500)</t>
  </si>
  <si>
    <t>1. Rajeev</t>
  </si>
  <si>
    <t>1. Gopi</t>
  </si>
  <si>
    <t>1. Jana CP</t>
  </si>
  <si>
    <t>1. Rahul Roy</t>
  </si>
  <si>
    <t>Salary: 2100</t>
  </si>
  <si>
    <t>Salary: 24000</t>
  </si>
  <si>
    <t>2. Peter</t>
  </si>
  <si>
    <t>2. Robert</t>
  </si>
  <si>
    <t>2. Shivaji</t>
  </si>
  <si>
    <t>3. Asru</t>
  </si>
  <si>
    <t>2. Ahmed Mahsoof</t>
  </si>
  <si>
    <t>3. Farhan</t>
  </si>
  <si>
    <t>Indian Premier League ( Own League )</t>
  </si>
  <si>
    <t>Hosting Rights : 350000</t>
  </si>
  <si>
    <t>1. Athif Basheer K</t>
  </si>
  <si>
    <t>1. Anshad P</t>
  </si>
  <si>
    <t>1. Harish Byndoor</t>
  </si>
  <si>
    <t xml:space="preserve">1. Farhan </t>
  </si>
  <si>
    <t>Captain Salary: 90000</t>
  </si>
  <si>
    <t>Champion(Captain): 40400</t>
  </si>
  <si>
    <t>Fair Play(Captain): 13000</t>
  </si>
  <si>
    <t>2. Sanjith</t>
  </si>
  <si>
    <t>2. Peter John</t>
  </si>
  <si>
    <t>Salary: 21000</t>
  </si>
  <si>
    <t>Player of the tournament: 160000</t>
  </si>
  <si>
    <t>3. Ashish</t>
  </si>
  <si>
    <t>Runners Up(Captain): 20200</t>
  </si>
  <si>
    <t>2. Gopikrishnan SV</t>
  </si>
  <si>
    <t>Salary: 28500</t>
  </si>
  <si>
    <t xml:space="preserve">2. Rajeev </t>
  </si>
  <si>
    <t xml:space="preserve">3. Robert John </t>
  </si>
  <si>
    <t>Runners Up: 19400</t>
  </si>
  <si>
    <t>4. Abin</t>
  </si>
  <si>
    <t>Emerging Player: 40000</t>
  </si>
  <si>
    <t xml:space="preserve">5. Raheem </t>
  </si>
  <si>
    <t>4. Mahsoof</t>
  </si>
  <si>
    <t>Salary: 17000</t>
  </si>
  <si>
    <t xml:space="preserve">6. Pradeesh </t>
  </si>
  <si>
    <t>5. Rahman</t>
  </si>
  <si>
    <t>1. Asru</t>
  </si>
  <si>
    <t>1. Shivaji</t>
  </si>
  <si>
    <t>Salary: 45000</t>
  </si>
  <si>
    <t>Salary: 75000</t>
  </si>
  <si>
    <t>Direct Signing: 40000</t>
  </si>
  <si>
    <t>Best Bowler: 1 (1750)</t>
  </si>
  <si>
    <t>Man of the match: 2 (7000)</t>
  </si>
  <si>
    <t>Fair Play: 12400</t>
  </si>
  <si>
    <t>2. Rahman</t>
  </si>
  <si>
    <t xml:space="preserve">3. Harish </t>
  </si>
  <si>
    <t>4. Peter</t>
  </si>
  <si>
    <t>3. Ahmed Mahsoof</t>
  </si>
  <si>
    <t>Salary: 60000</t>
  </si>
  <si>
    <t>4. Athif</t>
  </si>
  <si>
    <t>4. Pradeesh P Nair</t>
  </si>
  <si>
    <t>5. Rahul Roy</t>
  </si>
  <si>
    <t xml:space="preserve">6. Raheem </t>
  </si>
  <si>
    <t>1. Ahmed Mahsoof</t>
  </si>
  <si>
    <t xml:space="preserve">1. Abin </t>
  </si>
  <si>
    <t>1. Rahman SN</t>
  </si>
  <si>
    <t>1. Peter John</t>
  </si>
  <si>
    <t>Salary: 100000</t>
  </si>
  <si>
    <t>Salary: 42000</t>
  </si>
  <si>
    <t>Salary: 155000</t>
  </si>
  <si>
    <t>Champion: 114000</t>
  </si>
  <si>
    <t>2. Mowglee</t>
  </si>
  <si>
    <t>Salary: 38000</t>
  </si>
  <si>
    <t>2. Shivaji Prakash</t>
  </si>
  <si>
    <t>4. Asru KSD</t>
  </si>
  <si>
    <t>Salary: 34000</t>
  </si>
  <si>
    <t>2. George</t>
  </si>
  <si>
    <t>Board: Ireland</t>
  </si>
  <si>
    <t>Chairman: Ali Abbas Bangash | CEO: Sunny</t>
  </si>
  <si>
    <r>
      <rPr>
        <b/>
      </rPr>
      <t xml:space="preserve">CLOTHING SPONSORS: </t>
    </r>
    <r>
      <rPr>
        <b/>
        <color rgb="FF1155CC"/>
        <u/>
      </rPr>
      <t>VYLAX Clothing</t>
    </r>
  </si>
  <si>
    <t>1. The Green &amp; Gold Derby( Home)</t>
  </si>
  <si>
    <t>2. Akshay</t>
  </si>
  <si>
    <t>1. Arjun from Aus: 7000</t>
  </si>
  <si>
    <t>2. Sukumara Kurup Memorial Trophy (Away)</t>
  </si>
  <si>
    <t>Home(Zimbabwe): 3000 (Won)</t>
  </si>
  <si>
    <t>Against Zimbabwe: 1</t>
  </si>
  <si>
    <t>3. Alan Aji</t>
  </si>
  <si>
    <t>2. Biswajit from Ned: 10000</t>
  </si>
  <si>
    <t>The Village</t>
  </si>
  <si>
    <t>3. Ire-Zim Clash (Home)</t>
  </si>
  <si>
    <t>Away(USA): 5000 (Lost)</t>
  </si>
  <si>
    <t>1. Ali Abbas</t>
  </si>
  <si>
    <t>4. Athulnath</t>
  </si>
  <si>
    <t>3. Sayandeep (Chairman Argentina): 10k</t>
  </si>
  <si>
    <t>Pareed Storziwal Sports Arena</t>
  </si>
  <si>
    <t>4. ODI WC Warmup 7 (Home)</t>
  </si>
  <si>
    <t>Away(Uganda): 5000 (Won)</t>
  </si>
  <si>
    <t>5. Fakhar Abbas Bangash</t>
  </si>
  <si>
    <t>4. Arsal (Chairman Nepal): 10k</t>
  </si>
  <si>
    <t>5. Emerald &amp; Stars Trophy (Home)</t>
  </si>
  <si>
    <t>Home (Australia): 6000 (Lost)</t>
  </si>
  <si>
    <t>1. Ali Abbas Bangash</t>
  </si>
  <si>
    <t>Man of the match (2000): 1</t>
  </si>
  <si>
    <t>6. Huzaifa</t>
  </si>
  <si>
    <t>5. Seru (Chairman Japan): 10k</t>
  </si>
  <si>
    <t>6. Irish-Caribbean Challenge (Home)</t>
  </si>
  <si>
    <t>Home(Zimbabwe): 5000 (Won)</t>
  </si>
  <si>
    <t>Best Bowler (1000): 2</t>
  </si>
  <si>
    <t>7. Karthik Varma</t>
  </si>
  <si>
    <t>7. Emerald - Dutch Trophy (Home)</t>
  </si>
  <si>
    <t>Away(Qatar): 5000 (Lost)</t>
  </si>
  <si>
    <t>2. Rahim Ullah</t>
  </si>
  <si>
    <t>Man of the match (2000): 2</t>
  </si>
  <si>
    <t>8. Kranthi Smith</t>
  </si>
  <si>
    <t>8. RED &amp; GREEN RIVALRY I (Home)</t>
  </si>
  <si>
    <t>Home(Pakistan): 5000 (Won)</t>
  </si>
  <si>
    <t>9. Noufal</t>
  </si>
  <si>
    <t>Home(USA): 5000 (Won)</t>
  </si>
  <si>
    <t>3. Noufal</t>
  </si>
  <si>
    <t>Best  Batsman(1000): 1</t>
  </si>
  <si>
    <t>10. Poorna Kavishka</t>
  </si>
  <si>
    <t>Home(Canada): 5000 (Lost)</t>
  </si>
  <si>
    <t>Against West Indies: 1</t>
  </si>
  <si>
    <t>Highest Individual Score(10000)</t>
  </si>
  <si>
    <t>11. Rahim Ullah</t>
  </si>
  <si>
    <t>1. VYLAX Clothing (Clothing Sponsors)</t>
  </si>
  <si>
    <t>Home(West Indies): 5000 (Won)</t>
  </si>
  <si>
    <t>4. Karthik Varma</t>
  </si>
  <si>
    <t>12. Sammar Rehman</t>
  </si>
  <si>
    <t>13. Shahmeer Baloch</t>
  </si>
  <si>
    <t>Home(Spain): 5000 (Lost)</t>
  </si>
  <si>
    <t>5. Akshay Dileep</t>
  </si>
  <si>
    <t>14. Talal Choudhary</t>
  </si>
  <si>
    <t>Away(Netherlands): 5000 (Lost)</t>
  </si>
  <si>
    <t>15. Zain Gujjar</t>
  </si>
  <si>
    <t>ODI WC 2026 Fantasy League: 3rd Place</t>
  </si>
  <si>
    <t>16. Zain Ul Hassan</t>
  </si>
  <si>
    <t>Home(Canada): 5000 (Won)</t>
  </si>
  <si>
    <t>17. Thulanja Teekshana</t>
  </si>
  <si>
    <t>18. Siyad</t>
  </si>
  <si>
    <t>Away(PNG): 5000 (Lost)</t>
  </si>
  <si>
    <t>19. Shifa Noor</t>
  </si>
  <si>
    <t>Traded (No Salary)</t>
  </si>
  <si>
    <t>1. Sammar</t>
  </si>
  <si>
    <t>1. Talal Choudary</t>
  </si>
  <si>
    <t>2. Zain Gujjar</t>
  </si>
  <si>
    <t>Board: Italy</t>
  </si>
  <si>
    <t>Chairman: Rince Thomas | CEO: Akhil Viratian</t>
  </si>
  <si>
    <t>Player trade:</t>
  </si>
  <si>
    <t>CONTINENTAL CUP 2026  🏆: ( EURO )</t>
  </si>
  <si>
    <t>1. Aakash</t>
  </si>
  <si>
    <t>1. Romo Carribbean ( Home )</t>
  </si>
  <si>
    <t>Vipin Venu from Italy: -20000</t>
  </si>
  <si>
    <t>Home ( West Indies ): 5000 bet ( Won )</t>
  </si>
  <si>
    <t>2. Zeus Trophy (Away)</t>
  </si>
  <si>
    <t>3. Afsal</t>
  </si>
  <si>
    <t>Subaida from England: 7000</t>
  </si>
  <si>
    <t>Away (Srilanka): 6000 bet (Won)</t>
  </si>
  <si>
    <t>3. Roman Crown (Away)</t>
  </si>
  <si>
    <t>4. Albin</t>
  </si>
  <si>
    <t>Vishnu from England: 3000</t>
  </si>
  <si>
    <t>4. Hayley Matthews Cup (Away)</t>
  </si>
  <si>
    <t>Home (Scotland): 5000 bet (Lost)</t>
  </si>
  <si>
    <t>5. Anandhu Reddy</t>
  </si>
  <si>
    <t>Vignesh from WI: 200000</t>
  </si>
  <si>
    <t>Away(West Indies): 7000 bet (Won)</t>
  </si>
  <si>
    <t>5. Onakkali (Away)</t>
  </si>
  <si>
    <t>Away (Italy): 5000 bet (Lost)</t>
  </si>
  <si>
    <t>1. Unity Nations Trophy (Away)</t>
  </si>
  <si>
    <t>1. Akshay</t>
  </si>
  <si>
    <t xml:space="preserve">Best Batsman(3000): 1 </t>
  </si>
  <si>
    <t>6. Appu</t>
  </si>
  <si>
    <t>Haseeb to Uganda: 10000</t>
  </si>
  <si>
    <t>Away(West Indies): 10000 bet (Won)</t>
  </si>
  <si>
    <t>6. ODI WC Warmup 4 (Home)</t>
  </si>
  <si>
    <t>Away (Afghanistan): 5000 bet (Lost)</t>
  </si>
  <si>
    <t>2. The Clash of Blues (Away)</t>
  </si>
  <si>
    <t>2. Subaida Subi</t>
  </si>
  <si>
    <t>Man of the match(2000): 3</t>
  </si>
  <si>
    <t>Runners UP</t>
  </si>
  <si>
    <t xml:space="preserve">Best Bowler(3000): 1 </t>
  </si>
  <si>
    <t>7. Arathy</t>
  </si>
  <si>
    <t>Jinson from USA: 70000</t>
  </si>
  <si>
    <t>7. Royal Trinity Cup (Away)</t>
  </si>
  <si>
    <t>3. Bengal-Italia Test (Away)</t>
  </si>
  <si>
    <t>8. Aravind</t>
  </si>
  <si>
    <t>Lal from Aus: 50000</t>
  </si>
  <si>
    <t>Home(Nepal): 3000 bet (Lost)</t>
  </si>
  <si>
    <t>8. THE THUNDER CROWN (Away)</t>
  </si>
  <si>
    <t>Away (South Africa): 5000 bet (Won)</t>
  </si>
  <si>
    <t>2. Shuhaib</t>
  </si>
  <si>
    <t>9. Arjun</t>
  </si>
  <si>
    <t>Josin from WI: 50000</t>
  </si>
  <si>
    <t>Away(England &amp; Newzealand): 10000 (Won)</t>
  </si>
  <si>
    <t>9. The Golden Horizon Cup (Home)</t>
  </si>
  <si>
    <t>10. Ashik</t>
  </si>
  <si>
    <t>Firoze from Nepal: 35000</t>
  </si>
  <si>
    <t>10. The Sun &amp; Olive Cup</t>
  </si>
  <si>
    <t>Away(India): 10000 bet (Won)</t>
  </si>
  <si>
    <t>11. Chinju</t>
  </si>
  <si>
    <t>Away(Newzealand): 7000 (Won)</t>
  </si>
  <si>
    <t>Away(Newzealand): 10000 bet (Lost)</t>
  </si>
  <si>
    <t>3. Huzain</t>
  </si>
  <si>
    <t>Fastest 50: 300000</t>
  </si>
  <si>
    <t>12. Firoz</t>
  </si>
  <si>
    <t>Home(West Indies): 7000 (Won)</t>
  </si>
  <si>
    <t>Away(Bangladesh): 10000 (Won)</t>
  </si>
  <si>
    <t>Best Batsman(1000): 2</t>
  </si>
  <si>
    <t>3. Subaida Subi</t>
  </si>
  <si>
    <t>13. Greeshma</t>
  </si>
  <si>
    <t>Home(Spain): 3000 (Won)</t>
  </si>
  <si>
    <t>Home(India): 10000 (Lost)</t>
  </si>
  <si>
    <t>14. Greeshma</t>
  </si>
  <si>
    <t>4. Shajahan</t>
  </si>
  <si>
    <t>15. Huzain</t>
  </si>
  <si>
    <t>4. Rince Thomas</t>
  </si>
  <si>
    <t>16. Hybi</t>
  </si>
  <si>
    <t>17. Jessy</t>
  </si>
  <si>
    <t>1. Rince Thomas</t>
  </si>
  <si>
    <t>5. Greeshma</t>
  </si>
  <si>
    <t>18. Jishan</t>
  </si>
  <si>
    <t>6. Hybi Anil</t>
  </si>
  <si>
    <t>19. Jinson</t>
  </si>
  <si>
    <t>7. Vignesh</t>
  </si>
  <si>
    <t>20. Josin</t>
  </si>
  <si>
    <t>21. Krishadev</t>
  </si>
  <si>
    <t>22. Lal Krishna</t>
  </si>
  <si>
    <t>8. Rince Thomas</t>
  </si>
  <si>
    <t>23. Manju</t>
  </si>
  <si>
    <t>3. Muhammed Ali</t>
  </si>
  <si>
    <t>24. Mohammad Ali</t>
  </si>
  <si>
    <t>25. Nisa Navas</t>
  </si>
  <si>
    <t>26. Nobin</t>
  </si>
  <si>
    <t>4. Subaida Subi</t>
  </si>
  <si>
    <t>27. Renjini</t>
  </si>
  <si>
    <t>28. Sanasil</t>
  </si>
  <si>
    <t>29. Shijo</t>
  </si>
  <si>
    <t>5. Rejini</t>
  </si>
  <si>
    <t>30. Shuhaib</t>
  </si>
  <si>
    <t>31. Sreesankar</t>
  </si>
  <si>
    <t>32. Subi</t>
  </si>
  <si>
    <t>33. Sumesh</t>
  </si>
  <si>
    <t>34. Thaneem</t>
  </si>
  <si>
    <t>35. Thoufee</t>
  </si>
  <si>
    <t>36. Tom</t>
  </si>
  <si>
    <t>37. Ubai Nisa</t>
  </si>
  <si>
    <t>38. Vignesh</t>
  </si>
  <si>
    <t>39. Vipin Sai</t>
  </si>
  <si>
    <t>40. Vishnu C V</t>
  </si>
  <si>
    <t>41. Vishnu Vijay</t>
  </si>
  <si>
    <t>THE HUNDRED : 000</t>
  </si>
  <si>
    <t>No Players Sold</t>
  </si>
  <si>
    <t>Pakistan Super League : 000</t>
  </si>
  <si>
    <t>All Team Profit: 19100</t>
  </si>
  <si>
    <t>Team Profit: 6600</t>
  </si>
  <si>
    <t>Team Profit: 1000</t>
  </si>
  <si>
    <t>Team Profit: 9500</t>
  </si>
  <si>
    <t>Team Profit: 1500</t>
  </si>
  <si>
    <t>1. Hybi Anil</t>
  </si>
  <si>
    <t>1. Akhil Mohan</t>
  </si>
  <si>
    <t>1. Vishnu CV</t>
  </si>
  <si>
    <t>1. Subaida</t>
  </si>
  <si>
    <t>1. Huzain</t>
  </si>
  <si>
    <t>Man of the match: 2 (2000)</t>
  </si>
  <si>
    <t>2. Rince</t>
  </si>
  <si>
    <t>Man of the Match: 2 (2000)</t>
  </si>
  <si>
    <t>2. Sanazil</t>
  </si>
  <si>
    <t>3. Vishnu Vijay</t>
  </si>
  <si>
    <t>1. Vishnu Vijay</t>
  </si>
  <si>
    <t>1. Sanazil</t>
  </si>
  <si>
    <t>2. Rince Thomas</t>
  </si>
  <si>
    <t>Most Sixes: 20000</t>
  </si>
  <si>
    <t>Best Batsman of the tournament: 40000</t>
  </si>
  <si>
    <t>1. Haseeb</t>
  </si>
  <si>
    <t>1. Akhil</t>
  </si>
  <si>
    <t>1. Shubaib</t>
  </si>
  <si>
    <t>1. Thaneem</t>
  </si>
  <si>
    <t>1. Rince</t>
  </si>
  <si>
    <t>2. Hybi Anil</t>
  </si>
  <si>
    <t>2. Huzain</t>
  </si>
  <si>
    <t>2. Sanzail</t>
  </si>
  <si>
    <t>2. Vipin</t>
  </si>
  <si>
    <t>Salary: 800</t>
  </si>
  <si>
    <t>1. Afsal</t>
  </si>
  <si>
    <t>3. Hybi Anil</t>
  </si>
  <si>
    <t>4. Akhil</t>
  </si>
  <si>
    <t>5. Shuhaib</t>
  </si>
  <si>
    <t xml:space="preserve">1. Rince </t>
  </si>
  <si>
    <t>1. Albin</t>
  </si>
  <si>
    <t>2. Akhil</t>
  </si>
  <si>
    <t>2. Haseeb</t>
  </si>
  <si>
    <t>2. Anandhu R</t>
  </si>
  <si>
    <t>3. Akshay</t>
  </si>
  <si>
    <t>4. Shuhaib</t>
  </si>
  <si>
    <t xml:space="preserve">3. Vipin </t>
  </si>
  <si>
    <t>4. Aravind</t>
  </si>
  <si>
    <t>1. Appu</t>
  </si>
  <si>
    <t>1. Abhishek Anil</t>
  </si>
  <si>
    <t>1. Vipin Venu</t>
  </si>
  <si>
    <t>1. Krishnadev</t>
  </si>
  <si>
    <t>1. Shuhaib</t>
  </si>
  <si>
    <t>1. Akhil Viratian</t>
  </si>
  <si>
    <t xml:space="preserve">2. Albin </t>
  </si>
  <si>
    <t>2. Anandhu</t>
  </si>
  <si>
    <t>4. Afsal</t>
  </si>
  <si>
    <t>3. Lal Krishna</t>
  </si>
  <si>
    <t>3. Vishnu CV</t>
  </si>
  <si>
    <t>4. Hybi Anil</t>
  </si>
  <si>
    <t>1. Jinson</t>
  </si>
  <si>
    <t>2. Vishnu CV</t>
  </si>
  <si>
    <t>Board: Japan</t>
  </si>
  <si>
    <t>Chairman: Seru Yuvi | CEO: Churami</t>
  </si>
  <si>
    <t>1. The Ultimate Arena Cup (Away)</t>
  </si>
  <si>
    <t>2. Vipin Kuttu</t>
  </si>
  <si>
    <t>1. Ahmed from Ind: Free</t>
  </si>
  <si>
    <t>1. Away(Netherlands): 3000 (Lost)</t>
  </si>
  <si>
    <t>2. Samurai Falcons Cup (Away)</t>
  </si>
  <si>
    <t>1. The Gaucho-Samurai Trophy(Away)</t>
  </si>
  <si>
    <t>3. Athul</t>
  </si>
  <si>
    <t>2. Athul from Scot: Free</t>
  </si>
  <si>
    <t>Sano International Cricket Stadium</t>
  </si>
  <si>
    <t>2. Away(Netherlands): 3000 (Won)</t>
  </si>
  <si>
    <t>3. The Gaucho-Samurai Trophy (Away)</t>
  </si>
  <si>
    <t>4. Akshay</t>
  </si>
  <si>
    <t>3. Akshay from Italy: Free</t>
  </si>
  <si>
    <t>3. Away(UAE): 5000 (Won)</t>
  </si>
  <si>
    <t>4. The Mount Fuji &amp; Mount Kenya Cup (Home)</t>
  </si>
  <si>
    <t>5. Arun Ozil</t>
  </si>
  <si>
    <t>4. Arun from Italy: Free</t>
  </si>
  <si>
    <t>4. Home(Japan): 5000 (Won)</t>
  </si>
  <si>
    <t>5. The Sakura &amp; Shujaa Trophy (Home)</t>
  </si>
  <si>
    <t>6. Nahas</t>
  </si>
  <si>
    <t>5. Zuhair from Scot: 5k</t>
  </si>
  <si>
    <t>5. Away(Argentina): 5000 (Won)</t>
  </si>
  <si>
    <t>7. Murshid</t>
  </si>
  <si>
    <t>6. Home(Kenya): 3000 (Won)</t>
  </si>
  <si>
    <t>1. Crimson Samurai Clash (Home)</t>
  </si>
  <si>
    <t>8. Machan</t>
  </si>
  <si>
    <t>7. Home(Kenya): 3000 (Won)</t>
  </si>
  <si>
    <t>9. Hanan</t>
  </si>
  <si>
    <t>8. Away(Spain): 5000 (Lost)</t>
  </si>
  <si>
    <t>10. Mahi</t>
  </si>
  <si>
    <t>11. Nihal</t>
  </si>
  <si>
    <t>12. Sreelal</t>
  </si>
  <si>
    <t>13. Abhi Gulan</t>
  </si>
  <si>
    <t>14. Mujeeb</t>
  </si>
  <si>
    <t>15. Deepesh</t>
  </si>
  <si>
    <t>16. Payeez</t>
  </si>
  <si>
    <t>17. Sarath</t>
  </si>
  <si>
    <t>18. Anas</t>
  </si>
  <si>
    <t>19. Hafsal</t>
  </si>
  <si>
    <t>20. Zuhair</t>
  </si>
  <si>
    <t>21. Shareef</t>
  </si>
  <si>
    <t>22. Sanal</t>
  </si>
  <si>
    <t>23. Mashood</t>
  </si>
  <si>
    <t>24. Akash</t>
  </si>
  <si>
    <t>25. Alimsha</t>
  </si>
  <si>
    <t>26. Hashi</t>
  </si>
  <si>
    <t>27. Aswin</t>
  </si>
  <si>
    <t>28. Alan Shahudeen</t>
  </si>
  <si>
    <t>29. Hasheef</t>
  </si>
  <si>
    <t>30. Ajeeb</t>
  </si>
  <si>
    <t>Board: KENYA</t>
  </si>
  <si>
    <t>Chairman: Yohaan Daruwalla | CEO: Zayn Bhuyan</t>
  </si>
  <si>
    <t>1. Anas Khan</t>
  </si>
  <si>
    <t>1. Copa Del Umoja (Away)</t>
  </si>
  <si>
    <t>2. Ankit Saxena</t>
  </si>
  <si>
    <t>1. Shubham to BD: 15K</t>
  </si>
  <si>
    <t>1. Away(Argentina): 3000 bet (Won)</t>
  </si>
  <si>
    <t>2. APEX TRINITY SERIES  (Away)</t>
  </si>
  <si>
    <t>3. Shafique Ahmed</t>
  </si>
  <si>
    <t>2. Fraz Ali to Spain: 5k</t>
  </si>
  <si>
    <t>2. Away(Spain &amp; Canada): 5000 bet (Won)</t>
  </si>
  <si>
    <t>4. Huzaifa</t>
  </si>
  <si>
    <t>3. Away(Japan): 3000 bet (Lost)</t>
  </si>
  <si>
    <t>5. Khair Mohammed</t>
  </si>
  <si>
    <t>4. Away(Japan): 3000 bet (Lost)</t>
  </si>
  <si>
    <t>6. Malik Ahmed</t>
  </si>
  <si>
    <t>7. Mohd Asif</t>
  </si>
  <si>
    <t>8. Mohd Waseem</t>
  </si>
  <si>
    <t>9. Rehan Ali</t>
  </si>
  <si>
    <t>10. Samiullah Shar</t>
  </si>
  <si>
    <t>11. Abdullah</t>
  </si>
  <si>
    <t>12. Sooraj Sial</t>
  </si>
  <si>
    <t>13. Suraj Shah</t>
  </si>
  <si>
    <t>Board: NEPAL</t>
  </si>
  <si>
    <t>Chairman: Arsal Chaudry| CEO: Abhay Brucelee</t>
  </si>
  <si>
    <r>
      <rPr>
        <b/>
      </rPr>
      <t xml:space="preserve">TITLE SPONSORS: </t>
    </r>
    <r>
      <rPr>
        <b/>
        <color rgb="FF1155CC"/>
        <u/>
      </rPr>
      <t>CRICKET HOLIC</t>
    </r>
  </si>
  <si>
    <t xml:space="preserve">Player trade: </t>
  </si>
  <si>
    <t>1. Abdullah Jutt</t>
  </si>
  <si>
    <t>1. Everest–Pacific Cup</t>
  </si>
  <si>
    <t>2. Abhinav Sham</t>
  </si>
  <si>
    <t>1. Krathik from ZIM: 5000</t>
  </si>
  <si>
    <t>1. Home(PNG): 3000 (Won)</t>
  </si>
  <si>
    <t>2. Italia vs Himalaya</t>
  </si>
  <si>
    <t>3. Ajmal Khan</t>
  </si>
  <si>
    <t>2. Muneef from ZIM: 5000</t>
  </si>
  <si>
    <t>Thribhuvan University ICS</t>
  </si>
  <si>
    <t>2. Away(Italy): 3000 (Won)</t>
  </si>
  <si>
    <t>1. Arsal Chaudry</t>
  </si>
  <si>
    <t>4. Christy Royson</t>
  </si>
  <si>
    <t>3. Kashif from ZIM: 5000</t>
  </si>
  <si>
    <t>Gautam Buddha ICS</t>
  </si>
  <si>
    <t>3. Home(Netherlands): 3000 (Lost)</t>
  </si>
  <si>
    <t>5. Emil Bentoo</t>
  </si>
  <si>
    <t>4. Firoze to Italy: 35000</t>
  </si>
  <si>
    <t>4. Home(Portugal &amp; England): 3000 (Lost)</t>
  </si>
  <si>
    <t>6. Zubair Ahmed</t>
  </si>
  <si>
    <t>7. Kashif Ramzan</t>
  </si>
  <si>
    <t>8. Kashif Ramzan</t>
  </si>
  <si>
    <t>9. Krathik Mogaveera</t>
  </si>
  <si>
    <t>10. Mohammed Fadil</t>
  </si>
  <si>
    <t>11. Muneef</t>
  </si>
  <si>
    <t>12. Nandita</t>
  </si>
  <si>
    <t>13. Ridhwan</t>
  </si>
  <si>
    <t>1. Cricket Holic (Title Sponsors)</t>
  </si>
  <si>
    <t>14. Shahabaz KS</t>
  </si>
  <si>
    <t>15. Shaila</t>
  </si>
  <si>
    <t>16. Thushara</t>
  </si>
  <si>
    <t>17. Visakh</t>
  </si>
  <si>
    <t>Board: Netherlands</t>
  </si>
  <si>
    <t>Chairman: Debajit Borthakur | CEO: Nirmal</t>
  </si>
  <si>
    <t>Player limit increased: -10000</t>
  </si>
  <si>
    <t>CONTINENTAL CUP  2026 🏆: ( EURO )</t>
  </si>
  <si>
    <t>1. Ali Akbor Ahmed</t>
  </si>
  <si>
    <t>1. Atlantic Smash ( Home )</t>
  </si>
  <si>
    <t>2. Anamika</t>
  </si>
  <si>
    <t>1. Hirak From Eng: 5000</t>
  </si>
  <si>
    <t>Home ( Afghanistan) : 5000 ( Lost )</t>
  </si>
  <si>
    <t>1. Dutch Carribbean ( Home )</t>
  </si>
  <si>
    <t>2. Zubeen Garg Rhine ODI (Home)</t>
  </si>
  <si>
    <t>3. Biki</t>
  </si>
  <si>
    <t>2. Ashutoh from Eng: 5000</t>
  </si>
  <si>
    <t>Home ( UAE ): 5000 bet ( Lost )</t>
  </si>
  <si>
    <t>3. Dutch Caribbean 2 ODI (Home)</t>
  </si>
  <si>
    <t>2. 26 to 30: 10000</t>
  </si>
  <si>
    <t>1. Debajit</t>
  </si>
  <si>
    <t>4. Bikram Saikia</t>
  </si>
  <si>
    <t>3. Aashutosh to Ban: 15000</t>
  </si>
  <si>
    <t>Home ( Newzealand ): 5000 bet ( Lost )</t>
  </si>
  <si>
    <t>4. European Beaver-Hedgehog Trophy (Home)</t>
  </si>
  <si>
    <t>Home(India): 2500 bet (Lost)</t>
  </si>
  <si>
    <t>5. Bimal Baral</t>
  </si>
  <si>
    <t>4. Veer to Qatar: 10000</t>
  </si>
  <si>
    <t>Home ( West Indies ): 5000 bet ( Lost )</t>
  </si>
  <si>
    <t>5. ODI WC Warmup 2 (Home)</t>
  </si>
  <si>
    <t>Away (India): 2500 bet (Won)</t>
  </si>
  <si>
    <t>1. Zubeen Gard Rhine B</t>
  </si>
  <si>
    <t>1. Bimal Baral</t>
  </si>
  <si>
    <t>1. Nirmal</t>
  </si>
  <si>
    <t>6. Biswajit Dutta</t>
  </si>
  <si>
    <t>5. Ritik to Ban: 1000</t>
  </si>
  <si>
    <t>Home ( USA ): 5000 bet ( Won )</t>
  </si>
  <si>
    <t>6. The Dutch–Nippon Heritage Cup (Home)</t>
  </si>
  <si>
    <t>Home (Srilanka): 5000 bet (Lost)</t>
  </si>
  <si>
    <t>2. Northern Heritage</t>
  </si>
  <si>
    <t>2. Nirmal Baishya</t>
  </si>
  <si>
    <t>7. Bitupan</t>
  </si>
  <si>
    <t>6. Kartik to Zim: 5000</t>
  </si>
  <si>
    <t>Home ( Scotland ): 5000 bet ( Lost )</t>
  </si>
  <si>
    <t>7. Dutch - Himalayan Trophy (Away)</t>
  </si>
  <si>
    <t>Home(Scotland): 3000 bet (Won)</t>
  </si>
  <si>
    <t>3. Tulip Desert</t>
  </si>
  <si>
    <t xml:space="preserve">Best Bowler(1000): 1 </t>
  </si>
  <si>
    <t>2. Dipankar</t>
  </si>
  <si>
    <t>Best Batsman(3000): 3</t>
  </si>
  <si>
    <t>8. Deepak Das</t>
  </si>
  <si>
    <t>7. Dhurbo to Zim: 5000</t>
  </si>
  <si>
    <t>Home ( Pakistan ): 3000 bet ( Lost )</t>
  </si>
  <si>
    <t>8. Millstone-Jamieson Gold Trophy (Home)</t>
  </si>
  <si>
    <t>Home(Bangladesh): 4000 bet (Won)</t>
  </si>
  <si>
    <t>4. Yellow - Orange Trophy</t>
  </si>
  <si>
    <t>Highest Batting Average: 200000</t>
  </si>
  <si>
    <t>9. Deepjyoti</t>
  </si>
  <si>
    <t>8. Biswajit to Ireland: 20000</t>
  </si>
  <si>
    <t>Home (England): 5000 bet (Lost)</t>
  </si>
  <si>
    <t>5. Lowlands–Lions Test</t>
  </si>
  <si>
    <t>3. Pinku</t>
  </si>
  <si>
    <t>10. Devasish</t>
  </si>
  <si>
    <t>Home (India): 2000 bet (Won)</t>
  </si>
  <si>
    <t>Home (Qatar): 5000 bet (Won)</t>
  </si>
  <si>
    <t>6. Dutch–Caribbean Test</t>
  </si>
  <si>
    <t>4. Marami Ahmed</t>
  </si>
  <si>
    <t>11. Dipankar</t>
  </si>
  <si>
    <t>Away (Afghanistan): 4000 bet (Lost)</t>
  </si>
  <si>
    <t>4. Rahul Sharma</t>
  </si>
  <si>
    <t>12. Hirak</t>
  </si>
  <si>
    <t>Home (West Indies): 4000 bet (Won)</t>
  </si>
  <si>
    <t>5. Jihan</t>
  </si>
  <si>
    <t>Emerging Player Award</t>
  </si>
  <si>
    <t>5. Debajit</t>
  </si>
  <si>
    <t>13. Hrishikesh Barman</t>
  </si>
  <si>
    <t>Home (Bangladesh): 4000 bet (Lost)</t>
  </si>
  <si>
    <t>14. Jack Dipu</t>
  </si>
  <si>
    <t>Home (England): 4000 bet (Lost)</t>
  </si>
  <si>
    <t>15. Jahirul</t>
  </si>
  <si>
    <t>2. Nirmal</t>
  </si>
  <si>
    <t>16. Jihan</t>
  </si>
  <si>
    <t>Home (England): 5000 bet (Won)</t>
  </si>
  <si>
    <t>PSL ( Commentory )</t>
  </si>
  <si>
    <t>17. Khagen Saikia</t>
  </si>
  <si>
    <t>Away(Bangladesh/West Indies): 15000 (Lost)</t>
  </si>
  <si>
    <t>18. Kiran</t>
  </si>
  <si>
    <t>Away(Australia): 10000 (Lost)</t>
  </si>
  <si>
    <t>1. Marami Ahmed</t>
  </si>
  <si>
    <t>3. Jahirul</t>
  </si>
  <si>
    <t>19. Kritartha Kalita</t>
  </si>
  <si>
    <t>Away(Bangladesh): 7000 (Lost)</t>
  </si>
  <si>
    <t>20. Manuranjan Deka</t>
  </si>
  <si>
    <t>21. Marami</t>
  </si>
  <si>
    <t>4. Bimal Baral</t>
  </si>
  <si>
    <t>22. Mayank</t>
  </si>
  <si>
    <t>23. Niyor J Kashyap</t>
  </si>
  <si>
    <t>24. Pinku</t>
  </si>
  <si>
    <t>Home(Bangladesh): 5000 (Lost)</t>
  </si>
  <si>
    <t>3. Rahul Sharma</t>
  </si>
  <si>
    <t>25. Prabal</t>
  </si>
  <si>
    <t>Home(PNG,Canada &amp; West Indies): 7500 (Lost)</t>
  </si>
  <si>
    <t>26. Prince Gogoi</t>
  </si>
  <si>
    <t>Home(Japan): 3000 (Won)</t>
  </si>
  <si>
    <t>27. Rahul</t>
  </si>
  <si>
    <t>Home(Japan): 3000 (Lost)</t>
  </si>
  <si>
    <t>4. Hirak</t>
  </si>
  <si>
    <t>28. Rishi Raj</t>
  </si>
  <si>
    <t>Away(Nepal): 3000 (Won)</t>
  </si>
  <si>
    <t>29. Sagar</t>
  </si>
  <si>
    <t>Home(Ireland): 5000 (Won)</t>
  </si>
  <si>
    <t>30. Shabir Alam</t>
  </si>
  <si>
    <t>31. Shon</t>
  </si>
  <si>
    <t>32. Surashri C</t>
  </si>
  <si>
    <t>6. Devasish</t>
  </si>
  <si>
    <t>7. Bimal</t>
  </si>
  <si>
    <t>8. Rishiraj</t>
  </si>
  <si>
    <t>Team Profit: 4500</t>
  </si>
  <si>
    <t>Team Profit: 24650</t>
  </si>
  <si>
    <t>1. Mayank Das ( Replacement )</t>
  </si>
  <si>
    <t>1. Hirak Jyothi</t>
  </si>
  <si>
    <t>1. Nirmal Baishya</t>
  </si>
  <si>
    <t>9. Dipankar</t>
  </si>
  <si>
    <t>Best Batsman of the Tournament: 10000</t>
  </si>
  <si>
    <t>10. Jahirul</t>
  </si>
  <si>
    <t>2. Marami Ahmed</t>
  </si>
  <si>
    <t>11. Dipak Das</t>
  </si>
  <si>
    <t>3. Debajit Borthakur</t>
  </si>
  <si>
    <t>Team Profit: 30860</t>
  </si>
  <si>
    <t>Team Profit: 2150</t>
  </si>
  <si>
    <t>Team Profit: 3680</t>
  </si>
  <si>
    <t>1. Biswajit Dutta</t>
  </si>
  <si>
    <t>1. Rahul Sharma</t>
  </si>
  <si>
    <t>Salary: 1950</t>
  </si>
  <si>
    <t>2. Debajit</t>
  </si>
  <si>
    <t>Salary: 3900</t>
  </si>
  <si>
    <t>3. Kiran Nath</t>
  </si>
  <si>
    <t>Big Bash League : 0</t>
  </si>
  <si>
    <t>All Team Profit: 0</t>
  </si>
  <si>
    <t>1. Aashutosh Jha</t>
  </si>
  <si>
    <t>2. Hirakjyothi</t>
  </si>
  <si>
    <t>3. Mayank Das</t>
  </si>
  <si>
    <t>1. Mayank</t>
  </si>
  <si>
    <t>1. Hirak</t>
  </si>
  <si>
    <t>1. Marami</t>
  </si>
  <si>
    <t>1. Dipankar</t>
  </si>
  <si>
    <t>1. Biswajit</t>
  </si>
  <si>
    <t>2. Veer</t>
  </si>
  <si>
    <t>2. Kiran</t>
  </si>
  <si>
    <t>2. Bimal</t>
  </si>
  <si>
    <t>2. Deepjyothi</t>
  </si>
  <si>
    <t>2. Dhurbo</t>
  </si>
  <si>
    <t>3. Rahul</t>
  </si>
  <si>
    <t>3. Bimal</t>
  </si>
  <si>
    <t>3. Jiha</t>
  </si>
  <si>
    <t>4. Jahirul</t>
  </si>
  <si>
    <t>4. Pinku</t>
  </si>
  <si>
    <t>1. Deepjyoti</t>
  </si>
  <si>
    <t xml:space="preserve">2. Rahul </t>
  </si>
  <si>
    <t>3. Hirak</t>
  </si>
  <si>
    <t xml:space="preserve">1. Rahul </t>
  </si>
  <si>
    <t>Best Bowler: 3 (5250)</t>
  </si>
  <si>
    <t>2. Deepjyoti</t>
  </si>
  <si>
    <t>3. Sagar</t>
  </si>
  <si>
    <t>Board: Newzealand</t>
  </si>
  <si>
    <t>Chairman: Srajan Poojari | CEO: Gautam Shankara Ram</t>
  </si>
  <si>
    <r>
      <rPr>
        <b/>
      </rPr>
      <t xml:space="preserve">TITLE SPONSORS: </t>
    </r>
    <r>
      <rPr>
        <b/>
        <color rgb="FF1155CC"/>
        <u/>
      </rPr>
      <t>CricTV Edits</t>
    </r>
  </si>
  <si>
    <t>IOCF T20 WORLD CUP 🏆 :</t>
  </si>
  <si>
    <t>Player limit increased:</t>
  </si>
  <si>
    <t>CONTINENTAL CUP  2026 🏆: ( OCEANIA )</t>
  </si>
  <si>
    <t>1. Abu Shazan</t>
  </si>
  <si>
    <t>1. Crowe Nabi ( Home )</t>
  </si>
  <si>
    <t>2. Adarsh</t>
  </si>
  <si>
    <t>Home( Afghanistan ): 3000 bet ( Won )</t>
  </si>
  <si>
    <t>2. Silk Steel ( Home )</t>
  </si>
  <si>
    <t>1. Silk Steel ( Pakistan )</t>
  </si>
  <si>
    <t>Hosting Amount: 100k</t>
  </si>
  <si>
    <t>3. Aniket Gavit</t>
  </si>
  <si>
    <t>Home( Pakistan ): 3000 bet ( Won )</t>
  </si>
  <si>
    <t>3. Fleming Lara ( Home )</t>
  </si>
  <si>
    <t>2. Trans Tasman( Australia)</t>
  </si>
  <si>
    <t>Players Awards: 4200</t>
  </si>
  <si>
    <t>Newzealand (5000)</t>
  </si>
  <si>
    <t>1. Srajan Poojari</t>
  </si>
  <si>
    <t>4. Ashutosh Sha</t>
  </si>
  <si>
    <t>Home( West Indies): 5000 bet ( Won )</t>
  </si>
  <si>
    <t>4. Trans Tasman ( Away )</t>
  </si>
  <si>
    <t>3. THE OCEANIC SHOWDOWN (Home)</t>
  </si>
  <si>
    <t>1. Ram</t>
  </si>
  <si>
    <t>Home (Scotland): 5000 (Lost )</t>
  </si>
  <si>
    <t>Away( Australia): 5000 bet ( Won )</t>
  </si>
  <si>
    <t>5. Orange Black ( Away )</t>
  </si>
  <si>
    <t>1. Soverign Crown</t>
  </si>
  <si>
    <t>6. Azeem</t>
  </si>
  <si>
    <t>Home ( South Africa ): 5000 bet ( Lost)</t>
  </si>
  <si>
    <t>6. Silver Emerald ( Home )</t>
  </si>
  <si>
    <t>Home(England): 5000 bet (Won)</t>
  </si>
  <si>
    <t>2. Kiwi Elephant</t>
  </si>
  <si>
    <t xml:space="preserve">2. Hasan Musabbir </t>
  </si>
  <si>
    <t>7. Gokul G</t>
  </si>
  <si>
    <t>7. Taylor Nabi ( Home )</t>
  </si>
  <si>
    <t>1. Mccullum Graveney ( Scotland)</t>
  </si>
  <si>
    <t>• vs India: 500</t>
  </si>
  <si>
    <t>Home(India): 6000 bet (Won)</t>
  </si>
  <si>
    <t>3. Kiwi Tiger</t>
  </si>
  <si>
    <t>2. Hrushikesh HD</t>
  </si>
  <si>
    <t>8. Hasan Musabir</t>
  </si>
  <si>
    <t>Away ( England): 5000 bet ( Lost )</t>
  </si>
  <si>
    <t>8. Archipelago Series (Home)</t>
  </si>
  <si>
    <t>2. Southee Cummins( Australia )</t>
  </si>
  <si>
    <t>Home(Bangladesh): 6000 bet (Won)</t>
  </si>
  <si>
    <t>4. Italio Kiwi</t>
  </si>
  <si>
    <t>3. Gautam Shankara Ram</t>
  </si>
  <si>
    <t>9. Hrushikesh HD</t>
  </si>
  <si>
    <t>Away ( Netherlands ): 5000 bet ( Won )</t>
  </si>
  <si>
    <t>9. Vellas Trophy (Away)</t>
  </si>
  <si>
    <t>5. Tasman Indus</t>
  </si>
  <si>
    <t>4. Aniket Gavit</t>
  </si>
  <si>
    <t>2. Kishore Gowda</t>
  </si>
  <si>
    <t>10. Huzaifa Kaukawala</t>
  </si>
  <si>
    <t>Home ( Srilanka): 5000 bet ( Won )</t>
  </si>
  <si>
    <t>10. Aurora Cup (Away)</t>
  </si>
  <si>
    <t>Away (Italy): 5000 bet (Won)</t>
  </si>
  <si>
    <t>6. Desert Kiwis</t>
  </si>
  <si>
    <t>11. Karthik Devadiga</t>
  </si>
  <si>
    <t>11. THE OCEANIC SHOWDOWN (Home)</t>
  </si>
  <si>
    <t>7. THE KIWI–AZZURRI CROWN</t>
  </si>
  <si>
    <t>12. Kishore Gowda</t>
  </si>
  <si>
    <t>Home ( Bangladesh ): 5000 bet ( Lost )</t>
  </si>
  <si>
    <t>12. THE EDEN PARK RUMBLE (Home)</t>
  </si>
  <si>
    <t>1. Crictv Edits (Title Sponsors)</t>
  </si>
  <si>
    <t>8. Kiwis–Shaheens Test</t>
  </si>
  <si>
    <t>13. Mahesh Margol</t>
  </si>
  <si>
    <t>13. THE INFERNO CLASH (Home)</t>
  </si>
  <si>
    <t>9. Kiwis–Falcons Test</t>
  </si>
  <si>
    <t>14. Yeshwanth Chinni</t>
  </si>
  <si>
    <t>Home ( Australia ): 5000 bet ( Lost )</t>
  </si>
  <si>
    <t>Home(Australia): 10000 bet (Lost)</t>
  </si>
  <si>
    <t>4. Azeem</t>
  </si>
  <si>
    <t>15. Nithin Poojary</t>
  </si>
  <si>
    <t>3. Mahesh</t>
  </si>
  <si>
    <t>Home(Italy): 10000 bet (Won)</t>
  </si>
  <si>
    <t>16. Pratyush Mishra</t>
  </si>
  <si>
    <t>Traded Players:</t>
  </si>
  <si>
    <t>Home (Australia): 5000 bet (Lost)</t>
  </si>
  <si>
    <t>Home(Pakistan): 10000 (Won)</t>
  </si>
  <si>
    <t>5. Toby Joseph</t>
  </si>
  <si>
    <t>17. Ram Thakkar</t>
  </si>
  <si>
    <t>Home(Qatar): 10000 (Won)</t>
  </si>
  <si>
    <t>18. Ramith Acharya</t>
  </si>
  <si>
    <t>1. Shibasis to SA: 5000</t>
  </si>
  <si>
    <t>Away(England): 10000 bet (Lost)</t>
  </si>
  <si>
    <t>4. Gautam</t>
  </si>
  <si>
    <t>6. Srajan Poojari</t>
  </si>
  <si>
    <t xml:space="preserve">3. Aniket Gavit </t>
  </si>
  <si>
    <t>19. Salar Shah</t>
  </si>
  <si>
    <t>2. Ashutoh from BD: 5000</t>
  </si>
  <si>
    <t>Official Host</t>
  </si>
  <si>
    <t>20. Sanan Abrar</t>
  </si>
  <si>
    <t>3. Ajith to India: 10000</t>
  </si>
  <si>
    <t>Away(Canada): 5000 bet (Won)</t>
  </si>
  <si>
    <t>21. Toby Joseph</t>
  </si>
  <si>
    <t>4. Naveen to PNG: 5000</t>
  </si>
  <si>
    <t>Away(England &amp; Italy): 10000 (Lost)</t>
  </si>
  <si>
    <t>22. Tukaram Parabat</t>
  </si>
  <si>
    <t>5. Jabir to PNG: 30000</t>
  </si>
  <si>
    <t>Home(West Indies): 15000 (Won)</t>
  </si>
  <si>
    <t>23. Vikas Acharya</t>
  </si>
  <si>
    <t>Home(Italy): 7000 (Lost)</t>
  </si>
  <si>
    <t>24. Yashwanth Yash</t>
  </si>
  <si>
    <t>Home(India): 10000 (Won)</t>
  </si>
  <si>
    <t>2. Nithin Poojary</t>
  </si>
  <si>
    <t>BBL ( Commentator )</t>
  </si>
  <si>
    <t>Home(Australia): 10000 (Won)</t>
  </si>
  <si>
    <t>5. Harish</t>
  </si>
  <si>
    <t>Best Batsman: 4 (500)</t>
  </si>
  <si>
    <t>Most sixes: 2</t>
  </si>
  <si>
    <t>3. Ram Thakkar</t>
  </si>
  <si>
    <t>6. Yashwanth</t>
  </si>
  <si>
    <t>4. Hasan Musabbir</t>
  </si>
  <si>
    <t>5. Tejasvin AV</t>
  </si>
  <si>
    <t>Eliminated in Super Six: 15000</t>
  </si>
  <si>
    <t>7. Gautam Shankara Ram</t>
  </si>
  <si>
    <t>8. Kishore Gowda</t>
  </si>
  <si>
    <t>10. Tejasvin Av</t>
  </si>
  <si>
    <t>Team Profit: 35400</t>
  </si>
  <si>
    <t>Team Profit: 6250</t>
  </si>
  <si>
    <t>1. Ram Thakkar</t>
  </si>
  <si>
    <t>1. Gowri Madhu</t>
  </si>
  <si>
    <t>1. Srajan Poojary</t>
  </si>
  <si>
    <t>1. Kishore Gowda</t>
  </si>
  <si>
    <t>Best Batsman: 2 ( 400 )</t>
  </si>
  <si>
    <t>Best Batsman:1 ( 200 )</t>
  </si>
  <si>
    <t>2. Yashwanth Yash</t>
  </si>
  <si>
    <t>2. Gautam Shankara Ram</t>
  </si>
  <si>
    <t>2. Suman</t>
  </si>
  <si>
    <t>3. Mahesh Margol</t>
  </si>
  <si>
    <t>3. Hasan Musabbir</t>
  </si>
  <si>
    <t>Most Sixes Tournament Award: 5000</t>
  </si>
  <si>
    <t>4. Harish</t>
  </si>
  <si>
    <t>Team Profit: 9100</t>
  </si>
  <si>
    <t>Team Profit: 5850</t>
  </si>
  <si>
    <t>Team Profit: 5160</t>
  </si>
  <si>
    <t>Team Profit: 11460</t>
  </si>
  <si>
    <t>1. Mahesh Margol</t>
  </si>
  <si>
    <t>1. Gautam</t>
  </si>
  <si>
    <t>Direct Signing: 4500</t>
  </si>
  <si>
    <t>Salary: 5200</t>
  </si>
  <si>
    <t>Salary: 5250</t>
  </si>
  <si>
    <t>Salary: 3200</t>
  </si>
  <si>
    <t>2. Gowri Madhu</t>
  </si>
  <si>
    <t>Man of the Match: 1 (500)</t>
  </si>
  <si>
    <t>2. Tukaram Parabat</t>
  </si>
  <si>
    <t>3. Hrushikesh HD</t>
  </si>
  <si>
    <t>3. Harish</t>
  </si>
  <si>
    <t>2. Hasan</t>
  </si>
  <si>
    <t>Salary: 2600</t>
  </si>
  <si>
    <t>4. Aniket Gavi</t>
  </si>
  <si>
    <t>All Team Profit: 118800</t>
  </si>
  <si>
    <t>Team Profit: 7000</t>
  </si>
  <si>
    <t>Team Profit: 7600</t>
  </si>
  <si>
    <t>Team Profit: 25500</t>
  </si>
  <si>
    <t>Team Profit: 24500</t>
  </si>
  <si>
    <t>Team Profit: 17700</t>
  </si>
  <si>
    <t>Team Profit: 31000</t>
  </si>
  <si>
    <t>1. Harish</t>
  </si>
  <si>
    <t>1. Hasan</t>
  </si>
  <si>
    <t>1. Mahesh</t>
  </si>
  <si>
    <t>1. Aniket</t>
  </si>
  <si>
    <t>1. Kishore</t>
  </si>
  <si>
    <t>2. Hrushikesh</t>
  </si>
  <si>
    <t>2. Tukaram</t>
  </si>
  <si>
    <t>Man of the match: 1 ( 1000 )</t>
  </si>
  <si>
    <t xml:space="preserve"> Best Batsman: 1 (500)</t>
  </si>
  <si>
    <t>Best Bowler: 2 ( 1000 )</t>
  </si>
  <si>
    <t>2. Shibasis</t>
  </si>
  <si>
    <t>Man of the Match: 2 ( 2000 )</t>
  </si>
  <si>
    <t>2. Gautam</t>
  </si>
  <si>
    <t>4. Sameer</t>
  </si>
  <si>
    <t>4. Yashwanth</t>
  </si>
  <si>
    <t>5. Salar Shah</t>
  </si>
  <si>
    <t>Kiwi Crown League ( Own League )</t>
  </si>
  <si>
    <t>Hosting Rights : 160000</t>
  </si>
  <si>
    <t>All Team Profit: 560000</t>
  </si>
  <si>
    <t>1. Gautam Shankara Ram</t>
  </si>
  <si>
    <t>1. Hrushikesh HD</t>
  </si>
  <si>
    <t>1. Shibasis Nayak</t>
  </si>
  <si>
    <t xml:space="preserve">1. Ram Thakkar </t>
  </si>
  <si>
    <t>Captain Salary: 40000</t>
  </si>
  <si>
    <t>2. Karthik Devadiga</t>
  </si>
  <si>
    <t>2. Suman Byndoor</t>
  </si>
  <si>
    <t>Fair Play(Captain): 5565</t>
  </si>
  <si>
    <t>2. Srajan Poojary</t>
  </si>
  <si>
    <t>Champions(Captain): 21500</t>
  </si>
  <si>
    <t>2. Adarsh Byndoor</t>
  </si>
  <si>
    <t>Runners Up(Captain): 10750</t>
  </si>
  <si>
    <t>Emerging Player: 20000</t>
  </si>
  <si>
    <t>3. Ramith Acharya</t>
  </si>
  <si>
    <t>3. Pratyush Mishra</t>
  </si>
  <si>
    <t>2. Hasan Musabir</t>
  </si>
  <si>
    <t>3. Huzaifa Kaukawala</t>
  </si>
  <si>
    <t>4. Toby Joseph</t>
  </si>
  <si>
    <t>4. Manish Poojary</t>
  </si>
  <si>
    <t>3. Vijeth Devadiga</t>
  </si>
  <si>
    <t>4. Naveen J</t>
  </si>
  <si>
    <t>4. Kavya</t>
  </si>
  <si>
    <t>5. Samir</t>
  </si>
  <si>
    <t>5. Vikas Acharya</t>
  </si>
  <si>
    <t>Rating By All Boards on The Hundred 2026(9 out of 10): 45000 credits</t>
  </si>
  <si>
    <t xml:space="preserve">1. Hrushikesh </t>
  </si>
  <si>
    <t xml:space="preserve">1. Tukaram </t>
  </si>
  <si>
    <t xml:space="preserve">1. Huzaifa </t>
  </si>
  <si>
    <t xml:space="preserve">1. Aniket </t>
  </si>
  <si>
    <t xml:space="preserve">1. Adarsh </t>
  </si>
  <si>
    <t>1. Sanan</t>
  </si>
  <si>
    <t xml:space="preserve">2. Srajan </t>
  </si>
  <si>
    <t>2. Pratyush</t>
  </si>
  <si>
    <t xml:space="preserve">2. Mahesh </t>
  </si>
  <si>
    <t xml:space="preserve">2. Vikas </t>
  </si>
  <si>
    <t>2. Ramith</t>
  </si>
  <si>
    <t xml:space="preserve">2. Toby </t>
  </si>
  <si>
    <t>3. Hasan</t>
  </si>
  <si>
    <t>3. Karthik</t>
  </si>
  <si>
    <t>3. Nithin</t>
  </si>
  <si>
    <t xml:space="preserve">4. Naveen </t>
  </si>
  <si>
    <t xml:space="preserve">5. Yeshwanth </t>
  </si>
  <si>
    <t>1. Azeem</t>
  </si>
  <si>
    <t>1. Hasan Musabir</t>
  </si>
  <si>
    <t>Man of the Match: 1 (3000)</t>
  </si>
  <si>
    <t>Best Bowler:1 (1500)</t>
  </si>
  <si>
    <t>Most Sixes Award: 40000</t>
  </si>
  <si>
    <t>3. Ashutosh</t>
  </si>
  <si>
    <t xml:space="preserve">2. Ajith </t>
  </si>
  <si>
    <t>2. Mahesh Margol</t>
  </si>
  <si>
    <t>3. Yeshwanth</t>
  </si>
  <si>
    <t>3. Hrushikesh</t>
  </si>
  <si>
    <t>Salary: 37000</t>
  </si>
  <si>
    <t>3. Tukaram Parabat</t>
  </si>
  <si>
    <t>4. Adarsh Byndoor</t>
  </si>
  <si>
    <t>4. Nithin</t>
  </si>
  <si>
    <t>Salary: 47000</t>
  </si>
  <si>
    <t>4. Ashwini</t>
  </si>
  <si>
    <t>5. Karthik Devadiga</t>
  </si>
  <si>
    <t>Best Batsman: 3 (4500)</t>
  </si>
  <si>
    <t>1. Ashwini</t>
  </si>
  <si>
    <t>1. Hrushikesh</t>
  </si>
  <si>
    <t>2. Ashutosh</t>
  </si>
  <si>
    <t>3. Kishore</t>
  </si>
  <si>
    <t>5. Toby</t>
  </si>
  <si>
    <t>6. Srajan</t>
  </si>
  <si>
    <t>7. Gautam</t>
  </si>
  <si>
    <t xml:space="preserve">8. Tukaram </t>
  </si>
  <si>
    <t>1. Nithin Poojary</t>
  </si>
  <si>
    <t>1. Gokul G</t>
  </si>
  <si>
    <t>2. Ashutosh Jha</t>
  </si>
  <si>
    <t>Most Sixes: 150000</t>
  </si>
  <si>
    <t>Best Batsman of the Tournament: 300000</t>
  </si>
  <si>
    <t>1. Tejasvin Av</t>
  </si>
  <si>
    <t>Salary: 65000</t>
  </si>
  <si>
    <t>Board: Pakistan</t>
  </si>
  <si>
    <t>Chairman: Shamroz | CEO: Nasrullah Kapri</t>
  </si>
  <si>
    <t xml:space="preserve">Whitewash win: </t>
  </si>
  <si>
    <t>Player limit exceeded:</t>
  </si>
  <si>
    <t>CONTINENTAL CUP 2026  🏆: ( ASIA )</t>
  </si>
  <si>
    <t xml:space="preserve">ODI WORLD CUP  🏆: </t>
  </si>
  <si>
    <t>1. Aaiz Khan</t>
  </si>
  <si>
    <t>1. Pointing - Inzamam ( Away )</t>
  </si>
  <si>
    <t>2. Aena Khan</t>
  </si>
  <si>
    <t>Away( Australia ): 5000 bet ( Won )</t>
  </si>
  <si>
    <t>2. Thistle Shaheen ( Away )</t>
  </si>
  <si>
    <t>1. Thistle Shaheen ( Away )</t>
  </si>
  <si>
    <t>Hosting Amount: 12L</t>
  </si>
  <si>
    <t>3. Ayaan Sheikh</t>
  </si>
  <si>
    <t>Away( Srilanka ): 6000 bet ( Lost )</t>
  </si>
  <si>
    <t>3. Crecsent Carnage ( Away )</t>
  </si>
  <si>
    <t>2. Crecsent Carnage ( Away )</t>
  </si>
  <si>
    <t>Players Awards: 2000</t>
  </si>
  <si>
    <t>1. Nasrullah Kapri</t>
  </si>
  <si>
    <t>4. Ayat</t>
  </si>
  <si>
    <t>Away( Newzealand): 3000 bet ( Lost )</t>
  </si>
  <si>
    <t>4. Rhine Indus ( Away )</t>
  </si>
  <si>
    <t>3. Sons &amp; Daughter (Away)</t>
  </si>
  <si>
    <t>3. 30 to 35: 10000</t>
  </si>
  <si>
    <t>1. Wajdan</t>
  </si>
  <si>
    <t>5. Ayla Ali</t>
  </si>
  <si>
    <t>Home( West Indies): 5000 bet ( Lost )</t>
  </si>
  <si>
    <t>5. Khyber Cup (Away )</t>
  </si>
  <si>
    <t>4. 36 to 40: 10000</t>
  </si>
  <si>
    <t>Away (West Indies): 5000 (Won)</t>
  </si>
  <si>
    <t>1. Mallu Pak</t>
  </si>
  <si>
    <t>2. Ayaan Sheikh</t>
  </si>
  <si>
    <t>6. Daniyal Sheikh</t>
  </si>
  <si>
    <t>Away( Scotland): 5000 bet ( Won )</t>
  </si>
  <si>
    <t>6. Pollard Akhter (Away)</t>
  </si>
  <si>
    <t>• vs India: 300</t>
  </si>
  <si>
    <t>Away (Bangladesh): 5000 (Won)</t>
  </si>
  <si>
    <t>2. Bangladesh Shaheen</t>
  </si>
  <si>
    <t>3. Zarnish Saira</t>
  </si>
  <si>
    <t>1. Hizbullah Sahito</t>
  </si>
  <si>
    <t>7. Farhan Mohammad</t>
  </si>
  <si>
    <t>Away(SL,Scot,WI): 6000 bet ( Lost)</t>
  </si>
  <si>
    <t>6. Sons &amp; Daughters of Mother Trophy (Away)</t>
  </si>
  <si>
    <t>Player Trade:</t>
  </si>
  <si>
    <t>Man of the match:1</t>
  </si>
  <si>
    <t>Away(India): 5000 bet (Lost)</t>
  </si>
  <si>
    <t>3. Green &amp; Orange Test</t>
  </si>
  <si>
    <t>4. Shamroz</t>
  </si>
  <si>
    <t>2. Shamroz</t>
  </si>
  <si>
    <t>8. Ganesh Chunduru</t>
  </si>
  <si>
    <t>Away( England): 5000 bet ( Lost)</t>
  </si>
  <si>
    <t>7. BANK AL-HABIB (Home)</t>
  </si>
  <si>
    <t>1. Silk Steel ( Newzealand)</t>
  </si>
  <si>
    <t>5. Muhammad Ahmed</t>
  </si>
  <si>
    <t>9. Ghamshad Baloch</t>
  </si>
  <si>
    <t>Away( Scotland): 10000 bet ( Won )</t>
  </si>
  <si>
    <t>8. Summer Series (Home)</t>
  </si>
  <si>
    <t>1. Summan Baig from Aus - 2k</t>
  </si>
  <si>
    <t>2. Zarnish</t>
  </si>
  <si>
    <t>3. Muhammad Ahmed</t>
  </si>
  <si>
    <t>10. Hizbullah Sahito</t>
  </si>
  <si>
    <t>2. Engr to Afg( Comp for Chairman): 10000</t>
  </si>
  <si>
    <t>Home(Netherlands): 5000 (Won)</t>
  </si>
  <si>
    <t>11. Iqra Batool</t>
  </si>
  <si>
    <t>Away ( Afghanistan ): 5000 bet ( Lost )</t>
  </si>
  <si>
    <t>3. Ali Abbas to Ireland(Compt for Chairman): 10000</t>
  </si>
  <si>
    <t>12. Khan Mahar</t>
  </si>
  <si>
    <t>Away ( Netherlands): 3000 bet ( Won )</t>
  </si>
  <si>
    <t>4. Rima to Aus: 25000</t>
  </si>
  <si>
    <t>3. Nasrullah</t>
  </si>
  <si>
    <t>4. Umar Abbas</t>
  </si>
  <si>
    <t>13. Maheen Khan</t>
  </si>
  <si>
    <t>Home (Australia): 10000 bet (Lost)</t>
  </si>
  <si>
    <t>Runners Up: Shamroz</t>
  </si>
  <si>
    <t>5. Rima from Aus: 25000</t>
  </si>
  <si>
    <t>PSL ( Commentator )</t>
  </si>
  <si>
    <t>14. Manasa</t>
  </si>
  <si>
    <t>Away ( Afghanistan ): 5000 bet ( Won )</t>
  </si>
  <si>
    <t>6. Talha to Spain(Compt for Chairman): 10000</t>
  </si>
  <si>
    <t>15. Mansuri</t>
  </si>
  <si>
    <t>Away (West Indies): 5000 bet (Won)</t>
  </si>
  <si>
    <t>4. Ans Sheikh</t>
  </si>
  <si>
    <t>Best Umpire(100000)</t>
  </si>
  <si>
    <t>16. Marukh Khan</t>
  </si>
  <si>
    <t>Home (Afghanistan): 5000 bet (Lost)</t>
  </si>
  <si>
    <t>5. Maheen Khan</t>
  </si>
  <si>
    <t>17. Masrifa Munni</t>
  </si>
  <si>
    <t>6. Aaiz Khan</t>
  </si>
  <si>
    <t>18. Mian Bilal</t>
  </si>
  <si>
    <t>5. Talha</t>
  </si>
  <si>
    <t>QECL</t>
  </si>
  <si>
    <t>19. Moiz Mohsin</t>
  </si>
  <si>
    <t>Home (Newzealand): 5000 bet (Lost)</t>
  </si>
  <si>
    <t>20. Muhammad Ahmad</t>
  </si>
  <si>
    <t>Highest Score in a Match: 300000</t>
  </si>
  <si>
    <t>21. Muhammad Ali</t>
  </si>
  <si>
    <t>Home(Qatar): 5000 bet (Won)</t>
  </si>
  <si>
    <t>Eliminated In Group Stage: 10k</t>
  </si>
  <si>
    <t>7. Sidra</t>
  </si>
  <si>
    <t>22. Muhammad Huzaifa</t>
  </si>
  <si>
    <t>Away(Ireland): 5000 bet (Lost)</t>
  </si>
  <si>
    <t>2. Zarnish Saira</t>
  </si>
  <si>
    <t>23. Rima Naskar Sona</t>
  </si>
  <si>
    <t xml:space="preserve">Players Awards: 10000 </t>
  </si>
  <si>
    <t>Best Bowling Figures in a Match: 200000</t>
  </si>
  <si>
    <t>24. Rima Roy</t>
  </si>
  <si>
    <t>1. Bhavin Kumar</t>
  </si>
  <si>
    <t>8. Zarnish Saira</t>
  </si>
  <si>
    <t>25. Sanjana</t>
  </si>
  <si>
    <t>Best Bat Average(65.5): 5000</t>
  </si>
  <si>
    <t>3. Iqra</t>
  </si>
  <si>
    <t>9. Ganesh Chunduru</t>
  </si>
  <si>
    <t>3. Ganesh Chunduru</t>
  </si>
  <si>
    <t>26. Sheikh Arhum</t>
  </si>
  <si>
    <t>2. Nasrullah</t>
  </si>
  <si>
    <t>10. Nasrullah Kapri</t>
  </si>
  <si>
    <t>Word Cup Operations Excellence (100000)</t>
  </si>
  <si>
    <t>27. Shumaila</t>
  </si>
  <si>
    <t>Fastest Host of IOCF: 5000</t>
  </si>
  <si>
    <t>Hosting Board</t>
  </si>
  <si>
    <t>28. Sidra</t>
  </si>
  <si>
    <t>4. Muhammad Ahmed</t>
  </si>
  <si>
    <t>29. Summan Baig</t>
  </si>
  <si>
    <t>Prediction Contest: 2nd Place</t>
  </si>
  <si>
    <t>30. Suranja Deepal</t>
  </si>
  <si>
    <t>Fantasy League: 2nd Place</t>
  </si>
  <si>
    <t>31. Taniya</t>
  </si>
  <si>
    <t>5. Hizbullah Sahito</t>
  </si>
  <si>
    <t>32. Umar Abbas</t>
  </si>
  <si>
    <t>33. Usman</t>
  </si>
  <si>
    <t>34. Wafa Baloch</t>
  </si>
  <si>
    <t>6. Muhammad Ali</t>
  </si>
  <si>
    <t>35. Wajdan</t>
  </si>
  <si>
    <t>36. Zarnish Saira</t>
  </si>
  <si>
    <t>7. Daniyal</t>
  </si>
  <si>
    <t>6. Umar Abbas</t>
  </si>
  <si>
    <t>Team Profit: 5000</t>
  </si>
  <si>
    <t>Team Profit: 11000</t>
  </si>
  <si>
    <t>1. Zarnish Saira</t>
  </si>
  <si>
    <t>1. Ans Sheikh</t>
  </si>
  <si>
    <t>1. Shamroz</t>
  </si>
  <si>
    <t>Salary(Replacement Player): 1000</t>
  </si>
  <si>
    <t>Runners Up: 2850</t>
  </si>
  <si>
    <t>Pakistan Super League ( Own League )</t>
  </si>
  <si>
    <t>Hosting Rights : 50000</t>
  </si>
  <si>
    <t>All Team Profit: 142880</t>
  </si>
  <si>
    <t>Team Profit: 61340</t>
  </si>
  <si>
    <t>Team Profit: 14100</t>
  </si>
  <si>
    <t>Team Profit: 14400</t>
  </si>
  <si>
    <t>Team Profit: 13900</t>
  </si>
  <si>
    <t>Team Profit: 21080</t>
  </si>
  <si>
    <t>Team Profit: 24160</t>
  </si>
  <si>
    <t>1. Muhammad Usman</t>
  </si>
  <si>
    <t>1. Muhammad Ahmad</t>
  </si>
  <si>
    <t>1. Engr Ans Sheikh</t>
  </si>
  <si>
    <t>Captain Salary: 7000</t>
  </si>
  <si>
    <t>Man of the Match: 3 ( 1500 )</t>
  </si>
  <si>
    <t>2. Aaiz Khan</t>
  </si>
  <si>
    <t>2. Hizbullah Sahito</t>
  </si>
  <si>
    <t>Fair Play(Captain): 1540</t>
  </si>
  <si>
    <t>Icon Salary: 4000</t>
  </si>
  <si>
    <t>2. Arslan Ali Shani</t>
  </si>
  <si>
    <t>Most Sixes: 5000</t>
  </si>
  <si>
    <t>Runners up ( Captain ): 2880</t>
  </si>
  <si>
    <t>Champions ( Captain ) : 5190</t>
  </si>
  <si>
    <t>3. M Huzaifa</t>
  </si>
  <si>
    <t>2. Ganesh Chunduru</t>
  </si>
  <si>
    <t>3. Moiz Mohsin</t>
  </si>
  <si>
    <t>3. Ghamshad Baloch</t>
  </si>
  <si>
    <t>3. Talha</t>
  </si>
  <si>
    <t>4. Khan Mahar</t>
  </si>
  <si>
    <t>3. Masrifa Munni</t>
  </si>
  <si>
    <t>3. Wafa Baloch</t>
  </si>
  <si>
    <t>4. Suranja</t>
  </si>
  <si>
    <t>4. Ahmed Mahsoof</t>
  </si>
  <si>
    <t>5. Mian Bilal</t>
  </si>
  <si>
    <t>6. Wajdan</t>
  </si>
  <si>
    <t>Emerging Player: 5000</t>
  </si>
  <si>
    <t>Rating By All Boards on PSL 2026(9 out of 10): 45000 credits</t>
  </si>
  <si>
    <t>All Team Profit: 185700</t>
  </si>
  <si>
    <t>Team Profit: 2900</t>
  </si>
  <si>
    <t>Team Profit: 90400</t>
  </si>
  <si>
    <t>Team Profit: 55500</t>
  </si>
  <si>
    <t>Team Profit: 4000</t>
  </si>
  <si>
    <t>1. Ganesh</t>
  </si>
  <si>
    <t>1. Ahmad</t>
  </si>
  <si>
    <t>1. Ayaan</t>
  </si>
  <si>
    <t>1. Nasrullah</t>
  </si>
  <si>
    <t>1. Hizbullah</t>
  </si>
  <si>
    <t>Best Bowler: 4 (2000 )</t>
  </si>
  <si>
    <t>2. Arslan</t>
  </si>
  <si>
    <t>Golden Arm(Best Bowler): 20000</t>
  </si>
  <si>
    <t>Most Sixers: 10000</t>
  </si>
  <si>
    <t>3. Usman</t>
  </si>
  <si>
    <t>2. Munni</t>
  </si>
  <si>
    <t>3. Engr</t>
  </si>
  <si>
    <t>4. Aaiz</t>
  </si>
  <si>
    <t>4. Ahmed</t>
  </si>
  <si>
    <t>5. Wajdan</t>
  </si>
  <si>
    <t>1. Ganesh Chunduru</t>
  </si>
  <si>
    <t>1. Summan Baig</t>
  </si>
  <si>
    <t>2. Muhammad Usman</t>
  </si>
  <si>
    <t>2. Nouraiz</t>
  </si>
  <si>
    <t>3. Ali Abbas Bangesh</t>
  </si>
  <si>
    <t>4. Muhammad Ali</t>
  </si>
  <si>
    <t>1. Aaiz</t>
  </si>
  <si>
    <t>1. Ahmed</t>
  </si>
  <si>
    <t>Best Batsman:1 (1000)</t>
  </si>
  <si>
    <t>2. Usman</t>
  </si>
  <si>
    <t>3. Ganesh</t>
  </si>
  <si>
    <t>3. Mian</t>
  </si>
  <si>
    <t>3. Umar Abbas</t>
  </si>
  <si>
    <t>4. Wafa</t>
  </si>
  <si>
    <t>5. Summan</t>
  </si>
  <si>
    <t>6. Ali Bangesh</t>
  </si>
  <si>
    <t>1. Mian</t>
  </si>
  <si>
    <t>2. Ganesh</t>
  </si>
  <si>
    <t>2. Haniya</t>
  </si>
  <si>
    <t xml:space="preserve">3. Nasrullah </t>
  </si>
  <si>
    <t>2. Aaiz</t>
  </si>
  <si>
    <t>Best Bowler: 4 (6000)</t>
  </si>
  <si>
    <t>Purple Cap Award: 80000</t>
  </si>
  <si>
    <t>4. Sidra</t>
  </si>
  <si>
    <t>5. Farhan</t>
  </si>
  <si>
    <t>6. Ali</t>
  </si>
  <si>
    <t>1. Muhammad Ali</t>
  </si>
  <si>
    <t>1. Ayaan Sheikh</t>
  </si>
  <si>
    <t>1. Umar Abbas</t>
  </si>
  <si>
    <t>Salary: 28000</t>
  </si>
  <si>
    <t>Best Batsman(5000): 1</t>
  </si>
  <si>
    <t>3. Summan Baig</t>
  </si>
  <si>
    <t>4. Aaiz Khan</t>
  </si>
  <si>
    <t>Man of the match(10000): 3</t>
  </si>
  <si>
    <t>Best Bowler: 4 (5000)</t>
  </si>
  <si>
    <t>Best Bowler of the Tournament: 300000</t>
  </si>
  <si>
    <t>5. Sidra</t>
  </si>
  <si>
    <t>6. Iqra</t>
  </si>
  <si>
    <t>7. Ali Abbas</t>
  </si>
  <si>
    <t>8. Wafa Baloch</t>
  </si>
  <si>
    <t>1. Talha</t>
  </si>
  <si>
    <t>Salary: 80000</t>
  </si>
  <si>
    <t>Salary: 135000</t>
  </si>
  <si>
    <t xml:space="preserve">2. Umar Abbas </t>
  </si>
  <si>
    <t>2. Jalal Jalu</t>
  </si>
  <si>
    <t>Salary: 85000</t>
  </si>
  <si>
    <t>2. Sidra</t>
  </si>
  <si>
    <t>4. Sk Haseeb Ali</t>
  </si>
  <si>
    <t>Board: PAPUA NEW GUINEA</t>
  </si>
  <si>
    <t>Chairman: Aman Raj Singh | CEO: Sayed Babu</t>
  </si>
  <si>
    <t>1. Abhishek Rana</t>
  </si>
  <si>
    <t>1. Green Flag Trophy (Away)</t>
  </si>
  <si>
    <t>2. Aman Saini</t>
  </si>
  <si>
    <t>1. Yohaan: Chairman of Kenya(10k)</t>
  </si>
  <si>
    <t>1. Away(West Indies): 5000 (Won)</t>
  </si>
  <si>
    <t>2. United Nations Cricket Summit (Away)</t>
  </si>
  <si>
    <t>3. Anandhu Nandhu</t>
  </si>
  <si>
    <t>2. Kuldeep to Argentina: 10k</t>
  </si>
  <si>
    <t>Royal PNG signature stadium</t>
  </si>
  <si>
    <t>2. Away(Nepal): 3000 (Lost)</t>
  </si>
  <si>
    <t>3. UAE PNG Friendship Series (Away)</t>
  </si>
  <si>
    <t>1. Aman Raj Singh</t>
  </si>
  <si>
    <t>4. Ansh Akki</t>
  </si>
  <si>
    <t>3. Furqan from Spain: 5k</t>
  </si>
  <si>
    <t>Young Monk</t>
  </si>
  <si>
    <t>3. Away(Netherlands, Canada, West Indies): 7500 (Won)</t>
  </si>
  <si>
    <t>4. Golden Raggiana Trophy (Home)</t>
  </si>
  <si>
    <t>5. Viraj Sharma</t>
  </si>
  <si>
    <t>4. Dileep to England: 19000</t>
  </si>
  <si>
    <t>4. Home(USA): 5000 (Lost)</t>
  </si>
  <si>
    <t>6. Grishav</t>
  </si>
  <si>
    <t>5. Naveen from Canada: Free</t>
  </si>
  <si>
    <t>5. Away(UAE): 5000 (Won)</t>
  </si>
  <si>
    <t>7. Harry Gujjar</t>
  </si>
  <si>
    <t>6. Ishaq to Spain: 5000</t>
  </si>
  <si>
    <t>6. Away(UAE): 5000 (Lost)</t>
  </si>
  <si>
    <t>8. Naveen Gupta</t>
  </si>
  <si>
    <t>7. Naveen from NZ: 5000</t>
  </si>
  <si>
    <t>7. Home(Ireland): 5000 (Won)</t>
  </si>
  <si>
    <t>9. Josiya</t>
  </si>
  <si>
    <t>8. Jabir from NZ: 30000</t>
  </si>
  <si>
    <t>10. Kalash</t>
  </si>
  <si>
    <t>11. Mehul</t>
  </si>
  <si>
    <t>12. Mumtaz Khan</t>
  </si>
  <si>
    <t>13. Pawan</t>
  </si>
  <si>
    <t>14. Prakash Singh Negi</t>
  </si>
  <si>
    <t>15. Pranjal Kundaliya</t>
  </si>
  <si>
    <t>16. Salik Hassan</t>
  </si>
  <si>
    <t>17. Shivi</t>
  </si>
  <si>
    <t>18. Suhail PS</t>
  </si>
  <si>
    <t>19. Urmila</t>
  </si>
  <si>
    <t>20. Draco</t>
  </si>
  <si>
    <t>21. Naveen</t>
  </si>
  <si>
    <t>22. Jabir</t>
  </si>
  <si>
    <t>1. Furqan</t>
  </si>
  <si>
    <t>1. Sayed Babu</t>
  </si>
  <si>
    <t>1. Kalash</t>
  </si>
  <si>
    <t>2. Ishaq Ahmed</t>
  </si>
  <si>
    <t>2. Aman Raj Singh</t>
  </si>
  <si>
    <t>Board: Portugal</t>
  </si>
  <si>
    <t>Chairman: Kailas MS | CEO: -</t>
  </si>
  <si>
    <t>1. The Goat Cup (Away)</t>
  </si>
  <si>
    <t>2. Akshay Vernam</t>
  </si>
  <si>
    <t>1. Akshay from Scot: 5k</t>
  </si>
  <si>
    <t xml:space="preserve">1. Away(Argentina): 3000 bet (Lost) </t>
  </si>
  <si>
    <t>2. Himalayan Dreams (Away)</t>
  </si>
  <si>
    <t>3. Anand</t>
  </si>
  <si>
    <t>2. Sujith from Eng: 2k</t>
  </si>
  <si>
    <t>Lisbon Cricket Ground</t>
  </si>
  <si>
    <t>2. Away(Nepal &amp; England): 3000 bet (Won)</t>
  </si>
  <si>
    <t>4. Ashiq</t>
  </si>
  <si>
    <t>5. Irshad</t>
  </si>
  <si>
    <t>6. Irshad</t>
  </si>
  <si>
    <t>7. Jijith</t>
  </si>
  <si>
    <t>8. Lalu</t>
  </si>
  <si>
    <t>9. Mubashir</t>
  </si>
  <si>
    <t>10. Mushfik</t>
  </si>
  <si>
    <t>11. Pranav</t>
  </si>
  <si>
    <t>12. Rashid M</t>
  </si>
  <si>
    <t>13. Sandra</t>
  </si>
  <si>
    <t>14. Zachu</t>
  </si>
  <si>
    <t>15. Sujith Kumar</t>
  </si>
  <si>
    <t>16. Anoop</t>
  </si>
  <si>
    <t>17. Aswathy Mohan</t>
  </si>
  <si>
    <t>18. Ambady</t>
  </si>
  <si>
    <t>19. Hannimon</t>
  </si>
  <si>
    <t>Board: Qatar</t>
  </si>
  <si>
    <t>Chairman: Ans Sheikh | CEO: Ebad Malik</t>
  </si>
  <si>
    <r>
      <rPr>
        <b/>
      </rPr>
      <t xml:space="preserve">Media Sponsors: </t>
    </r>
    <r>
      <rPr>
        <b/>
        <color rgb="FF1155CC"/>
        <u/>
      </rPr>
      <t>Techysphere.com</t>
    </r>
  </si>
  <si>
    <t>1. Abdul Haseeb</t>
  </si>
  <si>
    <t>1. Freedom Trophy ( Home )</t>
  </si>
  <si>
    <t>2. Abdullah Ishtiaq</t>
  </si>
  <si>
    <t>Away( Newzealand ): 3000 bet ( Lost )</t>
  </si>
  <si>
    <t>1. Against Australia: 1</t>
  </si>
  <si>
    <t>2. Van Ghani ( Away )</t>
  </si>
  <si>
    <t>1. Jishnu to Scotland - 1000</t>
  </si>
  <si>
    <t>3. Adnan Khalid</t>
  </si>
  <si>
    <t>Home( Srilanka) : 5000 bet ( Lost )</t>
  </si>
  <si>
    <t>3. Afghan Pak ( Home )</t>
  </si>
  <si>
    <t>Players Awards: 1100</t>
  </si>
  <si>
    <t>2. Ahmed from Qatar - 2000</t>
  </si>
  <si>
    <t>4. Aman Raj Singh</t>
  </si>
  <si>
    <t>Home ( England): 3000 bet ( Won )</t>
  </si>
  <si>
    <t>4. Khyber Dutch (Home)</t>
  </si>
  <si>
    <t>1. Farhan Mallick</t>
  </si>
  <si>
    <t>3. Ebad from Qatar - 2000</t>
  </si>
  <si>
    <t>Home (India): 7000 bet (Won)</t>
  </si>
  <si>
    <t>5. Zohaib Khan Tareen</t>
  </si>
  <si>
    <t>Away ( South Africa): 6000 bet ( Lost )</t>
  </si>
  <si>
    <t>5. Clash of the Neighbours  (Away)</t>
  </si>
  <si>
    <t>4. Abdul from Qatar - 2000</t>
  </si>
  <si>
    <t>Away (Srilanka): 10000 bet (Won)</t>
  </si>
  <si>
    <t>1. Valley Trophy A (Away)</t>
  </si>
  <si>
    <t>1. Umar Shahzad</t>
  </si>
  <si>
    <t>1. Suleman Haider</t>
  </si>
  <si>
    <t>Best Batsman(3000): 2</t>
  </si>
  <si>
    <t>6. Huzaifa Imran</t>
  </si>
  <si>
    <t>Away ( Australia): 7000 bet ( Lost )</t>
  </si>
  <si>
    <t>6. Freedom Jalebi Trophy (Away)</t>
  </si>
  <si>
    <t>5. Abul from BD - 15000</t>
  </si>
  <si>
    <t>Home (Srilanka): 10000 bet (Won)</t>
  </si>
  <si>
    <t>2. Valley Trophy B (Home)</t>
  </si>
  <si>
    <t>7. Mudasir Ali</t>
  </si>
  <si>
    <t>Away ( Netherlands): 5000 bet ( Won )</t>
  </si>
  <si>
    <t>7. Desert Derby (Away)</t>
  </si>
  <si>
    <t>6. Harsh from BD - 15000</t>
  </si>
  <si>
    <t>3. Kabul Trophy</t>
  </si>
  <si>
    <t>2. Muhammad Touqeer</t>
  </si>
  <si>
    <t>2. Adithya Mahajan</t>
  </si>
  <si>
    <t>8. Muhammad Ahmed Mughal</t>
  </si>
  <si>
    <t>Away ( West Indies): 3000 bet ( Lost )</t>
  </si>
  <si>
    <t>8. The Gulf Cup (Home)</t>
  </si>
  <si>
    <t>7. Harsh to Aus - 60000</t>
  </si>
  <si>
    <t>Home (West Indies): 5000 bet (Lost)</t>
  </si>
  <si>
    <t>4. Desert Tulip</t>
  </si>
  <si>
    <t>2. Syed Raza</t>
  </si>
  <si>
    <t>9. Umar Shahzad</t>
  </si>
  <si>
    <t>Away ( Bangladesh ): 5000 bet ( Lost )</t>
  </si>
  <si>
    <t>9. ODI WC Warmup 8 (Won)</t>
  </si>
  <si>
    <t>2. Malik Zubair</t>
  </si>
  <si>
    <t>8. Veer from ND: 10000</t>
  </si>
  <si>
    <t>Home (Netherlands): 5000 bet (Won)</t>
  </si>
  <si>
    <t>5. Dunes Cup</t>
  </si>
  <si>
    <t>Best Batsman(1000): 4</t>
  </si>
  <si>
    <t>3. Ahmed Mughal</t>
  </si>
  <si>
    <t>3. Saad Rizwan</t>
  </si>
  <si>
    <t>10. Syed Raza</t>
  </si>
  <si>
    <t>Home ( Pakistan ): 5000 bet ( Won )</t>
  </si>
  <si>
    <t>• Most Sixes: 300</t>
  </si>
  <si>
    <t>9. Abul (10k) - USA CEO</t>
  </si>
  <si>
    <t>11. Saad Rizwan</t>
  </si>
  <si>
    <t>Away ( Newzealand ): 5000 bet ( Lost )</t>
  </si>
  <si>
    <t>Eliminated in group stage: 10k</t>
  </si>
  <si>
    <t>10. Suleman to USA - 45000</t>
  </si>
  <si>
    <t>12. Suhyl Muhammad</t>
  </si>
  <si>
    <t>11. Waleed (Chairman Afghanistan): 10k</t>
  </si>
  <si>
    <t>4. Abdul Muqeeth</t>
  </si>
  <si>
    <t>13. Sufyan Gujjar</t>
  </si>
  <si>
    <t>Home (Netherlands): 4000 bet (Won)</t>
  </si>
  <si>
    <t>Fantasy League Winner</t>
  </si>
  <si>
    <t>12. Anas to Spain: free</t>
  </si>
  <si>
    <t>5. Umar Shahzad</t>
  </si>
  <si>
    <t>14. Suman Pradhan</t>
  </si>
  <si>
    <t>1. Techysphere.com (Media Sponsors)</t>
  </si>
  <si>
    <t>Malik Zubair: 30000</t>
  </si>
  <si>
    <t>13. Touqeer to Spain: Free</t>
  </si>
  <si>
    <t>4. Ebad Malik</t>
  </si>
  <si>
    <t>15. SV</t>
  </si>
  <si>
    <t>Away(South Africa): 5000 bet (Won)</t>
  </si>
  <si>
    <t>14. Muzamil to Spain: Free</t>
  </si>
  <si>
    <t>6. Sufyan Gujjar</t>
  </si>
  <si>
    <t>16. Tushar Kumar</t>
  </si>
  <si>
    <t>Away(UAE): 3000 bet (Won)</t>
  </si>
  <si>
    <t>15. Tushar from Qatar: 25000</t>
  </si>
  <si>
    <t>5. Ahmed Mughal</t>
  </si>
  <si>
    <t>Prediction Contest: 3rd Place</t>
  </si>
  <si>
    <t>Home(Ireland): 5000 bet (Won)</t>
  </si>
  <si>
    <t>Home(Newzealand): 5000 bet (Won)</t>
  </si>
  <si>
    <t>5. Huzaifa Imran</t>
  </si>
  <si>
    <t>Home(Scotland): 5000 bet (Lost)</t>
  </si>
  <si>
    <t>2. Anas Asim</t>
  </si>
  <si>
    <t>5. Mudasir Ali</t>
  </si>
  <si>
    <t>3. Huzaifa Imran</t>
  </si>
  <si>
    <t>L4i Series</t>
  </si>
  <si>
    <t>4. Adithya Mahajan</t>
  </si>
  <si>
    <t>5. Farhan Mallick</t>
  </si>
  <si>
    <t>6. Mudasir Ali</t>
  </si>
  <si>
    <t>7. Ahmed Mughal</t>
  </si>
  <si>
    <t>8. Ans Sheikh</t>
  </si>
  <si>
    <t>1. Anas Asim</t>
  </si>
  <si>
    <t>1. Dr Waleed Khan</t>
  </si>
  <si>
    <t>Economical Bowler Award: 5000</t>
  </si>
  <si>
    <t>Team Profit: 52270</t>
  </si>
  <si>
    <t>Team Profit: 7700</t>
  </si>
  <si>
    <t xml:space="preserve">Team Profit: 7300 </t>
  </si>
  <si>
    <t xml:space="preserve">1. Waleed Khan </t>
  </si>
  <si>
    <t>1. M Touqeer</t>
  </si>
  <si>
    <t>Direct Signing: 4000</t>
  </si>
  <si>
    <t>2. Huzaifa Imran</t>
  </si>
  <si>
    <t>3. Sufyan</t>
  </si>
  <si>
    <t>2. Saad Rizwan</t>
  </si>
  <si>
    <t>3. Adithya Mahajan</t>
  </si>
  <si>
    <t>Best Bowler: 3 (600)</t>
  </si>
  <si>
    <t>Best Bowler of the Tournament: 10000</t>
  </si>
  <si>
    <t>Player of the Tournament: 20000</t>
  </si>
  <si>
    <t xml:space="preserve">Big Bash League </t>
  </si>
  <si>
    <t>Team Profit: 18300</t>
  </si>
  <si>
    <t>Team Profit: 18400</t>
  </si>
  <si>
    <t>Team Profit: 3700</t>
  </si>
  <si>
    <t>Team Profit: 15000</t>
  </si>
  <si>
    <t>1. Adithya</t>
  </si>
  <si>
    <t>1. Waleed</t>
  </si>
  <si>
    <t>1. Anas</t>
  </si>
  <si>
    <t>1. Touqeer</t>
  </si>
  <si>
    <t>2. Mudasir</t>
  </si>
  <si>
    <t>2. Adnan Abbas</t>
  </si>
  <si>
    <t>2. Saad</t>
  </si>
  <si>
    <t xml:space="preserve">Kiwi Crown League : 000 </t>
  </si>
  <si>
    <t>All Team Profit: 0000</t>
  </si>
  <si>
    <t>1. Huzaifa Imran</t>
  </si>
  <si>
    <t>1. Saad Rizwan</t>
  </si>
  <si>
    <t>1. Adithya Mahajan</t>
  </si>
  <si>
    <t xml:space="preserve">Salary: 19000 </t>
  </si>
  <si>
    <t>2. SK Haseeb Ali</t>
  </si>
  <si>
    <t>2. Zuhair</t>
  </si>
  <si>
    <t>2. Touqeer</t>
  </si>
  <si>
    <t xml:space="preserve">Salary: 2500 </t>
  </si>
  <si>
    <t>3. Mudasir Ali</t>
  </si>
  <si>
    <t>Player of the Tournament: 80000</t>
  </si>
  <si>
    <t>4. Abdullah Ishtiaq</t>
  </si>
  <si>
    <t>3. Rao Abul</t>
  </si>
  <si>
    <t>2. Umar Khan</t>
  </si>
  <si>
    <t>5. Adnan Khalid</t>
  </si>
  <si>
    <t>7. Muzamil</t>
  </si>
  <si>
    <t>(AFG)Withdrawn from BPL: 150000 Fine</t>
  </si>
  <si>
    <t>1. Ans</t>
  </si>
  <si>
    <t>1. Mudasir Ali</t>
  </si>
  <si>
    <t>Man of the match: 3 (6000)</t>
  </si>
  <si>
    <t>Best Bowler: 3 (3000)</t>
  </si>
  <si>
    <t>3. Suman Pradhan</t>
  </si>
  <si>
    <t>4. Zohaib</t>
  </si>
  <si>
    <t>5. Muzamil</t>
  </si>
  <si>
    <t>6. Sufyan</t>
  </si>
  <si>
    <t xml:space="preserve">1. Saad </t>
  </si>
  <si>
    <t>1. Suhyl Muhammad</t>
  </si>
  <si>
    <t>1. Huzaifa</t>
  </si>
  <si>
    <t>Salary:15000</t>
  </si>
  <si>
    <t>2. Ebad</t>
  </si>
  <si>
    <t>2. Rao</t>
  </si>
  <si>
    <t>3. SV</t>
  </si>
  <si>
    <t>1. Mudasir</t>
  </si>
  <si>
    <t>1. Suhyl</t>
  </si>
  <si>
    <t xml:space="preserve">1. Ahmed Mughal </t>
  </si>
  <si>
    <t>1. Ebad Malik</t>
  </si>
  <si>
    <t>1. Veer Gupta</t>
  </si>
  <si>
    <t>2. Ans Sheikh</t>
  </si>
  <si>
    <t>1. Eng Ans Sheikh</t>
  </si>
  <si>
    <t>1. Raza</t>
  </si>
  <si>
    <t>2. Mudasir Ali</t>
  </si>
  <si>
    <t>2. Ahmed Mughal</t>
  </si>
  <si>
    <t>4. Huzaifa Imran</t>
  </si>
  <si>
    <t>5. Abdul Muqeeth</t>
  </si>
  <si>
    <t>6. Aman Raj Singh</t>
  </si>
  <si>
    <t>Qatar Elite Cricket League ( Own League )</t>
  </si>
  <si>
    <t>Hosting Rights : 1200000</t>
  </si>
  <si>
    <t>1. Sufyan Yaqoob Gujjar</t>
  </si>
  <si>
    <t>1. Muhammed Waleed Khan</t>
  </si>
  <si>
    <t xml:space="preserve">1. Muhammad Ahmed Mughal </t>
  </si>
  <si>
    <t>Captain Salary: 300000</t>
  </si>
  <si>
    <t>Fair Play Captain: 34225</t>
  </si>
  <si>
    <t>2. Muzammil Zaffar</t>
  </si>
  <si>
    <t>2. Umar Shahzad</t>
  </si>
  <si>
    <t>Champions Captain: 135675</t>
  </si>
  <si>
    <t>2. Abdul Muqeeth</t>
  </si>
  <si>
    <t>Marquee Salary: 200000</t>
  </si>
  <si>
    <t>Best Batsman: 2 (5000)</t>
  </si>
  <si>
    <t>Runners Up Captain: 63225</t>
  </si>
  <si>
    <t>2. Adnan Khalid</t>
  </si>
  <si>
    <t>Emerging Player: 150000</t>
  </si>
  <si>
    <t>3. Abdul Haseeb Siddiqui</t>
  </si>
  <si>
    <t>3. Ashfia Nijhum</t>
  </si>
  <si>
    <t>4. Veer Gupta</t>
  </si>
  <si>
    <t>3. Arslan Ali Shani</t>
  </si>
  <si>
    <t>Board: Scotland</t>
  </si>
  <si>
    <t>Chairman: Ajaykumar Sajeev | CEO: Jishnu</t>
  </si>
  <si>
    <t>1. Abhinand</t>
  </si>
  <si>
    <t>1. Mccullum Graveney ( Away )</t>
  </si>
  <si>
    <t>Jishnu from Afghanistan: 1k</t>
  </si>
  <si>
    <t>Away( Westindies/Scotland): 5000 ( Lost )</t>
  </si>
  <si>
    <t>2. Macleod Bardman ( Home )</t>
  </si>
  <si>
    <t>1. Mcculim Graveney ( Away )</t>
  </si>
  <si>
    <t xml:space="preserve">Players Awards: 35000 </t>
  </si>
  <si>
    <t>Hosting Amount: 101k</t>
  </si>
  <si>
    <t>3. Afsal OCA</t>
  </si>
  <si>
    <t>Kailas (Portugal Chairman): 10k</t>
  </si>
  <si>
    <t>Away( England ): 5000 ( Lost )</t>
  </si>
  <si>
    <t>3. Coca Cola Series ( Away )</t>
  </si>
  <si>
    <t>Players Awards: 6700</t>
  </si>
  <si>
    <t>1. Hashir</t>
  </si>
  <si>
    <t>Scotland (10000)</t>
  </si>
  <si>
    <t xml:space="preserve">1. Jishnu </t>
  </si>
  <si>
    <t>4. Ajoy</t>
  </si>
  <si>
    <t>Arjun from West Indies: 100000</t>
  </si>
  <si>
    <t>Home ( pakistan): 5000 ( Lost )</t>
  </si>
  <si>
    <t>4. Euro Cup ( Away )</t>
  </si>
  <si>
    <t>1. Jishnu</t>
  </si>
  <si>
    <t>Most Sixes(18): 5000</t>
  </si>
  <si>
    <t>Home (West Indies): 5000 bet ( Lost )</t>
  </si>
  <si>
    <t>Scotland(15000)</t>
  </si>
  <si>
    <t>5. Amal</t>
  </si>
  <si>
    <t>Akshay to Portugal: 5k</t>
  </si>
  <si>
    <t>Away( Newzealand): 5000 ( Won )</t>
  </si>
  <si>
    <t>5. ODI WC Warmup 9 (Home)</t>
  </si>
  <si>
    <t>Man of the match : 1</t>
  </si>
  <si>
    <t>2. Shafi</t>
  </si>
  <si>
    <t>Away ( West Indies ): 5000 bet ( Won )</t>
  </si>
  <si>
    <t>1. Palmyra Trophy</t>
  </si>
  <si>
    <t>Best Captain:</t>
  </si>
  <si>
    <t>Amjith (20000)</t>
  </si>
  <si>
    <t>1. Hari M</t>
  </si>
  <si>
    <t>SPL</t>
  </si>
  <si>
    <t>6. Amjith</t>
  </si>
  <si>
    <t>Home ( Australia): 5000 ( Won )</t>
  </si>
  <si>
    <t>6. Friends Cup (Away)</t>
  </si>
  <si>
    <t>1. Thistle shaheen ( Home )</t>
  </si>
  <si>
    <t>Best Bowler: 10000</t>
  </si>
  <si>
    <t>2. Mediterranean Saltire</t>
  </si>
  <si>
    <t>Champions:</t>
  </si>
  <si>
    <t>Best Batsman(3000): 4</t>
  </si>
  <si>
    <t>7. Anandhu</t>
  </si>
  <si>
    <t xml:space="preserve">Player limit increased: </t>
  </si>
  <si>
    <t>Away ( SL, Pak, WI): 6000 ( Won )</t>
  </si>
  <si>
    <t>World T20 Champions 2026</t>
  </si>
  <si>
    <t>2. Crescent Carnage ( Home )</t>
  </si>
  <si>
    <t>Man of the Tournament: 20000</t>
  </si>
  <si>
    <t>Away (Newzealand): 5000 bet ( Won )</t>
  </si>
  <si>
    <t>3. Kiwi Thistle</t>
  </si>
  <si>
    <t>2. Shukoor</t>
  </si>
  <si>
    <t>Most Sixes(1000): 4</t>
  </si>
  <si>
    <t>2. Kebin</t>
  </si>
  <si>
    <t>8. Ansar</t>
  </si>
  <si>
    <t>Home ( Pakistan ): 10000 ( Lost )</t>
  </si>
  <si>
    <t>Home (Newzealand): 5000  bet (Won)</t>
  </si>
  <si>
    <t>4. Celtic Kiwi</t>
  </si>
  <si>
    <t>Most Sixes in the tournament: 500000</t>
  </si>
  <si>
    <t>9. Anoop MK</t>
  </si>
  <si>
    <t>Away ( Srilanka ): 5000 ( Lost )</t>
  </si>
  <si>
    <t>Champions: 80000</t>
  </si>
  <si>
    <t>Away (Bangladesh): 5000 bet (Lost)</t>
  </si>
  <si>
    <t>5. Highland Tigers</t>
  </si>
  <si>
    <t>3. Kebin</t>
  </si>
  <si>
    <t>Best Batsman of the tournament: 800000</t>
  </si>
  <si>
    <t>10. Arjun Raj R</t>
  </si>
  <si>
    <t>Away ( Netherlands ): 5000 ( Won )</t>
  </si>
  <si>
    <t>Home (Bangladesh): 5000 bet (Won)</t>
  </si>
  <si>
    <t>6. Madsen Berrington</t>
  </si>
  <si>
    <t>Man of the tournament: 1000000</t>
  </si>
  <si>
    <t>11. Arshad</t>
  </si>
  <si>
    <t>Prediction 4th Place: 5000</t>
  </si>
  <si>
    <t>Away(Scotland): 3000 bet (Lost)</t>
  </si>
  <si>
    <t>7. The Ravana Cup</t>
  </si>
  <si>
    <t>4. Ashiqui Ashi</t>
  </si>
  <si>
    <t>2. Arjun Raj</t>
  </si>
  <si>
    <t>12. Arshad N</t>
  </si>
  <si>
    <t>Away(Qatar): 5000 (Won)</t>
  </si>
  <si>
    <t>Semifinalit: Abhinand</t>
  </si>
  <si>
    <t>Man of the match : 4</t>
  </si>
  <si>
    <t>8. Latitude Clash</t>
  </si>
  <si>
    <t>13. Ashiqui Ashi</t>
  </si>
  <si>
    <t>9. Highland Falcons</t>
  </si>
  <si>
    <t>14. Ashith S</t>
  </si>
  <si>
    <t>10. Falcons–Thistles Test</t>
  </si>
  <si>
    <t>3. Ajay Kumar Sajeev</t>
  </si>
  <si>
    <t>15. Asthu Mohammad</t>
  </si>
  <si>
    <t>Away(Srilanka): 6000 bet  (Won)</t>
  </si>
  <si>
    <t>11. Lions–Thistles Test</t>
  </si>
  <si>
    <t>3. Resham Das</t>
  </si>
  <si>
    <t>16. Athul</t>
  </si>
  <si>
    <t>• vs India(Semis): 500</t>
  </si>
  <si>
    <t>Away(UAE): 5000 bet (Won)</t>
  </si>
  <si>
    <t>Best Bowling Economy: 200000</t>
  </si>
  <si>
    <t>17. Bijoy</t>
  </si>
  <si>
    <t>Most Maidens: 500000</t>
  </si>
  <si>
    <t>18. Blesson Devassi</t>
  </si>
  <si>
    <t>Away(Qatar): 10000 (Won)</t>
  </si>
  <si>
    <t>4. Shukoor</t>
  </si>
  <si>
    <t>19. Chappy MK</t>
  </si>
  <si>
    <t>Away(England): 10000 (Won)</t>
  </si>
  <si>
    <t>20. Dingan</t>
  </si>
  <si>
    <t>• vs India(Semis): 300</t>
  </si>
  <si>
    <t>21. Ershad</t>
  </si>
  <si>
    <t>3. Hashir</t>
  </si>
  <si>
    <t xml:space="preserve">5. Amal </t>
  </si>
  <si>
    <t xml:space="preserve">5. Kailas </t>
  </si>
  <si>
    <t>22. Hari M</t>
  </si>
  <si>
    <t>Most sixes: 3</t>
  </si>
  <si>
    <t>6. Hashir</t>
  </si>
  <si>
    <t>23. Harishankar</t>
  </si>
  <si>
    <t>1. Irshad Bekal</t>
  </si>
  <si>
    <t>6. Ajay</t>
  </si>
  <si>
    <t>24. Hashir</t>
  </si>
  <si>
    <t>25. Huzain Muhammad</t>
  </si>
  <si>
    <t>26. Irshad Bekal</t>
  </si>
  <si>
    <t>2. Thesbeer</t>
  </si>
  <si>
    <t>Prediction Contest: 4th Place</t>
  </si>
  <si>
    <t>7. Hashir</t>
  </si>
  <si>
    <t>27. Jasheer V</t>
  </si>
  <si>
    <t>28. Kebin</t>
  </si>
  <si>
    <t>29. Libin Thomas</t>
  </si>
  <si>
    <t>5. Irshad Bekal</t>
  </si>
  <si>
    <t>30. MS</t>
  </si>
  <si>
    <t>31. Rojo</t>
  </si>
  <si>
    <t>• vs England(Final): 500</t>
  </si>
  <si>
    <t>8. Sufaid</t>
  </si>
  <si>
    <t>32. Sajith</t>
  </si>
  <si>
    <t>6. Kebin</t>
  </si>
  <si>
    <t>4. Ershad</t>
  </si>
  <si>
    <t>33. Salimax</t>
  </si>
  <si>
    <t>34. Shaheen</t>
  </si>
  <si>
    <t>• vs England(Final): 1000</t>
  </si>
  <si>
    <t>9. Irshad</t>
  </si>
  <si>
    <t>35. Shehinsha</t>
  </si>
  <si>
    <t>5. Ashith</t>
  </si>
  <si>
    <t>36. Shinu</t>
  </si>
  <si>
    <t>37. Shukoor</t>
  </si>
  <si>
    <t>38. Sufaid</t>
  </si>
  <si>
    <t>6. Asthu</t>
  </si>
  <si>
    <t>39. Thanvin</t>
  </si>
  <si>
    <t>40. Thebseer</t>
  </si>
  <si>
    <t>41. Vivek</t>
  </si>
  <si>
    <t>7. Salimax</t>
  </si>
  <si>
    <t>42. Yadhu</t>
  </si>
  <si>
    <t>43. Zuhaid Mohd</t>
  </si>
  <si>
    <t>8. AjayKumar Sajeev</t>
  </si>
  <si>
    <t>Best Bowler: 3 (500)</t>
  </si>
  <si>
    <t>9. Jishnu</t>
  </si>
  <si>
    <t>10. Hari</t>
  </si>
  <si>
    <t>11. Sufaid</t>
  </si>
  <si>
    <t>12. Arjun Raj</t>
  </si>
  <si>
    <t>No one is playing: They will concetrate on series</t>
  </si>
  <si>
    <t>Team Profit: 3800</t>
  </si>
  <si>
    <t>Team Profit: 9140</t>
  </si>
  <si>
    <t>1. Ashique Ashi</t>
  </si>
  <si>
    <t>1. Shafi</t>
  </si>
  <si>
    <t>Salary: 3800</t>
  </si>
  <si>
    <t>All Team Profit: 95600</t>
  </si>
  <si>
    <t>Team Profit: 10000</t>
  </si>
  <si>
    <t>Team Profit: 3600</t>
  </si>
  <si>
    <t>Team Profit: 2200</t>
  </si>
  <si>
    <t>Team Profit: 68100</t>
  </si>
  <si>
    <t>1. Kebin</t>
  </si>
  <si>
    <t>1. Ashith</t>
  </si>
  <si>
    <t>1. AjayKumar</t>
  </si>
  <si>
    <t>1. Irshad</t>
  </si>
  <si>
    <t>1. Ashiqui</t>
  </si>
  <si>
    <t>1. Rojo</t>
  </si>
  <si>
    <t>2. Jishnu</t>
  </si>
  <si>
    <t>2. Thebseer</t>
  </si>
  <si>
    <t>3. Shaheen</t>
  </si>
  <si>
    <t>4. Salimax</t>
  </si>
  <si>
    <t>5. Asthu</t>
  </si>
  <si>
    <t>1. Ajaykumar Sajeev</t>
  </si>
  <si>
    <t>1. Ashiqui Ashi</t>
  </si>
  <si>
    <t>2. Hashir</t>
  </si>
  <si>
    <t>Best Bowler: 3 (2250)</t>
  </si>
  <si>
    <t>2. Chappy</t>
  </si>
  <si>
    <t>1. Hari</t>
  </si>
  <si>
    <t>1. Ajay</t>
  </si>
  <si>
    <t>1. Shaheen</t>
  </si>
  <si>
    <t>1. Sali</t>
  </si>
  <si>
    <t>1. Asthu</t>
  </si>
  <si>
    <t>Salary: 1900</t>
  </si>
  <si>
    <t>2. Ashi</t>
  </si>
  <si>
    <t>Best bowler: 1 (1000)</t>
  </si>
  <si>
    <t>3. Blesson</t>
  </si>
  <si>
    <t>1. Ershad</t>
  </si>
  <si>
    <t>1. Shukoor</t>
  </si>
  <si>
    <t>Salary:  1000</t>
  </si>
  <si>
    <t>Man of the match: 3 (9000)</t>
  </si>
  <si>
    <t>2. Shinu</t>
  </si>
  <si>
    <t>3. Asthu</t>
  </si>
  <si>
    <t>Orange Cap Award: 80000</t>
  </si>
  <si>
    <t>3. Ashiqui Ashi</t>
  </si>
  <si>
    <t xml:space="preserve">4. Amjith </t>
  </si>
  <si>
    <t>4. Zuhair</t>
  </si>
  <si>
    <t>5. Ansar</t>
  </si>
  <si>
    <t>6. Jasheer</t>
  </si>
  <si>
    <t>6. Thebseer</t>
  </si>
  <si>
    <t>7. Amal</t>
  </si>
  <si>
    <t xml:space="preserve">8. Hari </t>
  </si>
  <si>
    <t>9. Blesson</t>
  </si>
  <si>
    <t>10. Sufaid</t>
  </si>
  <si>
    <t>11. Akshay</t>
  </si>
  <si>
    <t>12. Shaheen</t>
  </si>
  <si>
    <t>13. Adarsh</t>
  </si>
  <si>
    <t>14. Yadhu</t>
  </si>
  <si>
    <t>15. Salimax</t>
  </si>
  <si>
    <t>1. Amjith</t>
  </si>
  <si>
    <t>1. Ansar</t>
  </si>
  <si>
    <t>1. Ashi</t>
  </si>
  <si>
    <t>1. Adarsh</t>
  </si>
  <si>
    <t>1. Zuhair</t>
  </si>
  <si>
    <t>2. Ashith</t>
  </si>
  <si>
    <t>2. Shaheen</t>
  </si>
  <si>
    <t>2. Asthu</t>
  </si>
  <si>
    <t>3. Jasheer</t>
  </si>
  <si>
    <t>4. Shinu</t>
  </si>
  <si>
    <t>5. Thebsheer</t>
  </si>
  <si>
    <t>6. Yadhu</t>
  </si>
  <si>
    <t>4. Chappy</t>
  </si>
  <si>
    <t>5. Hari</t>
  </si>
  <si>
    <t>7. Sufaid</t>
  </si>
  <si>
    <t>Scottish Premier League ( Own League )</t>
  </si>
  <si>
    <t xml:space="preserve">1. Ashiqui Ashi </t>
  </si>
  <si>
    <t xml:space="preserve">1. Ansar </t>
  </si>
  <si>
    <t xml:space="preserve">1. Abhinand B </t>
  </si>
  <si>
    <t xml:space="preserve">1. Kebin </t>
  </si>
  <si>
    <t xml:space="preserve">1. Akshay Varnam </t>
  </si>
  <si>
    <t xml:space="preserve">1. Hashir Fyrooz </t>
  </si>
  <si>
    <t xml:space="preserve">1. Blesson </t>
  </si>
  <si>
    <t xml:space="preserve">1. Rojo </t>
  </si>
  <si>
    <t xml:space="preserve">1. Amjith </t>
  </si>
  <si>
    <t xml:space="preserve">2. Hari </t>
  </si>
  <si>
    <t xml:space="preserve">2. Ashith </t>
  </si>
  <si>
    <t xml:space="preserve">2. Zuhair </t>
  </si>
  <si>
    <t xml:space="preserve">2. Thebseer </t>
  </si>
  <si>
    <t>Runners UP Captain: 60000</t>
  </si>
  <si>
    <t xml:space="preserve">2. Asthu </t>
  </si>
  <si>
    <t>Fair Play Captain: 35000</t>
  </si>
  <si>
    <t xml:space="preserve">2. Shinu </t>
  </si>
  <si>
    <t xml:space="preserve">2. Shaheen </t>
  </si>
  <si>
    <t>3. Adarsh</t>
  </si>
  <si>
    <t>Champion Captain: 120000</t>
  </si>
  <si>
    <t>3. Amal</t>
  </si>
  <si>
    <t xml:space="preserve">2. Irshad Bekal </t>
  </si>
  <si>
    <t>3. Ajoy</t>
  </si>
  <si>
    <t>3. Sufaid</t>
  </si>
  <si>
    <t>Salary: 180000</t>
  </si>
  <si>
    <t xml:space="preserve">2. Shafi Chappy </t>
  </si>
  <si>
    <t>Salary: 160000</t>
  </si>
  <si>
    <t>4. Kailas</t>
  </si>
  <si>
    <t>Emerging Player : 150000</t>
  </si>
  <si>
    <t>4. Jasheer</t>
  </si>
  <si>
    <t>3. Yadhu</t>
  </si>
  <si>
    <t xml:space="preserve">3. Salimax </t>
  </si>
  <si>
    <t>3. Vivek</t>
  </si>
  <si>
    <t>3. Harishankar</t>
  </si>
  <si>
    <t>Salary: 120000</t>
  </si>
  <si>
    <t>Salary: 52000</t>
  </si>
  <si>
    <t>4. Bijoy</t>
  </si>
  <si>
    <t xml:space="preserve">4. Thanvin </t>
  </si>
  <si>
    <t>5. Athul</t>
  </si>
  <si>
    <t>4. MS</t>
  </si>
  <si>
    <t>4. Arshad</t>
  </si>
  <si>
    <t>Salary: 110000</t>
  </si>
  <si>
    <t>Salary: 124000</t>
  </si>
  <si>
    <t>Salary: 71000</t>
  </si>
  <si>
    <t xml:space="preserve">4. Libin </t>
  </si>
  <si>
    <t>Salary: 140000</t>
  </si>
  <si>
    <t>4. Shehinsha</t>
  </si>
  <si>
    <t>5. Sajith</t>
  </si>
  <si>
    <t>4. Ajay</t>
  </si>
  <si>
    <t>Salary: 123000</t>
  </si>
  <si>
    <t>Salary: 240000</t>
  </si>
  <si>
    <t>5. Anandhu</t>
  </si>
  <si>
    <t>5. Arshad N</t>
  </si>
  <si>
    <t>Salary: 67000</t>
  </si>
  <si>
    <t>5. Dingan</t>
  </si>
  <si>
    <t>1. Ajay Kumar Sajeev</t>
  </si>
  <si>
    <t>1. Kebin Matthew</t>
  </si>
  <si>
    <t>1. Blesson Devassi</t>
  </si>
  <si>
    <t xml:space="preserve">1. Hashir </t>
  </si>
  <si>
    <t>2. Sufaid</t>
  </si>
  <si>
    <t>2. Jishnu DQ</t>
  </si>
  <si>
    <t>Most Sixes Award: 150000</t>
  </si>
  <si>
    <t>Best Batsman Award: 300000</t>
  </si>
  <si>
    <t>4. Hari</t>
  </si>
  <si>
    <t>6. Abhinand</t>
  </si>
  <si>
    <t>Board: South Africa</t>
  </si>
  <si>
    <t>Chairman: Srinidhi &amp; Donald Baghwar</t>
  </si>
  <si>
    <r>
      <rPr>
        <b/>
      </rPr>
      <t xml:space="preserve">JERSEY SPONSORS: </t>
    </r>
    <r>
      <rPr>
        <b/>
        <color rgb="FF1155CC"/>
        <u/>
      </rPr>
      <t>Cricket Bhu</t>
    </r>
  </si>
  <si>
    <r>
      <rPr>
        <b/>
      </rPr>
      <t xml:space="preserve">MEDIA SPONSORS: </t>
    </r>
    <r>
      <rPr>
        <b/>
        <color rgb="FF1155CC"/>
        <u/>
      </rPr>
      <t>Cricket with Mit</t>
    </r>
  </si>
  <si>
    <t>Players:</t>
  </si>
  <si>
    <t>1. Aditya Mahajan</t>
  </si>
  <si>
    <t>1. UAE - SA Elite Series (Away)</t>
  </si>
  <si>
    <t>2. Anshuman Mishra</t>
  </si>
  <si>
    <t>1. Bhavin from BD - 2500</t>
  </si>
  <si>
    <t>Home(Afghanistan): 5000 bet (Lost)</t>
  </si>
  <si>
    <t>2. Rhino - Bear Cup (Home)</t>
  </si>
  <si>
    <t>2. Raksh from BD - 2500</t>
  </si>
  <si>
    <t>Away(Bangladesh): 5000 bet (Lost)</t>
  </si>
  <si>
    <t>4. Bhavin Kumar</t>
  </si>
  <si>
    <t>3. Saketh from BD - 2500</t>
  </si>
  <si>
    <t>Away(UAE): 5000 Bet (Won)</t>
  </si>
  <si>
    <t>Home(Italy): 5000 bet (Lost)</t>
  </si>
  <si>
    <t>5. Dheeraj Shastri</t>
  </si>
  <si>
    <t>4. Bhavesh from BD - 2500</t>
  </si>
  <si>
    <t>Home(West Indies): 5000 bet (Won)</t>
  </si>
  <si>
    <t>1. Sky Bound</t>
  </si>
  <si>
    <t xml:space="preserve">1. Kaushik Kalita </t>
  </si>
  <si>
    <t>1. Siddharth V Jain</t>
  </si>
  <si>
    <t>6. Girish Ranjan</t>
  </si>
  <si>
    <t>5. Mahi from Aus - 2500</t>
  </si>
  <si>
    <t>Away(West Indies): 5000 bet (Won)</t>
  </si>
  <si>
    <t>2. Earth Bound</t>
  </si>
  <si>
    <t>7. Jibin Althaf</t>
  </si>
  <si>
    <t>6. K Rakesh from Aus - 2500</t>
  </si>
  <si>
    <t>3. Heritage Trophy</t>
  </si>
  <si>
    <t>2. Shajahan</t>
  </si>
  <si>
    <t>8. Kamlesh Choudhary</t>
  </si>
  <si>
    <t>7. Shibasis from NZ - 5000</t>
  </si>
  <si>
    <t>Away(Scotland): 5000 (Lost)</t>
  </si>
  <si>
    <t>4. Bungle in The Jungle</t>
  </si>
  <si>
    <t>2. Siddharth V Jain</t>
  </si>
  <si>
    <t>2. Rahul Mohapatra</t>
  </si>
  <si>
    <t>9. Kaushik Jagadeesan</t>
  </si>
  <si>
    <t>8. Adithya from BD - 15000</t>
  </si>
  <si>
    <t>Away(Srilanka): 5000 bet (Won)</t>
  </si>
  <si>
    <t>5. Legends of the Lion Test</t>
  </si>
  <si>
    <t>10. K Rakesh</t>
  </si>
  <si>
    <t>9. Saubhagya (Trade Issue) - 20000</t>
  </si>
  <si>
    <t>Home(Srilanka): 10000 (Won)</t>
  </si>
  <si>
    <t>6. Proteas–Lions Test</t>
  </si>
  <si>
    <t>3. Shibasis</t>
  </si>
  <si>
    <t>3. Rakshith Shetty</t>
  </si>
  <si>
    <t>11. Mahi Mahendra</t>
  </si>
  <si>
    <t>10. Sid to BD: 100000</t>
  </si>
  <si>
    <t>Home(UAE): 10000 (Won)</t>
  </si>
  <si>
    <t>7. Proteas–Desert Test</t>
  </si>
  <si>
    <t>4. K Rakesh</t>
  </si>
  <si>
    <t>12. Manish Kumar</t>
  </si>
  <si>
    <t>11. Kaushik to BD: 100000</t>
  </si>
  <si>
    <t>8. The Rainbow Bengal</t>
  </si>
  <si>
    <t>13. Naman Mahajan</t>
  </si>
  <si>
    <t>12. Zamam from USA: 100000</t>
  </si>
  <si>
    <t>14. Parth Inamdar</t>
  </si>
  <si>
    <t>5. Bhavin Kumar</t>
  </si>
  <si>
    <t>15. Rahul Mohapatra</t>
  </si>
  <si>
    <t>1. Cricket Bhu (Jersey Sponsors)</t>
  </si>
  <si>
    <t>16. Rakshith Raksh</t>
  </si>
  <si>
    <t>2. Cricket with Mit (Media Sponsors)</t>
  </si>
  <si>
    <t>6. Donald Baghwar</t>
  </si>
  <si>
    <t>17. Rakshith Shetty</t>
  </si>
  <si>
    <t>18. Saketh B</t>
  </si>
  <si>
    <t>7. Adithya Mahajan</t>
  </si>
  <si>
    <t>19. Saubhagya Gupta</t>
  </si>
  <si>
    <t>1. K Rakesh</t>
  </si>
  <si>
    <t>20. Shahjahan</t>
  </si>
  <si>
    <t>21. Shiva Teja</t>
  </si>
  <si>
    <t>8. Kaushik Kalita</t>
  </si>
  <si>
    <t>22. Susheel Teja</t>
  </si>
  <si>
    <t>2. Kaushik</t>
  </si>
  <si>
    <t>23. Zamam Usmani</t>
  </si>
  <si>
    <t>9. Bhavesh B</t>
  </si>
  <si>
    <t>Highest Strike Rate: 200000</t>
  </si>
  <si>
    <t>3. Bhavin Kumar</t>
  </si>
  <si>
    <t>4. Saketh balne</t>
  </si>
  <si>
    <t>5. Naman Mahajan</t>
  </si>
  <si>
    <t>6. Bhavesh B</t>
  </si>
  <si>
    <t>All leagues Profit</t>
  </si>
  <si>
    <t>1. Srinidhi</t>
  </si>
  <si>
    <t>2. Saketh Balne</t>
  </si>
  <si>
    <t>4. Rakshith Raksh</t>
  </si>
  <si>
    <t>1. Rahul Mahapatra</t>
  </si>
  <si>
    <t>1. Bhavesh</t>
  </si>
  <si>
    <t>1. Kaushik Kalita</t>
  </si>
  <si>
    <t>No Salary ( Traded )</t>
  </si>
  <si>
    <t>2. Shiva Teja</t>
  </si>
  <si>
    <t>3. Mahi Mahendra</t>
  </si>
  <si>
    <t>Best Bowler:  1 (1000)</t>
  </si>
  <si>
    <t xml:space="preserve">4. K Rakesh </t>
  </si>
  <si>
    <t>5. Parth Inamdar</t>
  </si>
  <si>
    <t>6. Manish Kumar</t>
  </si>
  <si>
    <t>7. Susheel</t>
  </si>
  <si>
    <t>9. Shibasis</t>
  </si>
  <si>
    <t>Salary: 12200</t>
  </si>
  <si>
    <t>1. Kaushik</t>
  </si>
  <si>
    <t>1. Raksh</t>
  </si>
  <si>
    <t>1. Sidharth V Jain</t>
  </si>
  <si>
    <t>2. Rakesh</t>
  </si>
  <si>
    <t xml:space="preserve">2. Mahi </t>
  </si>
  <si>
    <t>2. Kamlesh</t>
  </si>
  <si>
    <t>3. Shiva</t>
  </si>
  <si>
    <t>4. Shibasis</t>
  </si>
  <si>
    <t>4. Bhavin</t>
  </si>
  <si>
    <t>5. Srinidhi</t>
  </si>
  <si>
    <t>6. Rahul</t>
  </si>
  <si>
    <t>1. Rakshith Shetty</t>
  </si>
  <si>
    <t xml:space="preserve">1. Bhavesh </t>
  </si>
  <si>
    <t>1. Jibin</t>
  </si>
  <si>
    <t>1. Rakesh</t>
  </si>
  <si>
    <t>2. Srinidhi</t>
  </si>
  <si>
    <t>1. Jibin Altaf</t>
  </si>
  <si>
    <t>3. Saketh Balne</t>
  </si>
  <si>
    <t>Salary: 76000</t>
  </si>
  <si>
    <t>3. Kaushik Kalita</t>
  </si>
  <si>
    <t>4. Siddharth V Jain</t>
  </si>
  <si>
    <t>5. Shiva Teja</t>
  </si>
  <si>
    <t>3. K Rakesh</t>
  </si>
  <si>
    <t>3. Srinidhi K</t>
  </si>
  <si>
    <t>4. Kaushik Kalita</t>
  </si>
  <si>
    <t>5. Rahul Mahapatra</t>
  </si>
  <si>
    <t>4. Zamam Usmani</t>
  </si>
  <si>
    <t>6. Shiva Teja</t>
  </si>
  <si>
    <t>Board: Spain</t>
  </si>
  <si>
    <t>Chairman: Muhammad Talha | CEO: ---</t>
  </si>
  <si>
    <t>1. Muhammad Shahzad</t>
  </si>
  <si>
    <t>1. Emerald - Spanish Debut Cup (Away)</t>
  </si>
  <si>
    <t>1. Shahzad from Aus: 5k</t>
  </si>
  <si>
    <t>1. Away(Ireland): 5000 bet (Lost)</t>
  </si>
  <si>
    <t>2. Crimson Samurai Clash</t>
  </si>
  <si>
    <t>3. Nouraiz Abbas</t>
  </si>
  <si>
    <t>2. Jalal from Pak: Free</t>
  </si>
  <si>
    <t>Estadi de Cricket</t>
  </si>
  <si>
    <t>2. Away(Canada &amp; Kenya): 5000 bet (Lost)</t>
  </si>
  <si>
    <t>1. Furqan Rasheed</t>
  </si>
  <si>
    <t>4. Irfan Ali</t>
  </si>
  <si>
    <t>3. Nouraiz from Pak: Free</t>
  </si>
  <si>
    <t>3. Home(USA): 7000 bet (Lost)</t>
  </si>
  <si>
    <t>5. SK Haseeb Ali</t>
  </si>
  <si>
    <t>4. Haseeb from Pak: Free</t>
  </si>
  <si>
    <t>4. Away(Italy): 3000 (Lost)</t>
  </si>
  <si>
    <t>6. Furqan Rasheed</t>
  </si>
  <si>
    <t>5. Furqan from PNG: 5k</t>
  </si>
  <si>
    <t>5. Home(Japan): 5000 (Won)</t>
  </si>
  <si>
    <t>7. Ghamshad Kapri</t>
  </si>
  <si>
    <t>6. Gamshad from BD: Free</t>
  </si>
  <si>
    <t>8. Abdul Rehman Yaseen</t>
  </si>
  <si>
    <t>7. Fraz from Kenya: 5000</t>
  </si>
  <si>
    <t>9. Ejas Ahammed</t>
  </si>
  <si>
    <t>8. Anas from Qatar: Free</t>
  </si>
  <si>
    <t>10. Safeer Chepzy</t>
  </si>
  <si>
    <t>9. Touqeer from Qatar: Free</t>
  </si>
  <si>
    <t>11. Najam</t>
  </si>
  <si>
    <t>10. Muzammil from Qatar: Free</t>
  </si>
  <si>
    <t>12. Fraz Ali</t>
  </si>
  <si>
    <t>11. Tushar to Qatar: 25000</t>
  </si>
  <si>
    <t>13. Anas Asim</t>
  </si>
  <si>
    <t>12. Ishaq from PNG: 5000</t>
  </si>
  <si>
    <t>14. Muhammad Touqeer</t>
  </si>
  <si>
    <t>15. Muzammil Zafar</t>
  </si>
  <si>
    <t>16. Ishaq Ahmed</t>
  </si>
  <si>
    <t>1. Muhammad Talha</t>
  </si>
  <si>
    <t>No salary(Traded)</t>
  </si>
  <si>
    <t>3. Ghamshad Kapri</t>
  </si>
  <si>
    <t>Board: SRILANKA</t>
  </si>
  <si>
    <t>Chairman: Damitha Naranpanawa | CEO: Thilanga Dumindu</t>
  </si>
  <si>
    <t>CONTINENTAL CUP  🏆: ( ASIA )</t>
  </si>
  <si>
    <t>ODI WORLD CUP 2026 🏆: ( ASIA )</t>
  </si>
  <si>
    <t>1. Asiri</t>
  </si>
  <si>
    <t>1. Colombo Cup ( Home )</t>
  </si>
  <si>
    <t>2. Binara</t>
  </si>
  <si>
    <t>Home( Pakistan ): 6000 bet ( Won )</t>
  </si>
  <si>
    <t>2. Revival Cup ( Away )</t>
  </si>
  <si>
    <t>1. Eagles Trophy ( Home )</t>
  </si>
  <si>
    <t>3. Chalana Rukshan</t>
  </si>
  <si>
    <t>Away( Afghanistan): 5000 bet ( Won )</t>
  </si>
  <si>
    <t>3. Blue Rivalry cup ( Home )</t>
  </si>
  <si>
    <t>Players Awards: 1400</t>
  </si>
  <si>
    <t>1. Damitha N</t>
  </si>
  <si>
    <t>4. Damith Nandana</t>
  </si>
  <si>
    <t>Home( India ): 6000 bet ( Won )</t>
  </si>
  <si>
    <t>4. Emerald Isle ( Away )</t>
  </si>
  <si>
    <t>1. Virendra</t>
  </si>
  <si>
    <t>Home (Afghanistan ): 10000 bet (Lost)</t>
  </si>
  <si>
    <t>5. Hansana De Silva</t>
  </si>
  <si>
    <t>Away( England): 5000 bet ( won )</t>
  </si>
  <si>
    <t>5. Eagles Trophy ( Home )</t>
  </si>
  <si>
    <t>Away (Afghanistan): 10000 bet (Lost)</t>
  </si>
  <si>
    <t>1. Hague Colombo</t>
  </si>
  <si>
    <t>1. Miraj Cool</t>
  </si>
  <si>
    <t>1. Sasith Jayawardane</t>
  </si>
  <si>
    <t>6. Hasindu Rashminda</t>
  </si>
  <si>
    <t>Home( Scot,Pak,WI): 6000 bet ( Lost )</t>
  </si>
  <si>
    <t>6. Highland Lions ( Away )</t>
  </si>
  <si>
    <t>Away (Netherlands): 5000 bet (Won)</t>
  </si>
  <si>
    <t xml:space="preserve">2. Island Trophy </t>
  </si>
  <si>
    <t>7. Kavinda Gihan</t>
  </si>
  <si>
    <t>7. The London Cup (Away)</t>
  </si>
  <si>
    <t>2. Kavinda</t>
  </si>
  <si>
    <t>3. Srilanka in England</t>
  </si>
  <si>
    <t>2. Hasindu Rashminda</t>
  </si>
  <si>
    <t>8. Kithmewan Gimantha</t>
  </si>
  <si>
    <t>Away ( Newzealand): 5000 bet ( Lost )</t>
  </si>
  <si>
    <t>8. Kingdom Trophy ( Home)</t>
  </si>
  <si>
    <t>4. Lions–Shaheens Test</t>
  </si>
  <si>
    <t>3. Ruwanga</t>
  </si>
  <si>
    <t>2. Rasith Wijethunga</t>
  </si>
  <si>
    <t>2. Thilanga D</t>
  </si>
  <si>
    <t>9. Kosala Jayasinghe</t>
  </si>
  <si>
    <t>Away ( Scotland ): 5000 bet ( Won )</t>
  </si>
  <si>
    <t>9. Breaking Boundaries Cup (Away)</t>
  </si>
  <si>
    <t>Home(Scotland): 6000 bet (Lost)</t>
  </si>
  <si>
    <t>4. Damitha Naranpanawa</t>
  </si>
  <si>
    <t>10. Miraj Cool</t>
  </si>
  <si>
    <t>Home (Italy): 6000 bet (Lost)</t>
  </si>
  <si>
    <t>10. Austral-Asia Tri Series (Away)</t>
  </si>
  <si>
    <t>3. Damitha N</t>
  </si>
  <si>
    <t>Away(West Indies): 6000 bet (Lost)</t>
  </si>
  <si>
    <t>5. Thilanga Dumindu</t>
  </si>
  <si>
    <t>3. Hasindu R</t>
  </si>
  <si>
    <t>11. Poorna K De Silva</t>
  </si>
  <si>
    <t>11. ODI WC Warmup 3 (Home)</t>
  </si>
  <si>
    <t>Away(Australia):  5000 bet (Lost)</t>
  </si>
  <si>
    <t>12. Rasith Wijethunga</t>
  </si>
  <si>
    <t>3. Ruwanga B</t>
  </si>
  <si>
    <t>13. Rubesh Jude Daniel</t>
  </si>
  <si>
    <t>4. Sasith</t>
  </si>
  <si>
    <t>Home(Australia): 10000 bet (Won)</t>
  </si>
  <si>
    <t>14. Ruwanga Bandarawaththa</t>
  </si>
  <si>
    <t>Away(South Africa): 10000 (Lost)</t>
  </si>
  <si>
    <t>15. Sasith Jayawardena</t>
  </si>
  <si>
    <t>5. Damith Nandana</t>
  </si>
  <si>
    <t>16. Thilina Jayarathna</t>
  </si>
  <si>
    <t>Away(Australia &amp; UAE): 15000 (Won)</t>
  </si>
  <si>
    <t>17. Uresh Gnananga</t>
  </si>
  <si>
    <t>6. Kosala</t>
  </si>
  <si>
    <t>18. Virendra</t>
  </si>
  <si>
    <t>Away(South Africa): 5000 (Lost)</t>
  </si>
  <si>
    <t>1. Damitha Naranpanawa</t>
  </si>
  <si>
    <t>Fantasy League: 1st Place</t>
  </si>
  <si>
    <t>Best Economy(2.0): 5000</t>
  </si>
  <si>
    <t>Fantasy League 4th Place</t>
  </si>
  <si>
    <t>Sasith: 5000</t>
  </si>
  <si>
    <t>2. Rasith W</t>
  </si>
  <si>
    <t>3. Sasith J</t>
  </si>
  <si>
    <t>4. Ruwanga</t>
  </si>
  <si>
    <t>1. Thilanga Dumindu</t>
  </si>
  <si>
    <t>1. Hasindu Rashminda</t>
  </si>
  <si>
    <t>1. Rasith Wijethunga ( Replacement )</t>
  </si>
  <si>
    <t>Team Profit: 13550</t>
  </si>
  <si>
    <t>6. Uresh G</t>
  </si>
  <si>
    <t>2. Sasith</t>
  </si>
  <si>
    <t>7. Chalana</t>
  </si>
  <si>
    <t>3. Miraj Cool</t>
  </si>
  <si>
    <t>2. Virendra</t>
  </si>
  <si>
    <t>4. Damith Nandana ( Replacement )</t>
  </si>
  <si>
    <t>8. Thilanga</t>
  </si>
  <si>
    <t>3. Kosala Jayasinghe</t>
  </si>
  <si>
    <t>Pakistan Super League : 37140</t>
  </si>
  <si>
    <t>Team Profit: 11980</t>
  </si>
  <si>
    <t>Team Profit: 1100</t>
  </si>
  <si>
    <t>Team Profit: 18100</t>
  </si>
  <si>
    <t>Team Profit: 5960</t>
  </si>
  <si>
    <t>1. Rasith Wijetthunga</t>
  </si>
  <si>
    <t>1. Rubesh</t>
  </si>
  <si>
    <t>Salary: 3600</t>
  </si>
  <si>
    <t>2. Damith Nandana</t>
  </si>
  <si>
    <t>2. Damitha Naranpanwa</t>
  </si>
  <si>
    <t>2. Kosala</t>
  </si>
  <si>
    <t>3. Virendra</t>
  </si>
  <si>
    <t>4. Hasindu Rashminda</t>
  </si>
  <si>
    <t>5. Sasith</t>
  </si>
  <si>
    <t>Big Bash League : 25900</t>
  </si>
  <si>
    <t>All Team Profit: 44500</t>
  </si>
  <si>
    <t>Team Profit: 7500</t>
  </si>
  <si>
    <t>Team Profit: 21600</t>
  </si>
  <si>
    <t>Team Profit: 23400</t>
  </si>
  <si>
    <t>1. Miraj</t>
  </si>
  <si>
    <t>1. Ruwanga</t>
  </si>
  <si>
    <t>1. Hasana</t>
  </si>
  <si>
    <t>2. Hasindu</t>
  </si>
  <si>
    <t>2. Thilanga</t>
  </si>
  <si>
    <t>2. Thilina</t>
  </si>
  <si>
    <t>3. Rasith</t>
  </si>
  <si>
    <t>4. Uresh GN</t>
  </si>
  <si>
    <t>3. Rubesh</t>
  </si>
  <si>
    <t>4. Damith N</t>
  </si>
  <si>
    <t>Salary: 300</t>
  </si>
  <si>
    <t>1. Kavinda Gihan</t>
  </si>
  <si>
    <t>1. Rasith</t>
  </si>
  <si>
    <t>2. Rubesh Jude</t>
  </si>
  <si>
    <t>3. Damith Nandana</t>
  </si>
  <si>
    <t>3. Hansana</t>
  </si>
  <si>
    <t>4. Binara</t>
  </si>
  <si>
    <t>1. Thilanga</t>
  </si>
  <si>
    <t>1. Hasindu</t>
  </si>
  <si>
    <t>2. Miraj</t>
  </si>
  <si>
    <t>3. Chalana</t>
  </si>
  <si>
    <t>3. Kosala</t>
  </si>
  <si>
    <t>4. Thilina</t>
  </si>
  <si>
    <t>4. Damith</t>
  </si>
  <si>
    <t>5. Hansana</t>
  </si>
  <si>
    <t>Salary:1300</t>
  </si>
  <si>
    <t>6. Uresh</t>
  </si>
  <si>
    <t xml:space="preserve">1. Hansana </t>
  </si>
  <si>
    <t>3. Sasith</t>
  </si>
  <si>
    <t>1. Sasith</t>
  </si>
  <si>
    <t>1. Damitha</t>
  </si>
  <si>
    <t>1. Chalana</t>
  </si>
  <si>
    <t>2. Rasith</t>
  </si>
  <si>
    <t>1. Rasith Wijethunga</t>
  </si>
  <si>
    <t>1. Ruwanga B</t>
  </si>
  <si>
    <t>1. Hansana De Silva</t>
  </si>
  <si>
    <t>3. Thilanga Dumindu</t>
  </si>
  <si>
    <t>4. Miraj Cool</t>
  </si>
  <si>
    <t>Board: UAE</t>
  </si>
  <si>
    <t>Chairman: Antony John CTR | CEO: Hanish</t>
  </si>
  <si>
    <t>CONTINENTAL CUP 2026 🏆: ( ASIA )</t>
  </si>
  <si>
    <t>1. Abhijith</t>
  </si>
  <si>
    <t>1. Crescent Cup (Away)</t>
  </si>
  <si>
    <t>2. Highland Trophy (Away)</t>
  </si>
  <si>
    <t>3. Alan</t>
  </si>
  <si>
    <t>Home(Qatar): 3000 bet (Lost)</t>
  </si>
  <si>
    <t>3. Sir Gary Sobers Remembrance Trophy (Away)</t>
  </si>
  <si>
    <t>1. Jafnis</t>
  </si>
  <si>
    <t>4. Arjun</t>
  </si>
  <si>
    <t>4. Falcon Cup (Away)</t>
  </si>
  <si>
    <t>Away(Bangladesh): 5000 bet (Won)</t>
  </si>
  <si>
    <t>5. Falcon Eagle Clash (Home)</t>
  </si>
  <si>
    <t>Away(Scotland): 5000 bet (Lost)</t>
  </si>
  <si>
    <t>1. Arabian Crown Trophy</t>
  </si>
  <si>
    <t>1. Tom</t>
  </si>
  <si>
    <t>1. Antony John Ctr</t>
  </si>
  <si>
    <t>6. Ayas</t>
  </si>
  <si>
    <t>6. The Falcon Eagle Clash 2.0 (Home)</t>
  </si>
  <si>
    <t>2. Rahul Raj</t>
  </si>
  <si>
    <t>7. Jabir</t>
  </si>
  <si>
    <t>Home(West Indies): 10000 bet (Lost)</t>
  </si>
  <si>
    <t>7. The Emirates royal Cup (Home)</t>
  </si>
  <si>
    <t>Home(Australia): 10000 (Lost)</t>
  </si>
  <si>
    <t>3. Jafnis</t>
  </si>
  <si>
    <t>8. Jafnis</t>
  </si>
  <si>
    <t>8. The Indo-Emirates Cup (Away)</t>
  </si>
  <si>
    <t xml:space="preserve">3. Sebin </t>
  </si>
  <si>
    <t>Best Bowler(100): 1</t>
  </si>
  <si>
    <t>2. Thrived</t>
  </si>
  <si>
    <t>9. Jin</t>
  </si>
  <si>
    <t>Away(Australia): 3000 bet (Won)</t>
  </si>
  <si>
    <t>9. ODI WC Warmup 6 (Home)</t>
  </si>
  <si>
    <t>10. Justin</t>
  </si>
  <si>
    <t>10. Japan UAE Friendship Series (Away)</t>
  </si>
  <si>
    <t>4. Sebin</t>
  </si>
  <si>
    <t>11. Monai</t>
  </si>
  <si>
    <t>Away(Australia &amp; Srilanka): 15000 (Lost)</t>
  </si>
  <si>
    <t>11. BATTLE OF STORMS (Home)</t>
  </si>
  <si>
    <t>4. Jafnis</t>
  </si>
  <si>
    <t>5. Arjun</t>
  </si>
  <si>
    <t>3. Sebin</t>
  </si>
  <si>
    <t>12. Nikhil</t>
  </si>
  <si>
    <t xml:space="preserve">1. Akhil </t>
  </si>
  <si>
    <t>5. Rahul Raj</t>
  </si>
  <si>
    <t>6. Thrived</t>
  </si>
  <si>
    <t>13. Rahul Raj</t>
  </si>
  <si>
    <t>6. Antony John CTR</t>
  </si>
  <si>
    <t>14. Suhas</t>
  </si>
  <si>
    <t>Home(India): 5000 (Won)</t>
  </si>
  <si>
    <t>15. Thrived</t>
  </si>
  <si>
    <t>Away(India): 5000 (Won)</t>
  </si>
  <si>
    <t>16. Tom</t>
  </si>
  <si>
    <t>17. Vaishak</t>
  </si>
  <si>
    <t>Home(Zimbabwe): 5000 (Lost)</t>
  </si>
  <si>
    <t>18. Vaishnav</t>
  </si>
  <si>
    <t>Home(Japan): 5000 (Lost)</t>
  </si>
  <si>
    <t>3. Abhijith</t>
  </si>
  <si>
    <t>19. Varun</t>
  </si>
  <si>
    <t>Away(Japan): 5000 (Won)</t>
  </si>
  <si>
    <t>20. Vishnu</t>
  </si>
  <si>
    <t>21. Zaheen</t>
  </si>
  <si>
    <t>Home(PNG): 5000 (Lost)</t>
  </si>
  <si>
    <t>22. Rakesh</t>
  </si>
  <si>
    <t>Home(PNG): 5000 (Won)</t>
  </si>
  <si>
    <t>23. Abdu</t>
  </si>
  <si>
    <t>5. Jafnis</t>
  </si>
  <si>
    <t>1. Sebin</t>
  </si>
  <si>
    <t>Board: Uganda</t>
  </si>
  <si>
    <t>Chairman: Akhil Vijayan | CEO: Haseeb</t>
  </si>
  <si>
    <t>1. Abhimanue</t>
  </si>
  <si>
    <t>2. Ajwad</t>
  </si>
  <si>
    <t>Away( Canada &amp; USA ): 5000 bet ( Lost )</t>
  </si>
  <si>
    <t>1. Midlaj from Zim: 5000</t>
  </si>
  <si>
    <t>3. Akash</t>
  </si>
  <si>
    <t>Mandela National Stadium</t>
  </si>
  <si>
    <t>Home(Uganda): 5000 bet (Lost)</t>
  </si>
  <si>
    <t>5. Alen</t>
  </si>
  <si>
    <t>Away(UAE): 5000 bet  (Lost)</t>
  </si>
  <si>
    <t>1. Noufal</t>
  </si>
  <si>
    <t>6. Althwaf</t>
  </si>
  <si>
    <t>Best Bowler (1000): 1</t>
  </si>
  <si>
    <t>7. Anoop</t>
  </si>
  <si>
    <t>2. Vineeth Chandhu</t>
  </si>
  <si>
    <t>8. Anu</t>
  </si>
  <si>
    <t>3. Ayaz</t>
  </si>
  <si>
    <t>9. Anumod</t>
  </si>
  <si>
    <t>10. Aravind</t>
  </si>
  <si>
    <t>11. Asaf</t>
  </si>
  <si>
    <t>12. Ayaz</t>
  </si>
  <si>
    <t>13. Hubalnas</t>
  </si>
  <si>
    <t>14. Joyal</t>
  </si>
  <si>
    <t>15. Jubi</t>
  </si>
  <si>
    <t>16. Mallaya</t>
  </si>
  <si>
    <t>17. Midlaj</t>
  </si>
  <si>
    <t>18. Noufal</t>
  </si>
  <si>
    <t>19. Rijoyes</t>
  </si>
  <si>
    <t>20. Sahad</t>
  </si>
  <si>
    <t>21. Savad</t>
  </si>
  <si>
    <t>22. Sreeraj</t>
  </si>
  <si>
    <t>23. Sreeraj K</t>
  </si>
  <si>
    <t>24. Vaishnav</t>
  </si>
  <si>
    <t>25. Vineeth</t>
  </si>
  <si>
    <t>26. Vineeth C</t>
  </si>
  <si>
    <t>27. Vishnu G</t>
  </si>
  <si>
    <t>1. Akhil Vijayan</t>
  </si>
  <si>
    <t>1. Midlaj</t>
  </si>
  <si>
    <t>Board: USA</t>
  </si>
  <si>
    <t>Chairman: Rohan Singh Rathore | CEO: Rao Abul</t>
  </si>
  <si>
    <t>Trophy Cabinet ( International series):</t>
  </si>
  <si>
    <t>1. ABD Badshah</t>
  </si>
  <si>
    <t>1. Freedom Shield (Home)</t>
  </si>
  <si>
    <t>2. Afaq Warraich</t>
  </si>
  <si>
    <t>Hafijul from Zim: 5000</t>
  </si>
  <si>
    <t>Away( Canada &amp; Uganda ): 5000 bet ( Lost )</t>
  </si>
  <si>
    <t>2. American - Irish Series (Home)</t>
  </si>
  <si>
    <t>1. The Stars &amp; Tigers series (Bangladesh) : Away</t>
  </si>
  <si>
    <t>3. Febin</t>
  </si>
  <si>
    <t>Ibrahim from Zim: 5000</t>
  </si>
  <si>
    <t>New York Cricket Stadium</t>
  </si>
  <si>
    <t>Home(Canada): 3000 (Won)</t>
  </si>
  <si>
    <t>3. United Front Trophy (Home)</t>
  </si>
  <si>
    <t>1. Rohan Singh</t>
  </si>
  <si>
    <t>4. Fijin Johnson</t>
  </si>
  <si>
    <t>Bijoy from Zim: 5000</t>
  </si>
  <si>
    <t>4. The Stars &amp; Tigers series (Away)</t>
  </si>
  <si>
    <t>Anik from Zim: 5000</t>
  </si>
  <si>
    <t>5. American Caribbean Cup (Home)</t>
  </si>
  <si>
    <t>1. Mohsin Lathif</t>
  </si>
  <si>
    <t>6. Hafijul SK</t>
  </si>
  <si>
    <t>Gaurav from BD: 2000</t>
  </si>
  <si>
    <t>6. Waves &amp; the Islands Trophy (Away)</t>
  </si>
  <si>
    <t>7. Hasir Javed</t>
  </si>
  <si>
    <t>Mohsin from Aus: Free</t>
  </si>
  <si>
    <t>7. The American-Dutch Trophy (Home)</t>
  </si>
  <si>
    <t>Best Bowling Figure(10000)</t>
  </si>
  <si>
    <t>8. Khatu Jeswani</t>
  </si>
  <si>
    <t>Jinson to Italy: 70000</t>
  </si>
  <si>
    <t>8. Charming Cup (Away)</t>
  </si>
  <si>
    <t>9. Manindra Payal</t>
  </si>
  <si>
    <t>Aswin to India: 60000</t>
  </si>
  <si>
    <t>9. La Roja Clash  (Away)</t>
  </si>
  <si>
    <t>2. Hafizul SK</t>
  </si>
  <si>
    <t>10. Moiz Gujjar</t>
  </si>
  <si>
    <t>Adil from Aus: 7000</t>
  </si>
  <si>
    <t>Away(Srilanka): 5000 (Lost)</t>
  </si>
  <si>
    <t>11. Mohsin Latif</t>
  </si>
  <si>
    <t>Adil to BD: 10000</t>
  </si>
  <si>
    <t>12. Mubashir Khan</t>
  </si>
  <si>
    <t>Suleman from Qatar: 45000</t>
  </si>
  <si>
    <t>13. Saad Ahsam</t>
  </si>
  <si>
    <t>Anik to Arg: 3000</t>
  </si>
  <si>
    <t>14. Suleman Haider</t>
  </si>
  <si>
    <t>Ibrahim to Arg: 3000</t>
  </si>
  <si>
    <t>Away(West Indies): 10000 (Won)</t>
  </si>
  <si>
    <t>15. Talha Gujjar</t>
  </si>
  <si>
    <t>Bijoy to Arg: 3000</t>
  </si>
  <si>
    <t>16. Vignesh Das</t>
  </si>
  <si>
    <t>Shad to Arg: 3000</t>
  </si>
  <si>
    <t>Away(Bangladesh): 5000 (Lost)</t>
  </si>
  <si>
    <t>17. Waqar Ahmed</t>
  </si>
  <si>
    <t>Jayesh to Arg: 3000</t>
  </si>
  <si>
    <t>Away(PNG): 5000 (Won)</t>
  </si>
  <si>
    <t>18. Harsh Dubey</t>
  </si>
  <si>
    <t>Adil from BD: Free</t>
  </si>
  <si>
    <t>Away(Spain): 7000 (Won)</t>
  </si>
  <si>
    <t>19. Muhammed Umer</t>
  </si>
  <si>
    <t>Adil to Zim: 30000</t>
  </si>
  <si>
    <t>20. Raja Zain kashmiri</t>
  </si>
  <si>
    <t>Harsh from Aus: 100000</t>
  </si>
  <si>
    <t>Zamam to SA: 100000</t>
  </si>
  <si>
    <t>1. Rohan Singh Rathore</t>
  </si>
  <si>
    <t>1. Moiz Gujjar</t>
  </si>
  <si>
    <t>1. Fijin Johnson</t>
  </si>
  <si>
    <t>1. Hafizul Sk</t>
  </si>
  <si>
    <t>1. Afaq Warriach</t>
  </si>
  <si>
    <t>1. Zamam Usmani</t>
  </si>
  <si>
    <t>1. Febin</t>
  </si>
  <si>
    <t>Salary:  5000</t>
  </si>
  <si>
    <t>2. Rao Abul</t>
  </si>
  <si>
    <t>2. Khatu Jeswani</t>
  </si>
  <si>
    <t>2.Gaurav Mittal</t>
  </si>
  <si>
    <t>2. Mohsin Lathif</t>
  </si>
  <si>
    <t>3. Suleman Haider</t>
  </si>
  <si>
    <t>3. Mubashir Khan</t>
  </si>
  <si>
    <t>3. Talha Saeed Gujjar</t>
  </si>
  <si>
    <t>4. Vignesh Das</t>
  </si>
  <si>
    <t>Board: West Indies</t>
  </si>
  <si>
    <t>Chairman: Midhun Manial | CEO: Abhilash PA</t>
  </si>
  <si>
    <r>
      <rPr>
        <b/>
      </rPr>
      <t xml:space="preserve">Title Sponsors: </t>
    </r>
    <r>
      <rPr>
        <b/>
        <color rgb="FF1155CC"/>
        <u/>
      </rPr>
      <t>Women’s Cric Insight</t>
    </r>
  </si>
  <si>
    <t>1. Abhinand Wayanad</t>
  </si>
  <si>
    <t>1. Akram Curtly Trophy ( Away )</t>
  </si>
  <si>
    <t>2. Abhishek Vava</t>
  </si>
  <si>
    <t>Home( England ): 10000 bet ( Lost )</t>
  </si>
  <si>
    <t>2. Frank Worrel ( Away )</t>
  </si>
  <si>
    <t>1. Dutch Carribbean ( Away )</t>
  </si>
  <si>
    <t>Home( Australia/Scotland): 5000( Lost )</t>
  </si>
  <si>
    <t>3. Power Punch ( Away )</t>
  </si>
  <si>
    <t>Players Awards: 5100</t>
  </si>
  <si>
    <t>2. Chai - Biscuit trophy (Away)</t>
  </si>
  <si>
    <t>1. Midhun Manilal</t>
  </si>
  <si>
    <t>4. Ajitha Thankachan</t>
  </si>
  <si>
    <t>Away( Newzealand): 5000 ( Lost )</t>
  </si>
  <si>
    <t>4. Carribbean Thunder ( Home )</t>
  </si>
  <si>
    <t>1. Midhun</t>
  </si>
  <si>
    <t>Home ( Bangladesh ): 6000 bet ( Won )</t>
  </si>
  <si>
    <t>2. 30 to 35: 10000</t>
  </si>
  <si>
    <t>3. THE ISLAND T10 SHOWDOWN (Away)</t>
  </si>
  <si>
    <t>West Indies (5000)</t>
  </si>
  <si>
    <t>5. Ajmal</t>
  </si>
  <si>
    <t>Home( South Africa): 5000 ( Lost )</t>
  </si>
  <si>
    <t>5. American Challenge ( Away )</t>
  </si>
  <si>
    <t>Man of the match: 3</t>
  </si>
  <si>
    <t>Away ( Bangladesh ): 6000 bet ( Won )</t>
  </si>
  <si>
    <t>1. Guyana Cup ( Home )</t>
  </si>
  <si>
    <t xml:space="preserve">Best Bowler: </t>
  </si>
  <si>
    <t>Mowglee (20000)</t>
  </si>
  <si>
    <t>1. Arjun S Kumar</t>
  </si>
  <si>
    <t>6. Ameen</t>
  </si>
  <si>
    <t>Away( pakistan): 5000 ( Won )</t>
  </si>
  <si>
    <t>6. Dutch Carribbean ( Away )</t>
  </si>
  <si>
    <t>2. Forest Cup ( Away )</t>
  </si>
  <si>
    <t>7. Amith Kumar</t>
  </si>
  <si>
    <t>Away ( Australia): 5000 ( Won )</t>
  </si>
  <si>
    <t>7. Roaring Island (Away)</t>
  </si>
  <si>
    <t>Away(England): 6000 bet (Won)</t>
  </si>
  <si>
    <t>3. Saltire Trophy (Away)</t>
  </si>
  <si>
    <t>Vipin Venu to Italy: 20000</t>
  </si>
  <si>
    <t>1. Oceania Showdown(Away)</t>
  </si>
  <si>
    <t>2. Ashwin Thomas</t>
  </si>
  <si>
    <t>2. Abhilash PA</t>
  </si>
  <si>
    <t>8. Ananthu</t>
  </si>
  <si>
    <t>Away(SL,Scot,Pak): 6000 ( Lost )</t>
  </si>
  <si>
    <t>8. Atlantic Shield(Away)</t>
  </si>
  <si>
    <t>Home(Pakistan): 5000 bet (Lost)</t>
  </si>
  <si>
    <t>4. Royal Caribbean (Away)</t>
  </si>
  <si>
    <t>Noor to Aus: 10000</t>
  </si>
  <si>
    <t>2. Golden Cup(Home)</t>
  </si>
  <si>
    <t>3. Vipin R</t>
  </si>
  <si>
    <t>9. Ananthu RG</t>
  </si>
  <si>
    <t>Away ( South Africa): 6000 ( Won )</t>
  </si>
  <si>
    <t>9. Island Meets Desert Trophy (Home)</t>
  </si>
  <si>
    <t>Away (Srilanka): 10000 bet (Lost)</t>
  </si>
  <si>
    <t>5. Calypso Kabul Trophy (Away)</t>
  </si>
  <si>
    <t>Aneesh from Eng: 20000</t>
  </si>
  <si>
    <t>3. Midhun Manilal</t>
  </si>
  <si>
    <t>10. Anandhan</t>
  </si>
  <si>
    <t>Home ( Afghanistan): 3000 ( Won )</t>
  </si>
  <si>
    <t>10. Pookie-Pookie Cup (Home)</t>
  </si>
  <si>
    <t>Away(Afghanistan): 5000 bet(Won)</t>
  </si>
  <si>
    <t>6. Island Meets Island (home)</t>
  </si>
  <si>
    <t>Mowgle to Ind: 100000</t>
  </si>
  <si>
    <t>4. Kannan</t>
  </si>
  <si>
    <t>11. Aneesh</t>
  </si>
  <si>
    <t>Home ( UAE ): 5000 ( Lost )</t>
  </si>
  <si>
    <t>11. Sky Bound ODI Series (Away)</t>
  </si>
  <si>
    <t>2. Ajmal</t>
  </si>
  <si>
    <t>7. Desert–Caribbean Test (Away)</t>
  </si>
  <si>
    <t>George to Ind: 100000</t>
  </si>
  <si>
    <t>5. Nihal</t>
  </si>
  <si>
    <t>2. Rahul Suresh</t>
  </si>
  <si>
    <t>12. Anish Babu Koni</t>
  </si>
  <si>
    <t>Away ( USA ): 5000 ( Won )</t>
  </si>
  <si>
    <t>12. Paradise Trophy (Home)</t>
  </si>
  <si>
    <t>Home (South Africa): 5000 bet (Lost)</t>
  </si>
  <si>
    <t>Vignesh to Italy: 200000</t>
  </si>
  <si>
    <t>13. Arjun Biju</t>
  </si>
  <si>
    <t>13. ABD Trophy (Home)</t>
  </si>
  <si>
    <t>Home(Srilanka): 6000 bet (Won)</t>
  </si>
  <si>
    <t>Arjun to Scotland: 100000</t>
  </si>
  <si>
    <t>Fastest 100: 300000</t>
  </si>
  <si>
    <t>14. Arjun S Kumar</t>
  </si>
  <si>
    <t>Away ( Italy ): 5000 ( Lost )</t>
  </si>
  <si>
    <t>14. The Global Three (Away)</t>
  </si>
  <si>
    <t>Away(UAE): 10000 bet (Won)</t>
  </si>
  <si>
    <t>Joain to Italy: 50000</t>
  </si>
  <si>
    <t>4. Anish Babu Koni</t>
  </si>
  <si>
    <t>15. Aswin MSD</t>
  </si>
  <si>
    <t>Away (Bangladesh): 7000 (Won)</t>
  </si>
  <si>
    <t>15. Caribbean &amp; Emirates Challenge Cup (Away)</t>
  </si>
  <si>
    <t>3. Ameen</t>
  </si>
  <si>
    <t>Away(West Indies): 10000 (Lost)</t>
  </si>
  <si>
    <t>Churami(CEO of Japan): 10000</t>
  </si>
  <si>
    <t>3. Muhammad Noor</t>
  </si>
  <si>
    <t>16. Ashwin Thomas</t>
  </si>
  <si>
    <t>Away (West Indies): 6000 (Won)</t>
  </si>
  <si>
    <t>16. Farewell to Legends Trophy (Home)</t>
  </si>
  <si>
    <t>17. Bharath Narayana</t>
  </si>
  <si>
    <t>Away (Newzealand): 5000 (Lost)</t>
  </si>
  <si>
    <t>17. King of water (Away)</t>
  </si>
  <si>
    <t>18. Bibin Benny</t>
  </si>
  <si>
    <t>18. Happy Onam Trophy (Home)</t>
  </si>
  <si>
    <t>4. Nihal</t>
  </si>
  <si>
    <t>1. Arjun Raj</t>
  </si>
  <si>
    <t>5. Sterin Joseph</t>
  </si>
  <si>
    <t>19. Binal K Binoy</t>
  </si>
  <si>
    <t>Away (West Indies): 4000 bet (Lost)</t>
  </si>
  <si>
    <t>19. Island &amp; Stars (Away)</t>
  </si>
  <si>
    <t>Man of the match:2</t>
  </si>
  <si>
    <t>6. Ananthu RG</t>
  </si>
  <si>
    <t>4. Abhilash PA</t>
  </si>
  <si>
    <t>20. Divya Gupta</t>
  </si>
  <si>
    <t>20. Clash of Calypso vs Chevrons (Away)</t>
  </si>
  <si>
    <t>21. Divya Sterin</t>
  </si>
  <si>
    <t>Home (UAE): 5000 Bet (Won)</t>
  </si>
  <si>
    <t>21. Legacy Trophy (Away)</t>
  </si>
  <si>
    <t>22. Falah</t>
  </si>
  <si>
    <t>22. Kollam - Dibrugarh Trophy (Won)</t>
  </si>
  <si>
    <t>7. Shibil</t>
  </si>
  <si>
    <t>5. Shibil</t>
  </si>
  <si>
    <t>23. Fasal CT</t>
  </si>
  <si>
    <t>Away (South Africa): 3000 bet (Won)</t>
  </si>
  <si>
    <t>23. Waugh Lara  (Away)</t>
  </si>
  <si>
    <t>24. Frijo Thomas</t>
  </si>
  <si>
    <t>Away(Srilanka): 5000 bet (Lost)</t>
  </si>
  <si>
    <t>24. Sammy Warne (Home)</t>
  </si>
  <si>
    <t>25. Hadi Diyoof</t>
  </si>
  <si>
    <t>25. Lloyd–Streak Trophy (Home)</t>
  </si>
  <si>
    <t>6. Mowglee</t>
  </si>
  <si>
    <t>26. Hari Krishnan</t>
  </si>
  <si>
    <t>26. Elite Series (Home)</t>
  </si>
  <si>
    <t>5. Bibin Benny</t>
  </si>
  <si>
    <t>27. Jaseel</t>
  </si>
  <si>
    <t>Away(Bangladesh/Netherlands): 15000 (Won)</t>
  </si>
  <si>
    <t>27. Mayabani Cup (Away)</t>
  </si>
  <si>
    <t>4. Anandhan</t>
  </si>
  <si>
    <t>28. Jumana Thasni</t>
  </si>
  <si>
    <t>28. Islo-Astro Trophy (Away)</t>
  </si>
  <si>
    <t>29. Kannan</t>
  </si>
  <si>
    <t>Home(UAE): 10000 (Lost)</t>
  </si>
  <si>
    <t>29. Chai - Biscuit trophy (Away)</t>
  </si>
  <si>
    <t>7. Ajmal Sunaif</t>
  </si>
  <si>
    <t>30. Madhav</t>
  </si>
  <si>
    <t>Home(Srilanka): 10000 (Lost)</t>
  </si>
  <si>
    <t>30. THE ISLAND T10 SHOWDOWN (Away)</t>
  </si>
  <si>
    <t>5. Harikrishnan</t>
  </si>
  <si>
    <t>31. Nazi</t>
  </si>
  <si>
    <t>Away (Australia): 10000 (Won)</t>
  </si>
  <si>
    <t>31. Power Trio series (Away)</t>
  </si>
  <si>
    <t>32. Nazila</t>
  </si>
  <si>
    <t>Away(Zimbabwe): 3000 (Won)</t>
  </si>
  <si>
    <t>8. Sreeraj</t>
  </si>
  <si>
    <t>33. Nayan S Kurup</t>
  </si>
  <si>
    <t>6. Abhilash</t>
  </si>
  <si>
    <t>34. Neelambari</t>
  </si>
  <si>
    <t>Home (Uganda): 5000 (Won)</t>
  </si>
  <si>
    <t>35. Nihal</t>
  </si>
  <si>
    <t>Home(Italy): 10000 (Lost)</t>
  </si>
  <si>
    <t>Best Captain: 5000</t>
  </si>
  <si>
    <t>36. Rahul Suresh</t>
  </si>
  <si>
    <t>Ice in their Veins :  Top Scorer</t>
  </si>
  <si>
    <t>Fantasy League 2nd Runner</t>
  </si>
  <si>
    <t>7. Nihal</t>
  </si>
  <si>
    <t>9. Ameen</t>
  </si>
  <si>
    <t>37. Rukkiya</t>
  </si>
  <si>
    <t>Rahul Suresh: 10000</t>
  </si>
  <si>
    <t>38. Sachin</t>
  </si>
  <si>
    <t>Away(Canada): 5000 (Won)</t>
  </si>
  <si>
    <t>39. Shanikutty</t>
  </si>
  <si>
    <t>8. Ameen</t>
  </si>
  <si>
    <t>10. Ashwin Thomas</t>
  </si>
  <si>
    <t>40. Shibili</t>
  </si>
  <si>
    <t>41. Sreeraj</t>
  </si>
  <si>
    <t>42. Sterin</t>
  </si>
  <si>
    <t>9. Mowglee</t>
  </si>
  <si>
    <t xml:space="preserve">11. Nihal </t>
  </si>
  <si>
    <t>43. Vipin Rajashekaran</t>
  </si>
  <si>
    <t>Home(England): 10000 (Lost)</t>
  </si>
  <si>
    <t>CPL (Commentory)</t>
  </si>
  <si>
    <t>10. Ajay</t>
  </si>
  <si>
    <t>Home(Papua New Guinea): 5000 (Lost)</t>
  </si>
  <si>
    <t>11. Ananthu Mohan</t>
  </si>
  <si>
    <t>Home(USA): 10000 (Lost)</t>
  </si>
  <si>
    <t>Away(Australia): 10000 (Won)</t>
  </si>
  <si>
    <t>12. Amith Krishna</t>
  </si>
  <si>
    <t>Away(Zimbabwe): 5000 (Won)</t>
  </si>
  <si>
    <t>Away(India): 10000(Lost)</t>
  </si>
  <si>
    <t>Away(PNG,Netherlands &amp; Canada): 7500 (Lost)</t>
  </si>
  <si>
    <t>Away(Newzealand): 15000(Lost)</t>
  </si>
  <si>
    <t>Away(Canada &amp; Australia): 10000 (Won)</t>
  </si>
  <si>
    <t>Away(Italy): 7000 (Lost)</t>
  </si>
  <si>
    <t>Home(Afghanistan): 7000 (Lost)</t>
  </si>
  <si>
    <t>Team Profit: 4700</t>
  </si>
  <si>
    <t>Team Profit: 9700</t>
  </si>
  <si>
    <t>1. Rahul Suresh</t>
  </si>
  <si>
    <t>1. Nihal Maxi</t>
  </si>
  <si>
    <t>1. Ameen</t>
  </si>
  <si>
    <t>2. Bharath Narayan</t>
  </si>
  <si>
    <t>2. Sreeraj Kaimal</t>
  </si>
  <si>
    <t>3. Bibin Benny</t>
  </si>
  <si>
    <t>3. Abhilash PA</t>
  </si>
  <si>
    <t>4. Shibil</t>
  </si>
  <si>
    <t>Team Profit: 6190</t>
  </si>
  <si>
    <t>Team Profit: 700</t>
  </si>
  <si>
    <t>Team Profit: 15180</t>
  </si>
  <si>
    <t>Team Profit: 4180</t>
  </si>
  <si>
    <t>1. Kannan</t>
  </si>
  <si>
    <t>1. Shibil</t>
  </si>
  <si>
    <t>1. Nihal</t>
  </si>
  <si>
    <t>Man of the match:1 (500)</t>
  </si>
  <si>
    <t>Best Batsman: 4 (800)</t>
  </si>
  <si>
    <t>All Team Profit: 43900</t>
  </si>
  <si>
    <t>Team Profit: 11700</t>
  </si>
  <si>
    <t>Team Profit: 16200</t>
  </si>
  <si>
    <t>1. Al Ameen</t>
  </si>
  <si>
    <t>1. Ashwin</t>
  </si>
  <si>
    <t>1. Sreeraj</t>
  </si>
  <si>
    <t>2. Anandha</t>
  </si>
  <si>
    <t>2. Abhilash</t>
  </si>
  <si>
    <t>2. Georgekutty</t>
  </si>
  <si>
    <t>1. Nayan S Kurup</t>
  </si>
  <si>
    <t>1. Abhilash PA</t>
  </si>
  <si>
    <t xml:space="preserve">Salary: 5000 </t>
  </si>
  <si>
    <t xml:space="preserve">Salary: 6000 </t>
  </si>
  <si>
    <t>2. Bibbin Benny</t>
  </si>
  <si>
    <t>3. George</t>
  </si>
  <si>
    <t>1. Vignesh</t>
  </si>
  <si>
    <t>1. George</t>
  </si>
  <si>
    <t>1. Ashwin Thomas</t>
  </si>
  <si>
    <t>1. Ajmal Sunaif</t>
  </si>
  <si>
    <t>1. Frijo</t>
  </si>
  <si>
    <t>2. Nihal</t>
  </si>
  <si>
    <t>2. Bibin</t>
  </si>
  <si>
    <t>2. Kannan</t>
  </si>
  <si>
    <t>3. Sreeraj</t>
  </si>
  <si>
    <t>3. Abhilash</t>
  </si>
  <si>
    <t>Caribbean Premier League ( Own League )</t>
  </si>
  <si>
    <t>Hosting Rights : 400000</t>
  </si>
  <si>
    <t>1. Sreeraj R Kaimal</t>
  </si>
  <si>
    <t>1. Ajmal</t>
  </si>
  <si>
    <t>Captain Salary: 100000</t>
  </si>
  <si>
    <t>2. Ananthu M</t>
  </si>
  <si>
    <t>2. Jaseel</t>
  </si>
  <si>
    <t>Fair Play Captain: 14200</t>
  </si>
  <si>
    <t>3. Ananthu RG</t>
  </si>
  <si>
    <t>2. Kannan Balakrishna</t>
  </si>
  <si>
    <t>Champion Captain: 45200</t>
  </si>
  <si>
    <t>Best Batsman of the tournament: 100000</t>
  </si>
  <si>
    <t>2. Midhun</t>
  </si>
  <si>
    <t>Runners up Captain: 24800</t>
  </si>
  <si>
    <t>3. Vignesh Suresh</t>
  </si>
  <si>
    <t>4. Nayan</t>
  </si>
  <si>
    <t>3. Ajay Paul</t>
  </si>
  <si>
    <t>2. Diyoof</t>
  </si>
  <si>
    <t>4. Madhav</t>
  </si>
  <si>
    <t xml:space="preserve">5. Akhil </t>
  </si>
  <si>
    <t>3. Sterin Joseph</t>
  </si>
  <si>
    <t xml:space="preserve">6. Abhishek </t>
  </si>
  <si>
    <t xml:space="preserve">4. Josin </t>
  </si>
  <si>
    <t>5. Nazir</t>
  </si>
  <si>
    <t>5. Sachin</t>
  </si>
  <si>
    <t>Emerging Player: 50000</t>
  </si>
  <si>
    <t>4. Falah</t>
  </si>
  <si>
    <t>4. Anandha</t>
  </si>
  <si>
    <t xml:space="preserve">7. Ananthu U </t>
  </si>
  <si>
    <t>4. Bharath</t>
  </si>
  <si>
    <t>Slaary: 6000</t>
  </si>
  <si>
    <t>5. Frijo</t>
  </si>
  <si>
    <t>5. Ashwin Thomas</t>
  </si>
  <si>
    <t>Salaray: 1000</t>
  </si>
  <si>
    <t>6. Anish Babu Koni</t>
  </si>
  <si>
    <t>Best Bowler of the tournament: 100000</t>
  </si>
  <si>
    <t>Rating By All Boards on CPL 2026(9 out of 10): 45000 credits</t>
  </si>
  <si>
    <t>1. Vipin R</t>
  </si>
  <si>
    <t>1. Kannan Balakrishna</t>
  </si>
  <si>
    <t>1. Abhishek Vava</t>
  </si>
  <si>
    <t>1. Ajay Paul</t>
  </si>
  <si>
    <t>1. Anish Babu Koni</t>
  </si>
  <si>
    <t>1. Bharath Narayan</t>
  </si>
  <si>
    <t>2. Anandhan</t>
  </si>
  <si>
    <t xml:space="preserve">2. Sreeraj </t>
  </si>
  <si>
    <t>2. Sterin</t>
  </si>
  <si>
    <t>2. Hadi Diyoof</t>
  </si>
  <si>
    <t>3. Anantha Krishnan U</t>
  </si>
  <si>
    <t>2. Midhun Manilal</t>
  </si>
  <si>
    <t>3. Shibil</t>
  </si>
  <si>
    <t xml:space="preserve">3. Harikrishnan </t>
  </si>
  <si>
    <t>3. Falah</t>
  </si>
  <si>
    <t>3. Madhav</t>
  </si>
  <si>
    <t>4. Bibin Benny</t>
  </si>
  <si>
    <t>4. Josin</t>
  </si>
  <si>
    <t>4. Ananthu RG</t>
  </si>
  <si>
    <t>5. Nihal Maxi</t>
  </si>
  <si>
    <t>6. Ananthu M</t>
  </si>
  <si>
    <t>6. Arjun Raj</t>
  </si>
  <si>
    <t>7. Jaseel</t>
  </si>
  <si>
    <t>7. Rahul Suresh</t>
  </si>
  <si>
    <t>Salary: 54000</t>
  </si>
  <si>
    <t>1. Ananthu Mohan</t>
  </si>
  <si>
    <t>1. Sterin Joseph</t>
  </si>
  <si>
    <t>2. Sreeraj R Kaimal</t>
  </si>
  <si>
    <t>2. Ajmal Sunaif</t>
  </si>
  <si>
    <t>2. Ananthu RG</t>
  </si>
  <si>
    <t>3. Arjun S Kumar</t>
  </si>
  <si>
    <t>Board: ZIMBABWE</t>
  </si>
  <si>
    <t>Chairman: Ritik | CEO: Dhurbo</t>
  </si>
  <si>
    <t>Player trade: 20000</t>
  </si>
  <si>
    <t>1. Abhishek Gautam</t>
  </si>
  <si>
    <t>1. The Southern ODI (Home)</t>
  </si>
  <si>
    <t>2. Akash Duwara</t>
  </si>
  <si>
    <t>1. Kartik from Ned: 5000</t>
  </si>
  <si>
    <t>Home( Canada ): 5000 bet ( Lost )</t>
  </si>
  <si>
    <t>2. Zubeen Garg Tribute Trophy (Away)</t>
  </si>
  <si>
    <t>Hafijul to USA: 5000</t>
  </si>
  <si>
    <t>3. Anurag Nath</t>
  </si>
  <si>
    <t>2. Dhurno from Ned: 5000</t>
  </si>
  <si>
    <t>Home(West Indies): 3000 bet (Lost)</t>
  </si>
  <si>
    <t>3. Google trophy (Home)</t>
  </si>
  <si>
    <t>Ibrahim to USA: 5000</t>
  </si>
  <si>
    <t>4. Majoni Medhi</t>
  </si>
  <si>
    <t>3. Kashif from Aus: 5000</t>
  </si>
  <si>
    <t>Away(Ireland): 3000 bet (Lost)</t>
  </si>
  <si>
    <t>Bijoy to USA: 5000</t>
  </si>
  <si>
    <t>5. Jyotishman Das</t>
  </si>
  <si>
    <t>4. Midlaj to Uganda: 5000</t>
  </si>
  <si>
    <t>Home(Australia): 5000 bet (Won)</t>
  </si>
  <si>
    <t>Anik to USA: 5000</t>
  </si>
  <si>
    <t xml:space="preserve">1. Dhurbo Rajbongshi </t>
  </si>
  <si>
    <t>6. Karan Ghimerа</t>
  </si>
  <si>
    <t>5. Krathik to Nepal: 5000</t>
  </si>
  <si>
    <t>1. Ireland: 1</t>
  </si>
  <si>
    <t>7. Kartik Haloi</t>
  </si>
  <si>
    <t>6. Muneef to Nepal: 5000</t>
  </si>
  <si>
    <t>Away(USA): 5000 bet (Lost)</t>
  </si>
  <si>
    <t>2. West Indies: 1</t>
  </si>
  <si>
    <t>8. Muzahidul Alom</t>
  </si>
  <si>
    <t>7. Kashif to Nepal: 5000</t>
  </si>
  <si>
    <t>Away(West Indies): 5000 (Lost)</t>
  </si>
  <si>
    <t>9. Nikita Das</t>
  </si>
  <si>
    <t>8. Adil from USA: 30000</t>
  </si>
  <si>
    <t>Best Bowler of the Tournament(15000)</t>
  </si>
  <si>
    <t>10. Pintu Dey</t>
  </si>
  <si>
    <t>9. Adil to Aus: 60000</t>
  </si>
  <si>
    <t>2. Rony Chouhan</t>
  </si>
  <si>
    <t>11. Prayas Parasar</t>
  </si>
  <si>
    <t>10. Chintan to Aus: 20000</t>
  </si>
  <si>
    <t>3. Ritik Upadhyay</t>
  </si>
  <si>
    <t>12. Ringkan Bayan</t>
  </si>
  <si>
    <t>Home(West Indies): 5000 bet (Lost)</t>
  </si>
  <si>
    <t>13. Rishabh Sarkar</t>
  </si>
  <si>
    <t>Home(Italy): 5000 bet (Won)</t>
  </si>
  <si>
    <t>14. Rony Chouhan</t>
  </si>
  <si>
    <t>15. Susanta Kalita</t>
  </si>
  <si>
    <t>16. Uttam Bharali</t>
  </si>
  <si>
    <t>17. Zintu Duwara</t>
  </si>
  <si>
    <t>18. Bilal</t>
  </si>
  <si>
    <t>19. Mriganka Marley</t>
  </si>
  <si>
    <t>20. MN Kafle</t>
  </si>
  <si>
    <t>21. Hirak Jyoti Das</t>
  </si>
  <si>
    <t>22. Prasanta Das</t>
  </si>
  <si>
    <t>T20 WORLD CUP 2026 HOSTED BY AUSTRALIA</t>
  </si>
  <si>
    <t>Group A</t>
  </si>
  <si>
    <t>Group B</t>
  </si>
  <si>
    <t>Super 6</t>
  </si>
  <si>
    <t>1. India</t>
  </si>
  <si>
    <t>1. England</t>
  </si>
  <si>
    <t>2. Newzealand</t>
  </si>
  <si>
    <t>2. West Indies</t>
  </si>
  <si>
    <t>3. South Africa</t>
  </si>
  <si>
    <t>3. Scotland</t>
  </si>
  <si>
    <t>4. Pakistan</t>
  </si>
  <si>
    <t>4. Afghanistan</t>
  </si>
  <si>
    <t>5. Srilanka</t>
  </si>
  <si>
    <t>5. Australia</t>
  </si>
  <si>
    <t>Group A Matches</t>
  </si>
  <si>
    <t>Schedule</t>
  </si>
  <si>
    <t>Winner</t>
  </si>
  <si>
    <t xml:space="preserve">Host </t>
  </si>
  <si>
    <t>Man of the match</t>
  </si>
  <si>
    <t>Newzealand vs South Africa</t>
  </si>
  <si>
    <t>Arnab</t>
  </si>
  <si>
    <t>Ram</t>
  </si>
  <si>
    <t>Yash</t>
  </si>
  <si>
    <t>India vs Pakistan</t>
  </si>
  <si>
    <t>Yasin</t>
  </si>
  <si>
    <t>Bhavin</t>
  </si>
  <si>
    <t>India vs Srilanka</t>
  </si>
  <si>
    <t>Keshav</t>
  </si>
  <si>
    <t>Shivaji</t>
  </si>
  <si>
    <t>Virendra</t>
  </si>
  <si>
    <t>Pakistan vs South Africa</t>
  </si>
  <si>
    <t>Siddiqui</t>
  </si>
  <si>
    <t>Biswa</t>
  </si>
  <si>
    <t>Newzealand vs Srilanka</t>
  </si>
  <si>
    <t>Thilanga</t>
  </si>
  <si>
    <t>Kavinda</t>
  </si>
  <si>
    <t>South Africa vs India</t>
  </si>
  <si>
    <t>Jana</t>
  </si>
  <si>
    <t>Robert</t>
  </si>
  <si>
    <t>Newzealand vs Pakistan</t>
  </si>
  <si>
    <t>Malik</t>
  </si>
  <si>
    <t>Gautam</t>
  </si>
  <si>
    <t>Zarnish</t>
  </si>
  <si>
    <t>South Africa vs Srilanka</t>
  </si>
  <si>
    <t>Anurag</t>
  </si>
  <si>
    <t>Bhargab</t>
  </si>
  <si>
    <t>India vs Newzealand</t>
  </si>
  <si>
    <t>Srilanka vs Pakistan</t>
  </si>
  <si>
    <t>Jyothish</t>
  </si>
  <si>
    <t>Kosala</t>
  </si>
  <si>
    <t>Group B Matches</t>
  </si>
  <si>
    <t>Australia vs England</t>
  </si>
  <si>
    <t>Damitha</t>
  </si>
  <si>
    <t>Rahees</t>
  </si>
  <si>
    <t>Afghanistan vs West Indies</t>
  </si>
  <si>
    <t>Midhun</t>
  </si>
  <si>
    <t>Australia vs Scotland</t>
  </si>
  <si>
    <t xml:space="preserve"> Rizwan</t>
  </si>
  <si>
    <t>Afghanistan vs England</t>
  </si>
  <si>
    <t>Toby</t>
  </si>
  <si>
    <t>Ishak</t>
  </si>
  <si>
    <t>Scotland vs West Indies</t>
  </si>
  <si>
    <t>Australia vs Afghanistan</t>
  </si>
  <si>
    <t>Nasrullah</t>
  </si>
  <si>
    <t>Farhan</t>
  </si>
  <si>
    <t>England vs West Indies</t>
  </si>
  <si>
    <t>Rejith</t>
  </si>
  <si>
    <t>Achuz</t>
  </si>
  <si>
    <t>Afghanistan vs Scotland</t>
  </si>
  <si>
    <t>Asthu</t>
  </si>
  <si>
    <t>Australia vs West Indies</t>
  </si>
  <si>
    <t>Nihal</t>
  </si>
  <si>
    <t>Niyaz</t>
  </si>
  <si>
    <t>England vs Scotland</t>
  </si>
  <si>
    <t>Diljith</t>
  </si>
  <si>
    <t>Newzeland vs West Indies</t>
  </si>
  <si>
    <t>India vs Scotland</t>
  </si>
  <si>
    <t>Rojo</t>
  </si>
  <si>
    <t>England vs South Africa</t>
  </si>
  <si>
    <t>Sujith</t>
  </si>
  <si>
    <t>England vs Newzealand</t>
  </si>
  <si>
    <t>Yashwanth</t>
  </si>
  <si>
    <t>India vs England</t>
  </si>
  <si>
    <t xml:space="preserve">Farhaan </t>
  </si>
  <si>
    <t>Farhaan</t>
  </si>
  <si>
    <t>Scotland vs South Africa</t>
  </si>
  <si>
    <t>Jishnu</t>
  </si>
  <si>
    <t>Thesbeer</t>
  </si>
  <si>
    <t>South Africa vs West Indies</t>
  </si>
  <si>
    <t>Debajit</t>
  </si>
  <si>
    <t>Bibin</t>
  </si>
  <si>
    <t xml:space="preserve">Newzealand vs Scotland </t>
  </si>
  <si>
    <t>India vs West Indies</t>
  </si>
  <si>
    <t>Semifinal</t>
  </si>
  <si>
    <t>West Indies vs England</t>
  </si>
  <si>
    <t>Safeer</t>
  </si>
  <si>
    <t xml:space="preserve">Sujith </t>
  </si>
  <si>
    <t>Final</t>
  </si>
  <si>
    <t>Kebin</t>
  </si>
  <si>
    <t>Irshad</t>
  </si>
  <si>
    <t>Arjun</t>
  </si>
  <si>
    <t>Board</t>
  </si>
  <si>
    <t>Award Credits</t>
  </si>
  <si>
    <t>Fantasy League</t>
  </si>
  <si>
    <t>Malik Zubair</t>
  </si>
  <si>
    <t>Runner</t>
  </si>
  <si>
    <t>Radheshyam</t>
  </si>
  <si>
    <t>2nd Runner</t>
  </si>
  <si>
    <t>4th Place</t>
  </si>
  <si>
    <t>Sasith</t>
  </si>
  <si>
    <t>5th Place</t>
  </si>
  <si>
    <t>Meghani</t>
  </si>
  <si>
    <t>Prediction Contest</t>
  </si>
  <si>
    <t>1st</t>
  </si>
  <si>
    <t>2nd</t>
  </si>
  <si>
    <t>3rd</t>
  </si>
  <si>
    <t>4th</t>
  </si>
  <si>
    <t>Other Board Credits</t>
  </si>
  <si>
    <t>Awarded Credits</t>
  </si>
  <si>
    <t>Eliminated in Group Stage</t>
  </si>
  <si>
    <t>Eliminated in Super Six</t>
  </si>
  <si>
    <t>Franchise League KCL Registration &amp; all team Players 2026</t>
  </si>
  <si>
    <t>Newzealand (Home)</t>
  </si>
  <si>
    <t>1. Rakshith Raksh</t>
  </si>
  <si>
    <t>1. Ali abbas bangash</t>
  </si>
  <si>
    <t>1. Chalana Rukshan</t>
  </si>
  <si>
    <t xml:space="preserve">1. Rahul Sharma </t>
  </si>
  <si>
    <t>1. Jana</t>
  </si>
  <si>
    <t>1. Vikas Acharya</t>
  </si>
  <si>
    <t>1. Kannan Balakrishnan</t>
  </si>
  <si>
    <t xml:space="preserve">2. Nouraiz </t>
  </si>
  <si>
    <t xml:space="preserve">2. Thilanga Dumindu </t>
  </si>
  <si>
    <t xml:space="preserve">2. Jahirul Hoque </t>
  </si>
  <si>
    <t xml:space="preserve"> 2. Athif </t>
  </si>
  <si>
    <t>2. Ramith Acharya</t>
  </si>
  <si>
    <t>2. Anand Ajk</t>
  </si>
  <si>
    <t>2. AjayKumar Sajeev</t>
  </si>
  <si>
    <t>2. AL Ameen</t>
  </si>
  <si>
    <t>3. Shubaib</t>
  </si>
  <si>
    <t>3. Adnan Abbas</t>
  </si>
  <si>
    <t xml:space="preserve">3. Miraj Cool </t>
  </si>
  <si>
    <t xml:space="preserve">3. Bimal Baral </t>
  </si>
  <si>
    <t xml:space="preserve">3.Abhishek </t>
  </si>
  <si>
    <t xml:space="preserve">3. Jishnu </t>
  </si>
  <si>
    <t>3. Hari Krishnan</t>
  </si>
  <si>
    <t>4. Karan Kumar</t>
  </si>
  <si>
    <t xml:space="preserve">4. Hizbullah </t>
  </si>
  <si>
    <t xml:space="preserve">4. Hasindu Rashminda </t>
  </si>
  <si>
    <t xml:space="preserve">4. Bishwajit Dutta </t>
  </si>
  <si>
    <t xml:space="preserve">4.Farhan </t>
  </si>
  <si>
    <t>4. Malaram Patel</t>
  </si>
  <si>
    <t>4. Hashir</t>
  </si>
  <si>
    <t>4. Rahul Suresh</t>
  </si>
  <si>
    <t>5. Vishnu CV</t>
  </si>
  <si>
    <t>5. Umar Khan</t>
  </si>
  <si>
    <t>5. Sakeh Balne</t>
  </si>
  <si>
    <t xml:space="preserve">5. Nasrullah </t>
  </si>
  <si>
    <t xml:space="preserve">5. Rubesh Jude </t>
  </si>
  <si>
    <t xml:space="preserve">5. Hirakjyoti Deka </t>
  </si>
  <si>
    <t xml:space="preserve">5.Peter </t>
  </si>
  <si>
    <t>5. Nawman Baig</t>
  </si>
  <si>
    <t>5. K Srinidhi</t>
  </si>
  <si>
    <t>5. Abhilash P A</t>
  </si>
  <si>
    <t>6. Vishnu Vijay</t>
  </si>
  <si>
    <t>6. Malik Zubair</t>
  </si>
  <si>
    <t xml:space="preserve">6. Shamroz </t>
  </si>
  <si>
    <t xml:space="preserve">6. Kosala Jayasinghe </t>
  </si>
  <si>
    <t xml:space="preserve">6. Aashutosh Jha </t>
  </si>
  <si>
    <t>6. Rahul Roy</t>
  </si>
  <si>
    <t>6. Yeshwanth Chinni</t>
  </si>
  <si>
    <t>6. Sreeraj R Kaimal</t>
  </si>
  <si>
    <t>7. Rince Thomas</t>
  </si>
  <si>
    <t>7. Saad Rizwan</t>
  </si>
  <si>
    <t>7. Bhavin Kumar</t>
  </si>
  <si>
    <t xml:space="preserve">7. Muhammad Ali </t>
  </si>
  <si>
    <t xml:space="preserve">7. Rasith Wijethunga </t>
  </si>
  <si>
    <t xml:space="preserve">7. Nirmal Baishya </t>
  </si>
  <si>
    <t>7. Manish Poojary</t>
  </si>
  <si>
    <t>7. Nahas</t>
  </si>
  <si>
    <t>7. Chappy</t>
  </si>
  <si>
    <t>7. Bibin Benny</t>
  </si>
  <si>
    <t>8. Huzain</t>
  </si>
  <si>
    <t>8. Huzaifa Imran</t>
  </si>
  <si>
    <t>8. Bhavesh B</t>
  </si>
  <si>
    <t xml:space="preserve">8. Ans Sheikh </t>
  </si>
  <si>
    <t xml:space="preserve">8. Ruwanga Bandarawaththa </t>
  </si>
  <si>
    <t xml:space="preserve">8. Debajit Borthakur </t>
  </si>
  <si>
    <t>8. Salar Shah</t>
  </si>
  <si>
    <t>8. Abrar Ali</t>
  </si>
  <si>
    <t>8. Asthu</t>
  </si>
  <si>
    <t>8. Muhammad Noor</t>
  </si>
  <si>
    <t>9. Vipin Venu</t>
  </si>
  <si>
    <t>9. M Touqeer</t>
  </si>
  <si>
    <t xml:space="preserve">9. Usman </t>
  </si>
  <si>
    <t xml:space="preserve">9. Uresh Gnananga </t>
  </si>
  <si>
    <t xml:space="preserve">9. Marami Ahmed </t>
  </si>
  <si>
    <t>9. Sanan Abrar</t>
  </si>
  <si>
    <t>9. Chiranjibi Samal</t>
  </si>
  <si>
    <t>9. Ershad</t>
  </si>
  <si>
    <t>9. Nayan S Kurup</t>
  </si>
  <si>
    <t>10. Haseeb</t>
  </si>
  <si>
    <t>10. Sufyan Gujjar</t>
  </si>
  <si>
    <t xml:space="preserve">10. Aaiz </t>
  </si>
  <si>
    <t>10. Virendra Peiris</t>
  </si>
  <si>
    <t xml:space="preserve">10. Deepjyoti Talukdar </t>
  </si>
  <si>
    <t>10. Toby Joseph</t>
  </si>
  <si>
    <t>10. Donald Baghwar Dkhar</t>
  </si>
  <si>
    <t>10. Ananthu Mohan</t>
  </si>
  <si>
    <t>11. Mudasir Ali</t>
  </si>
  <si>
    <t xml:space="preserve">11. Zarnish </t>
  </si>
  <si>
    <t xml:space="preserve">11. Damith Nandana </t>
  </si>
  <si>
    <t xml:space="preserve">11. Mayank Das </t>
  </si>
  <si>
    <t>11. Samir</t>
  </si>
  <si>
    <t>11. Anurag Raj</t>
  </si>
  <si>
    <t>11. Anish Babu Konni</t>
  </si>
  <si>
    <t>12. Thaneem</t>
  </si>
  <si>
    <t>12. Jahfar</t>
  </si>
  <si>
    <t xml:space="preserve">12. Mian Bilal </t>
  </si>
  <si>
    <t xml:space="preserve">12. Kavinda Gihan </t>
  </si>
  <si>
    <t xml:space="preserve">12. Veer Gupta </t>
  </si>
  <si>
    <t>12. Pratyush Mishra</t>
  </si>
  <si>
    <t>12. K Rakesh</t>
  </si>
  <si>
    <t>12. Anandha Krishnan</t>
  </si>
  <si>
    <t>13. Sanazil</t>
  </si>
  <si>
    <t>13. Abdullah Usmani</t>
  </si>
  <si>
    <t>13. Ahmed Mahsoof</t>
  </si>
  <si>
    <t xml:space="preserve">13. Sasith Jayawardena </t>
  </si>
  <si>
    <t>13. Kiran Nath</t>
  </si>
  <si>
    <t>13. Huzaifa Kaukawala</t>
  </si>
  <si>
    <t>13. Manish Devadiga</t>
  </si>
  <si>
    <t>13. Georgekutty Abraham</t>
  </si>
  <si>
    <t>14. Afsal</t>
  </si>
  <si>
    <t>14. Abdullah Ishtiaq</t>
  </si>
  <si>
    <t xml:space="preserve">14. Hansana De Silva </t>
  </si>
  <si>
    <t>14. Naveen</t>
  </si>
  <si>
    <t>14. Keshav Shah</t>
  </si>
  <si>
    <t>14. Nihal Maxi</t>
  </si>
  <si>
    <t>15. Albin</t>
  </si>
  <si>
    <t>15. Zohaib Khan Tareen</t>
  </si>
  <si>
    <t xml:space="preserve">15. Thilina Jayarathna </t>
  </si>
  <si>
    <t>15. Zeeshan Yaqoob Gujjar</t>
  </si>
  <si>
    <t>15. Arjun S Kumar</t>
  </si>
  <si>
    <t>16. Adnan Khalid</t>
  </si>
  <si>
    <t xml:space="preserve">16. Binara Udayanga </t>
  </si>
  <si>
    <t>16. Manish Indoria</t>
  </si>
  <si>
    <t>17. Adithya Mahajan</t>
  </si>
  <si>
    <t>17. Ankan Biswas</t>
  </si>
  <si>
    <t>18. Rao Abul</t>
  </si>
  <si>
    <t>18. Anik Dey Shanto</t>
  </si>
  <si>
    <t>19. SK Haseeb Ali</t>
  </si>
  <si>
    <t>20. Zuhair RBK</t>
  </si>
  <si>
    <t>21. Suhyl Mohammad</t>
  </si>
  <si>
    <t>22. Anas Asim</t>
  </si>
  <si>
    <t>23. Talha Saeed Gujjar</t>
  </si>
  <si>
    <t>24. Ishak Farid</t>
  </si>
  <si>
    <t>25. Nadeem Prince</t>
  </si>
  <si>
    <t>26. Shahzad</t>
  </si>
  <si>
    <t>27. Irfan Ali Soomro</t>
  </si>
  <si>
    <t>28. Muzammil Zafar</t>
  </si>
  <si>
    <t>Franchise League KCL All TEAMS</t>
  </si>
  <si>
    <t>1. Kishore Gowda (C)</t>
  </si>
  <si>
    <t>1. Harish Byndoor (C)</t>
  </si>
  <si>
    <t>1. Mahesh Margol (C)</t>
  </si>
  <si>
    <t>1. Aniket Gavit (C)</t>
  </si>
  <si>
    <t>1. Gautam Shankara Ram (C)</t>
  </si>
  <si>
    <t>1. Hrushikesh HD (C)</t>
  </si>
  <si>
    <t>1. Shibasis Nayak (C)</t>
  </si>
  <si>
    <t>1. Ram Thakkar (C)</t>
  </si>
  <si>
    <t>2. Karthik Devadiga (M)</t>
  </si>
  <si>
    <t>2. Suman Byndoor (M)</t>
  </si>
  <si>
    <t>2. Yashwanth Yash (M)</t>
  </si>
  <si>
    <t>2. Srajan Poojary (M)</t>
  </si>
  <si>
    <t>2. Tukaram Parabat (M)</t>
  </si>
  <si>
    <t>2. Hasan Musabir (M)</t>
  </si>
  <si>
    <t>2. Adarsh Byndoor (M)</t>
  </si>
  <si>
    <t>2. Nithin Poojary (M)</t>
  </si>
  <si>
    <t>3. Anshad (DS-Ind)</t>
  </si>
  <si>
    <t>3. Damitha N (DS-SL)</t>
  </si>
  <si>
    <t>3. Jyothish S (DS-Eng)</t>
  </si>
  <si>
    <t>3. Arnab Sarkar (DS-Aus)</t>
  </si>
  <si>
    <t>3. Sai Naveen (DS-BD)</t>
  </si>
  <si>
    <t>3. Shivaji Prakash (DS-Ind)</t>
  </si>
  <si>
    <t>3. Arjun Akj (DS-Aus)</t>
  </si>
  <si>
    <t>3. Yasin Iqbal (DS-BD)</t>
  </si>
  <si>
    <t>4. Huzaifa Kaukawala(NZ) - 1000</t>
  </si>
  <si>
    <t>4. Ramith Acharya(NZ) - 2000</t>
  </si>
  <si>
    <t>4. Vijeth Devadiga(NZ) - 10000</t>
  </si>
  <si>
    <t>4. Pratyush Mishra(NZ) - 1000</t>
  </si>
  <si>
    <t>4. Vishnu Vijay(Italy) - 500</t>
  </si>
  <si>
    <t>4. Jana CP(Ind) - 18000</t>
  </si>
  <si>
    <t>4. Toby Joseph(NZ) - 9000</t>
  </si>
  <si>
    <t>4. Farhan(Ind) - 2000</t>
  </si>
  <si>
    <t>5. Kavya(NZ) - 1000</t>
  </si>
  <si>
    <t>5. Manish Poojary(NZ) - 5500</t>
  </si>
  <si>
    <t>5. Ganesh Chunduru(Pak) - 5000</t>
  </si>
  <si>
    <t>5. Naveen J(NZ) - 500</t>
  </si>
  <si>
    <t>5. Aneesh(Eng) - 500</t>
  </si>
  <si>
    <t>5. Aaiz Khan(Pak) - 2000</t>
  </si>
  <si>
    <t>5. Samir(NZ) - 3000</t>
  </si>
  <si>
    <t>5. Hybi Anil(Italy) - 7000</t>
  </si>
  <si>
    <t>6. Athif Basheer(Ind) - 6500</t>
  </si>
  <si>
    <t>6. Vikas Acharya(NZ) - 500</t>
  </si>
  <si>
    <t>6. Nouraiz(Pak) - 3000</t>
  </si>
  <si>
    <t>6. Summan Baig(Pak) - 2000</t>
  </si>
  <si>
    <t>6. Ruwanga(SL) - 5500</t>
  </si>
  <si>
    <t>6. Rasith(SL) - 5500</t>
  </si>
  <si>
    <t>6. Abhishek(Ind) - 1000</t>
  </si>
  <si>
    <t>6. Zarnish Saira(Pak) - 16000</t>
  </si>
  <si>
    <t>7. Rahul Roy(Ind) - 1000</t>
  </si>
  <si>
    <t>7. Sujith CS Ctr(Eng) - 18000</t>
  </si>
  <si>
    <t>7. Ali Abbas Bangesh(Pak) - 1000</t>
  </si>
  <si>
    <t>7. Ahmed Mahsoof(Pak) - 2000</t>
  </si>
  <si>
    <t>7. Kosala(SL) - 500</t>
  </si>
  <si>
    <t>7. Virendra(SL) - 3000</t>
  </si>
  <si>
    <t>7. Sanazil(Italy) - 500</t>
  </si>
  <si>
    <t>7. Hizbullah Sahito(Pak) - 4000</t>
  </si>
  <si>
    <t>8. Subaida Subi(Italy) - 12000</t>
  </si>
  <si>
    <t>8. Ans Sheikh(Pak) - 10000</t>
  </si>
  <si>
    <t>8. Muhammad Ali(Pak) - 500</t>
  </si>
  <si>
    <t>8. Irshad Bekal(Scot) - 8000</t>
  </si>
  <si>
    <t>8. Hansana(SL) - 500</t>
  </si>
  <si>
    <t>8. Damith Nandana(SL) - 1000</t>
  </si>
  <si>
    <t>8. Rince Thomas(Italy) - 1000</t>
  </si>
  <si>
    <t>8. Aashutosh(NL) - 9000</t>
  </si>
  <si>
    <t>9. Aash(Eng) - 6000</t>
  </si>
  <si>
    <t>9. Muhammad Usman(Pak) - 1000</t>
  </si>
  <si>
    <t>9. Kavinda Gihan(SL) - 1000</t>
  </si>
  <si>
    <t>9. Malik Zubair(Afg) - 10000</t>
  </si>
  <si>
    <t>9. Binara(SL) - 500</t>
  </si>
  <si>
    <t>9. Ashiqui Ashi(Scot) - 11000</t>
  </si>
  <si>
    <t>9. Safeer Babu(Eng) - 8000</t>
  </si>
  <si>
    <t>9. Thilanga Dumindu(SL) - 6000</t>
  </si>
  <si>
    <t>10. Shamroz(Pak) - 15000</t>
  </si>
  <si>
    <t>10. Huzaifa Imran(Afg) - 1000</t>
  </si>
  <si>
    <t>10. Rubesh Jude(SL) - 2000</t>
  </si>
  <si>
    <t>10. Zuhair (Afg) - 3000</t>
  </si>
  <si>
    <t>10. Adithya Mahajan(Afg) - 19000</t>
  </si>
  <si>
    <t>10. Donald(Aus) - 8000</t>
  </si>
  <si>
    <t>10. Achuz(Eng) - 9500</t>
  </si>
  <si>
    <t>10. Jishnu(Scot) - 7000</t>
  </si>
  <si>
    <t>11. Marami Ahmed(NL) - 7000</t>
  </si>
  <si>
    <t>11. Adnan Abbas(Afg) - 1000</t>
  </si>
  <si>
    <t>11. Saad Rizwan(Afg) - 6500</t>
  </si>
  <si>
    <t>11. Keshav Shah(Aus) - 13000</t>
  </si>
  <si>
    <t>11. Umar Khan (Afg) - 500</t>
  </si>
  <si>
    <t>11. K Rakesh(Aus) - 6500</t>
  </si>
  <si>
    <t>11. Nasrullah Kapri(Pak) - 12000</t>
  </si>
  <si>
    <t>11. Hashir(Scot) - 2000</t>
  </si>
  <si>
    <t>12. Hirakjyothi(NL) - 1000</t>
  </si>
  <si>
    <t>12. Mudasir Ali(Afg) - 1000</t>
  </si>
  <si>
    <t>12. SK Haseeb Ali(Afg) - 500</t>
  </si>
  <si>
    <t>12. Abrar Ali(Aus) - 10000</t>
  </si>
  <si>
    <t>12. Rizwan Mansoori(Aus) - 11000</t>
  </si>
  <si>
    <t>12. Zeeshan(Aus) - 1000</t>
  </si>
  <si>
    <t>12. Nirmal Baishya(NL) - 3500</t>
  </si>
  <si>
    <t>12. Waleed Khan(Afg) - 3500</t>
  </si>
  <si>
    <t>13. Hasindu Rashminda(SL) - 5000</t>
  </si>
  <si>
    <t>13. Abdullah Ishtiaq(Afg) - 8000</t>
  </si>
  <si>
    <t>13. Rao Abul (Afg) - 1000</t>
  </si>
  <si>
    <t>13. Anand Ajk(Aus) - 4000</t>
  </si>
  <si>
    <t>13. Anurag Raj(Aus) - 15000</t>
  </si>
  <si>
    <t>13. Saketh Balne(BD) - 1000</t>
  </si>
  <si>
    <t>13. Debajit(NL) - 3000</t>
  </si>
  <si>
    <t>13. Anas Asim(Afg) - 2500</t>
  </si>
  <si>
    <t>14. Sasith(SL) - 1000</t>
  </si>
  <si>
    <t>14. Adnan Khalid(Afg) - 500</t>
  </si>
  <si>
    <t>14. Saubhagya Gupta(Aus) - 20000</t>
  </si>
  <si>
    <t>14. Manish Indoria(Aus) - 2000</t>
  </si>
  <si>
    <t>14. Bhavin Kumar(BD) - 15000</t>
  </si>
  <si>
    <t>14. Bhavesh B(BD) - 12000</t>
  </si>
  <si>
    <t>14. Mayank Das(NL) - 1000</t>
  </si>
  <si>
    <t>14. Waqas Mughal(Aus) - 4000</t>
  </si>
  <si>
    <t>15. Miraj(SL) - 2000</t>
  </si>
  <si>
    <t>15. Sufyan Gujjar(Afg) - 500</t>
  </si>
  <si>
    <t>15. Chiranjibi Samal(Aus) - 10000</t>
  </si>
  <si>
    <t>15. Princhi(BD) - 3000</t>
  </si>
  <si>
    <t>15. Kannan(WI) - 500</t>
  </si>
  <si>
    <t>15. Rakshith Raksh(BD) - 500</t>
  </si>
  <si>
    <t>15. Farhan Mallick(Afg) - 3000</t>
  </si>
  <si>
    <t>15. Karan Kumar(BD) - 2000</t>
  </si>
  <si>
    <t>16. Ajaykumar Sajeev(Scot) - 2500</t>
  </si>
  <si>
    <t>16. Muzamil(Afg) - 500</t>
  </si>
  <si>
    <t>16. Malaram Patel(Aus) - 3500</t>
  </si>
  <si>
    <t>16. Al Ameen(WI) - 5000</t>
  </si>
  <si>
    <t>16. Bibbin Benny(WI) - 1000</t>
  </si>
  <si>
    <t>16. Nayan SK(WI) - 500</t>
  </si>
  <si>
    <t>16. M Touqeer(Afg) - 3500</t>
  </si>
  <si>
    <t>16. Vaibhav Batra(BD) - 3000</t>
  </si>
  <si>
    <t>17. Chappy(Scot) - 2500</t>
  </si>
  <si>
    <t>17. Anik Dey Shanto(Aus) - 2000</t>
  </si>
  <si>
    <t>17. Ankan Biswas(Aus) - 500</t>
  </si>
  <si>
    <t>17. Rahul Suresh(WI) - 6000</t>
  </si>
  <si>
    <t>17. K Srinidhi(Aus) - 6500</t>
  </si>
  <si>
    <t>18. Muhammad Ahmed(BD) - 2000</t>
  </si>
  <si>
    <t>18. Muhammad Noor(WI) - 2000</t>
  </si>
  <si>
    <t>18. George(WI) - 500</t>
  </si>
  <si>
    <t>18. Abhilash PA(WI) - 3500</t>
  </si>
  <si>
    <t>All Match Updates</t>
  </si>
  <si>
    <t>Date</t>
  </si>
  <si>
    <t>Venue</t>
  </si>
  <si>
    <t>Man of the Match</t>
  </si>
  <si>
    <t>Northern Knights vs Queenstown Royals</t>
  </si>
  <si>
    <t>25th May</t>
  </si>
  <si>
    <t>Ironhold</t>
  </si>
  <si>
    <t>Ump &amp; SC: Aniket Gavit</t>
  </si>
  <si>
    <t>Rizwan (NK)</t>
  </si>
  <si>
    <t>Canterbury Kings vs Auckland Aces</t>
  </si>
  <si>
    <t>Soverign</t>
  </si>
  <si>
    <t>Ump &amp; SC: Srajan &amp; Aniket</t>
  </si>
  <si>
    <t>Nouraiz (CK)</t>
  </si>
  <si>
    <t>Huzaifa Imran (AA)</t>
  </si>
  <si>
    <t>Central Stags vs Tauranga Titans</t>
  </si>
  <si>
    <t>26th May</t>
  </si>
  <si>
    <t>Inferno</t>
  </si>
  <si>
    <t>Hrushikesh (CS)</t>
  </si>
  <si>
    <t>Ashutosh (TT)</t>
  </si>
  <si>
    <t>Yasin (TT)</t>
  </si>
  <si>
    <t>Otago Volts vs Wellington Warriors</t>
  </si>
  <si>
    <t>Thunder</t>
  </si>
  <si>
    <t>Ump &amp; SC: Damitha</t>
  </si>
  <si>
    <t>Anshad (WW)</t>
  </si>
  <si>
    <t>Hasindu (WW)</t>
  </si>
  <si>
    <t>Ajaykumar (WW)</t>
  </si>
  <si>
    <t>Northern Knights vs Auckland Aces</t>
  </si>
  <si>
    <t>27th May</t>
  </si>
  <si>
    <t>Eden</t>
  </si>
  <si>
    <t>Ump &amp; SC: Jyothish S</t>
  </si>
  <si>
    <t>Adithya (NK)</t>
  </si>
  <si>
    <t>Tukaram (NK)</t>
  </si>
  <si>
    <t>Queenstown Royals vs Canterbury Kings</t>
  </si>
  <si>
    <t>Alpine</t>
  </si>
  <si>
    <t>Farhan (QR)</t>
  </si>
  <si>
    <t>SK Haseeb (CK)</t>
  </si>
  <si>
    <t>Shibasis (QR)</t>
  </si>
  <si>
    <t>Wellington Warriors vs Tauranga Titans</t>
  </si>
  <si>
    <t>28th May</t>
  </si>
  <si>
    <t>Sky</t>
  </si>
  <si>
    <t xml:space="preserve">Ump &amp; SC: Srajan </t>
  </si>
  <si>
    <t>Zarnish (TT)</t>
  </si>
  <si>
    <t>Shamroz (WW)</t>
  </si>
  <si>
    <t>Otago Volts vs Central Stags</t>
  </si>
  <si>
    <t>K Rakesh (CS)</t>
  </si>
  <si>
    <t>Jana CP (CS)</t>
  </si>
  <si>
    <t>Auckland Aces vs Queenstown Royals</t>
  </si>
  <si>
    <t>29th May</t>
  </si>
  <si>
    <t>Ump &amp; SC: Keshav Shah</t>
  </si>
  <si>
    <t>Safeer (QR)</t>
  </si>
  <si>
    <t>Debajit (QR)</t>
  </si>
  <si>
    <t>Central Stags vs Wellington Warriors</t>
  </si>
  <si>
    <t>Aash (WW)</t>
  </si>
  <si>
    <t>Zeeshan (CS)</t>
  </si>
  <si>
    <t>Rasith (CS)</t>
  </si>
  <si>
    <t>Northern Knights vs Canterbury Kings</t>
  </si>
  <si>
    <t>30th May</t>
  </si>
  <si>
    <t>Ump &amp; SC: Yasin</t>
  </si>
  <si>
    <t>Chiranjibi (CK)</t>
  </si>
  <si>
    <t>Sai Naveen (NK)</t>
  </si>
  <si>
    <t>Tauranga Titans vs Otago Volts</t>
  </si>
  <si>
    <t xml:space="preserve">Titan </t>
  </si>
  <si>
    <t>Ump &amp; SC: Shivaji</t>
  </si>
  <si>
    <t>Malik Zubair (OV)</t>
  </si>
  <si>
    <t>Abrar Ali (OV)</t>
  </si>
  <si>
    <t>Auckland Aces vs Canterbury Kings</t>
  </si>
  <si>
    <t>31st May</t>
  </si>
  <si>
    <t>Ump &amp; SC: Debajit</t>
  </si>
  <si>
    <t>Ganesh (CK)</t>
  </si>
  <si>
    <t>Ali (CK)</t>
  </si>
  <si>
    <t>Saubhagya (CK)</t>
  </si>
  <si>
    <t>Queenstown Royals vs Northern Knights</t>
  </si>
  <si>
    <t>Bhavin (NK)</t>
  </si>
  <si>
    <t>1st June</t>
  </si>
  <si>
    <t>Ump &amp; SC: Nasrullah Kapri</t>
  </si>
  <si>
    <t>Vishnu (NK)</t>
  </si>
  <si>
    <t>Ahmed (AA)</t>
  </si>
  <si>
    <t>Tauranga Titans vs Central Stags</t>
  </si>
  <si>
    <t>Hashir (TT)</t>
  </si>
  <si>
    <t>Canterbury Kings vs Queenstown Royals</t>
  </si>
  <si>
    <t>2nd June</t>
  </si>
  <si>
    <t>Ump &amp; SC: Sai Naveen</t>
  </si>
  <si>
    <t>Achuz (QR)</t>
  </si>
  <si>
    <t>Wellington Warriors vs Otago Volts</t>
  </si>
  <si>
    <t>Marami (WW)</t>
  </si>
  <si>
    <t>Ahmed (OV)</t>
  </si>
  <si>
    <t>Tauranga Titans vs Wellington Warriors</t>
  </si>
  <si>
    <t>3rd June</t>
  </si>
  <si>
    <t>Ump &amp; SC: Ganesh</t>
  </si>
  <si>
    <t>Waqas (TT)</t>
  </si>
  <si>
    <t>Ajay (WW)</t>
  </si>
  <si>
    <t>Central Stags vs Otago Volts</t>
  </si>
  <si>
    <t xml:space="preserve">Ump: Chiranjibi, SC: Aniket </t>
  </si>
  <si>
    <t>Keshav (OV)</t>
  </si>
  <si>
    <t>Arnab (OV)</t>
  </si>
  <si>
    <t>Ashi (CS)</t>
  </si>
  <si>
    <t>Queenstown Royals vs Auckland Aces</t>
  </si>
  <si>
    <t>4th June</t>
  </si>
  <si>
    <t>Aukcland Aces</t>
  </si>
  <si>
    <t>Ans Sheikh (AA)</t>
  </si>
  <si>
    <t>Wellington Warriors vs Central Stags</t>
  </si>
  <si>
    <t>Bhavesh (CS)</t>
  </si>
  <si>
    <t>Otago Volts vs Tauranga Titans</t>
  </si>
  <si>
    <t>5th June</t>
  </si>
  <si>
    <t>Ram (TT)</t>
  </si>
  <si>
    <t>Ump &amp; SC: Malik Zubair</t>
  </si>
  <si>
    <t>Anurag (NK)</t>
  </si>
  <si>
    <t>Eliminator: Canterbuy King vs Welllinton Warriors</t>
  </si>
  <si>
    <t>6th June</t>
  </si>
  <si>
    <t>Jyothish (CK)</t>
  </si>
  <si>
    <t>Qualifier 1: Northern Knights vs Tauranga Titans</t>
  </si>
  <si>
    <t>7th June</t>
  </si>
  <si>
    <t>Qualifier 2: Wellington Warriors vs Northern Knights</t>
  </si>
  <si>
    <t>8th June</t>
  </si>
  <si>
    <t>Finals: Northern Knight vs Tauranga Titans</t>
  </si>
  <si>
    <t>9th June</t>
  </si>
  <si>
    <t>Ump &amp; SC: Aniket Gavit
Com: Arnab &amp; Chiranjibi</t>
  </si>
  <si>
    <t>IOCF Kiwi Crown League 2026 AWARDS</t>
  </si>
  <si>
    <t>SQUADS</t>
  </si>
  <si>
    <t>SCHEDULE</t>
  </si>
  <si>
    <t>Host</t>
  </si>
  <si>
    <t xml:space="preserve">Opponent </t>
  </si>
  <si>
    <t>Winners</t>
  </si>
  <si>
    <t>1. Amjith (Exp)</t>
  </si>
  <si>
    <t>1. Ajith (Exp)</t>
  </si>
  <si>
    <t>1. Shibili (Exp)</t>
  </si>
  <si>
    <t>1. Abhijith (Exp)</t>
  </si>
  <si>
    <t>19th June</t>
  </si>
  <si>
    <t>Grange SC</t>
  </si>
  <si>
    <t>Ansar (Scot)</t>
  </si>
  <si>
    <t>2. Shahzan</t>
  </si>
  <si>
    <t>2. Ajay</t>
  </si>
  <si>
    <t>2. Ajin P Anil</t>
  </si>
  <si>
    <t>ABD Georgetown</t>
  </si>
  <si>
    <t>Shajahan (Eng)</t>
  </si>
  <si>
    <t>3. Arshad</t>
  </si>
  <si>
    <t>3. Azeem</t>
  </si>
  <si>
    <t>3. Shajahan</t>
  </si>
  <si>
    <t>20th June</t>
  </si>
  <si>
    <t>Adarsh (Scot)</t>
  </si>
  <si>
    <t>4. Jibin</t>
  </si>
  <si>
    <t>4. Jaseel</t>
  </si>
  <si>
    <t>4. Sanoop</t>
  </si>
  <si>
    <t>Lords</t>
  </si>
  <si>
    <t>5. Yadhu</t>
  </si>
  <si>
    <t>5. Linz</t>
  </si>
  <si>
    <t>5. Madhav</t>
  </si>
  <si>
    <t>21st June</t>
  </si>
  <si>
    <t>Amjith (Scot)</t>
  </si>
  <si>
    <t>6. Aswin</t>
  </si>
  <si>
    <t>6. Hrithik</t>
  </si>
  <si>
    <t>6. Amith</t>
  </si>
  <si>
    <t xml:space="preserve">Newzealand </t>
  </si>
  <si>
    <t>Thunder Dome</t>
  </si>
  <si>
    <t>Vignesh (WI)</t>
  </si>
  <si>
    <t>7. Rakshith</t>
  </si>
  <si>
    <t>7. Nazi</t>
  </si>
  <si>
    <t>7. Junaid</t>
  </si>
  <si>
    <t>22nd June</t>
  </si>
  <si>
    <t>Jibin (NZ)</t>
  </si>
  <si>
    <t>8. Vishnu</t>
  </si>
  <si>
    <t>8. Rithesh</t>
  </si>
  <si>
    <t>8. Sachin</t>
  </si>
  <si>
    <t>8. Lilly</t>
  </si>
  <si>
    <t>Ananthu (WI)</t>
  </si>
  <si>
    <t>9. Ansar</t>
  </si>
  <si>
    <t>9. Sachin</t>
  </si>
  <si>
    <t>9. Sufaid</t>
  </si>
  <si>
    <t>9. Shafeek</t>
  </si>
  <si>
    <t xml:space="preserve">Scotland </t>
  </si>
  <si>
    <t>23rd June</t>
  </si>
  <si>
    <t>Ajay (WI)</t>
  </si>
  <si>
    <t>10. Adarsh</t>
  </si>
  <si>
    <t>10. Ashwini</t>
  </si>
  <si>
    <t>10. Vignesh</t>
  </si>
  <si>
    <t>10. Rafeek</t>
  </si>
  <si>
    <t>24th June</t>
  </si>
  <si>
    <t>Sunaif (Eng)</t>
  </si>
  <si>
    <t>Abu Shazan (NZ)</t>
  </si>
  <si>
    <t>25th June</t>
  </si>
  <si>
    <t>IOCF Emering Talent League 2026 AWARDS</t>
  </si>
  <si>
    <t>IOCF LONE WARRIOR SEASON ONE</t>
  </si>
  <si>
    <t>Adnan Abbas Rehan</t>
  </si>
  <si>
    <t>Rizwan Mansoori</t>
  </si>
  <si>
    <t>Ebad Malik</t>
  </si>
  <si>
    <t>Anshad P</t>
  </si>
  <si>
    <t>Haseeb</t>
  </si>
  <si>
    <t>Nirmal</t>
  </si>
  <si>
    <t>Kishore Gowda</t>
  </si>
  <si>
    <t>Abhinand</t>
  </si>
  <si>
    <t>Ruwanga</t>
  </si>
  <si>
    <t>Adnan</t>
  </si>
  <si>
    <t>Rizwan</t>
  </si>
  <si>
    <t>Abhi</t>
  </si>
  <si>
    <t>Ebad</t>
  </si>
  <si>
    <t xml:space="preserve">Kishore </t>
  </si>
  <si>
    <t>Quarter Finals</t>
  </si>
  <si>
    <t>21st May</t>
  </si>
  <si>
    <t>23rd May</t>
  </si>
  <si>
    <t>Ruwanga vs Shamroz</t>
  </si>
  <si>
    <t>Adnan vs Rizwan</t>
  </si>
  <si>
    <t>Diljith vs Midhun</t>
  </si>
  <si>
    <t>Abhi vs Kishore</t>
  </si>
  <si>
    <t>Kishore</t>
  </si>
  <si>
    <t>Ebad vs Haseeb</t>
  </si>
  <si>
    <t>Tie</t>
  </si>
  <si>
    <t>Abhi vs Nirmal</t>
  </si>
  <si>
    <t>Anshad vs Diljith</t>
  </si>
  <si>
    <t>Nirmal vs Midhun</t>
  </si>
  <si>
    <t>Anshad vs Adnan</t>
  </si>
  <si>
    <t>Ruwanga vs Abhi</t>
  </si>
  <si>
    <t>Adnan vs Ebad</t>
  </si>
  <si>
    <t>Shamroz vs Rizwan</t>
  </si>
  <si>
    <t>Anshad vs Shamroz</t>
  </si>
  <si>
    <t>Nirmal vs Rizwan</t>
  </si>
  <si>
    <t>Kishore vs Diljith</t>
  </si>
  <si>
    <t>Haseeb vs Midhun</t>
  </si>
  <si>
    <t>Semifinals</t>
  </si>
  <si>
    <t>Grand Final</t>
  </si>
  <si>
    <t>Ruwanga vs Anshad</t>
  </si>
  <si>
    <t>Adnan vs Nirmal</t>
  </si>
  <si>
    <t>24th May</t>
  </si>
  <si>
    <t>Shamroz vs Abhi</t>
  </si>
  <si>
    <t>Rizwan vs Ebad</t>
  </si>
  <si>
    <t>Diljith vs Abhi</t>
  </si>
  <si>
    <t>Diljith vs Shamroz</t>
  </si>
  <si>
    <t>22nd May</t>
  </si>
  <si>
    <t>Ruwanga vs Diljith</t>
  </si>
  <si>
    <t>Adnan vs Midhun</t>
  </si>
  <si>
    <t>Anytime they can play when both are available and Hosts are available( Stumps Required)</t>
  </si>
  <si>
    <t>Kishore vs Anshad</t>
  </si>
  <si>
    <t>Haseeb vs Nirmal</t>
  </si>
  <si>
    <t>Shamroz vs Kishore</t>
  </si>
  <si>
    <t>Rizwan vs Haseeb</t>
  </si>
  <si>
    <t>Abhi vs Diljith</t>
  </si>
  <si>
    <t>Ebad vs Midhun</t>
  </si>
  <si>
    <t>Ruwanga vs  Kishore</t>
  </si>
  <si>
    <t>Adnan vs Haseeb</t>
  </si>
  <si>
    <t>Abhi vs Anshad</t>
  </si>
  <si>
    <t>Ebad vs Nirmal</t>
  </si>
  <si>
    <t>Shamroz vs Diljith</t>
  </si>
  <si>
    <t>Rizwan vs Midhun</t>
  </si>
  <si>
    <t>Hall of Fame Cards</t>
  </si>
  <si>
    <t>Card Name: ICE IN THEIR VEINS</t>
  </si>
  <si>
    <t>Best Players in IOCF from Jan - March 2026</t>
  </si>
  <si>
    <t>Achievement</t>
  </si>
  <si>
    <t>1271 Runs</t>
  </si>
  <si>
    <t>69 Wickets</t>
  </si>
  <si>
    <t xml:space="preserve">Card Name: RING OF FIRE </t>
  </si>
  <si>
    <t>Best Players in IOCF from April - June 2026</t>
  </si>
  <si>
    <t>Molly Steephan</t>
  </si>
  <si>
    <t>926 Runs</t>
  </si>
  <si>
    <t>76 Wickets</t>
  </si>
  <si>
    <t>Card Name: Sword &amp; Sorcery</t>
  </si>
  <si>
    <t>Best Players in IOCF from July - September 2026</t>
  </si>
  <si>
    <t>1440 Runs</t>
  </si>
  <si>
    <t>117 Wickets</t>
  </si>
  <si>
    <t>Registered Players</t>
  </si>
  <si>
    <t>England ( Home )</t>
  </si>
  <si>
    <t>2. Miraj Cool</t>
  </si>
  <si>
    <t>3. Anas asim</t>
  </si>
  <si>
    <t>3. Sai Naveen</t>
  </si>
  <si>
    <t>3. Rubesh Jude</t>
  </si>
  <si>
    <t>3. Ans Sheikh</t>
  </si>
  <si>
    <t>3. Sreeju</t>
  </si>
  <si>
    <t>4. Saad rizwan</t>
  </si>
  <si>
    <t>4. Ayaan Sheikh</t>
  </si>
  <si>
    <t>4. IM Ameen</t>
  </si>
  <si>
    <t>4. Sadik</t>
  </si>
  <si>
    <t>5. Suhyl Muhammad</t>
  </si>
  <si>
    <t>5. Rahul Gadia</t>
  </si>
  <si>
    <t>5. Aaiz Khan</t>
  </si>
  <si>
    <t>6. Zuhair chunk</t>
  </si>
  <si>
    <t>6. Abrar Ali</t>
  </si>
  <si>
    <t>6. Kosala Jayasinghe</t>
  </si>
  <si>
    <t>6. Bhavin Kumar</t>
  </si>
  <si>
    <t>6. Nayan S Kurup</t>
  </si>
  <si>
    <t>6. Nadirsha</t>
  </si>
  <si>
    <t>7. Malik zubair</t>
  </si>
  <si>
    <t>7. Rizwan Mansoori</t>
  </si>
  <si>
    <t>7. Ruwanga Bandarawattha</t>
  </si>
  <si>
    <t>7. Muhammad Usman</t>
  </si>
  <si>
    <t>7. Muhammed Shibili M</t>
  </si>
  <si>
    <t>7. Vishnu CV</t>
  </si>
  <si>
    <t>8. Aditya Mahajan</t>
  </si>
  <si>
    <t>8. Arnab Sarkar</t>
  </si>
  <si>
    <t>8. Sasith Jayawardena</t>
  </si>
  <si>
    <t>8. Nasrullah Kapri</t>
  </si>
  <si>
    <t>8. Bibin Benny</t>
  </si>
  <si>
    <t>8. Aneesh</t>
  </si>
  <si>
    <t>9. Kavinda Gihan</t>
  </si>
  <si>
    <t>9. Muhammad Ahmad</t>
  </si>
  <si>
    <t>9. Bharath Narayan</t>
  </si>
  <si>
    <t>9. Molly</t>
  </si>
  <si>
    <t>10. Damith Nandana</t>
  </si>
  <si>
    <t>10. Ahmed Mahsoof</t>
  </si>
  <si>
    <t>10. Arjun S Kumar</t>
  </si>
  <si>
    <t>10. Sujith Kumar</t>
  </si>
  <si>
    <t>11. Virendra Peiris</t>
  </si>
  <si>
    <t>11. Frijo Thomas</t>
  </si>
  <si>
    <t>1. Arvind kumar Yadav</t>
  </si>
  <si>
    <t>1. Debajit Borthakur</t>
  </si>
  <si>
    <t>1. Hafijul SK</t>
  </si>
  <si>
    <t>2. Prince Meghani</t>
  </si>
  <si>
    <t>2. Aahan Sharma</t>
  </si>
  <si>
    <t>3. Ashutosh Jha</t>
  </si>
  <si>
    <t>3. Hirakjyoti Deka</t>
  </si>
  <si>
    <t>3. Ahsan Siddiqui</t>
  </si>
  <si>
    <t>4. Harish Byndoor</t>
  </si>
  <si>
    <t>4. Rahul Seenu</t>
  </si>
  <si>
    <t>4. Bhargav Kashyap</t>
  </si>
  <si>
    <t>4. Salar Shah</t>
  </si>
  <si>
    <t>5. Suman Byndoor</t>
  </si>
  <si>
    <t>5. Anshad Parakkadan</t>
  </si>
  <si>
    <t>5. Naveen Gupta</t>
  </si>
  <si>
    <t>5. Bishwajit Dutta</t>
  </si>
  <si>
    <t>6. Hasan Musabir</t>
  </si>
  <si>
    <t>6. Frahaan</t>
  </si>
  <si>
    <t>6. Siddharth V Jain</t>
  </si>
  <si>
    <t>6. Bitupan Dutta</t>
  </si>
  <si>
    <t>7. Hrushikesh HD</t>
  </si>
  <si>
    <t>7. Jana CP</t>
  </si>
  <si>
    <t>7. Dipankar Roy</t>
  </si>
  <si>
    <t>8. Nithin Byndoor</t>
  </si>
  <si>
    <t>8. Rahul Sharma</t>
  </si>
  <si>
    <t>9. Vikas Byndoor</t>
  </si>
  <si>
    <t>9. Bimal Baral</t>
  </si>
  <si>
    <t>10. Gautam Shankara Ram</t>
  </si>
  <si>
    <t>10. Deepjyoti Talukdar</t>
  </si>
  <si>
    <t>11. Mayank Das</t>
  </si>
  <si>
    <t>12. Adarsh Byndoor</t>
  </si>
  <si>
    <t>12. Veer Gupta</t>
  </si>
  <si>
    <t>13. Ram Thakkar</t>
  </si>
  <si>
    <t>13. Jahirul Hoque</t>
  </si>
  <si>
    <t>14. Yashwanth Yash</t>
  </si>
  <si>
    <t>14. Debasish Borgohain</t>
  </si>
  <si>
    <t>15. Gowri Madhu</t>
  </si>
  <si>
    <t>Franchise League THE HUNDRED All TEAMS</t>
  </si>
  <si>
    <t>1. Shibasis (c) - 8000</t>
  </si>
  <si>
    <t>1. Rejith Mohan (c) - 8000</t>
  </si>
  <si>
    <t>1. Arjun Akj (c) - 8000</t>
  </si>
  <si>
    <t>1. Aniket Gavit (c) - 8000</t>
  </si>
  <si>
    <t>1. Achuz Sukumaran (c) - 8000</t>
  </si>
  <si>
    <t>2. Toby Joseph (m) - 2000</t>
  </si>
  <si>
    <t>2. Jyothish S (m) - 2000</t>
  </si>
  <si>
    <t>2. Diljith Das (m) - 2000</t>
  </si>
  <si>
    <t>2. Sujith CS Ctr (m) - 2000</t>
  </si>
  <si>
    <t>2. Safeer Babu (m) - 2000</t>
  </si>
  <si>
    <t>3. Sujith Kumar - 4500</t>
  </si>
  <si>
    <t>3. Aash Muhammad - 4500</t>
  </si>
  <si>
    <t>3. Rahees - 4500</t>
  </si>
  <si>
    <t>3. Rashid - 4500</t>
  </si>
  <si>
    <t>3. Molly - 4500</t>
  </si>
  <si>
    <t>4. Nadirsha Nachu - 4000</t>
  </si>
  <si>
    <t>4. Vishnu CV - 4000</t>
  </si>
  <si>
    <t>4. Sreeju - 4000</t>
  </si>
  <si>
    <t>4. Sadik - 4000</t>
  </si>
  <si>
    <t>4. Aneesh - 4000</t>
  </si>
  <si>
    <t>5. Ram Thakkar(NZ) - 3500</t>
  </si>
  <si>
    <t>5. Gopikrishnan SV(Ind) - 3500</t>
  </si>
  <si>
    <t>5. Shivaji Prakash(Ind) - 3500</t>
  </si>
  <si>
    <t>5. Arnab Sarkar(Aus) - 3500</t>
  </si>
  <si>
    <t>5. Anshad(Ind) - 3500</t>
  </si>
  <si>
    <t>6. Yashwanth Yash(NZ) - 3000</t>
  </si>
  <si>
    <t>6. Rahul Suresh(WI) - 3000</t>
  </si>
  <si>
    <t>6. Jana CP(Ind) - 3000</t>
  </si>
  <si>
    <t>6. Srajan Poojary(NZ) - 3000</t>
  </si>
  <si>
    <t>6. Shamroz(Pak) - 3000</t>
  </si>
  <si>
    <t>7. Thilanga Dumindu(SL) - 2800</t>
  </si>
  <si>
    <t>7. Sai Naveen(Aus) - 2800</t>
  </si>
  <si>
    <t>7. Rizwan Mansoori(Aus) - 2800</t>
  </si>
  <si>
    <t>7. Keshav(Aus) - 2800</t>
  </si>
  <si>
    <t>7. Damitha(SL) - 2800</t>
  </si>
  <si>
    <t>8. Rahul Gadia(Aus) - 2500</t>
  </si>
  <si>
    <t>8. Arvind Kumar Yadav(UAE) - 2500</t>
  </si>
  <si>
    <t>8. Ashuthosh Jha(UAE) - 2500</t>
  </si>
  <si>
    <t>8. Gautam(NZ) - 2500</t>
  </si>
  <si>
    <t>8. Kishore Gowda(NZ) - 2500</t>
  </si>
  <si>
    <t>9. Zarnish Saira(Pak) - 2300</t>
  </si>
  <si>
    <t>9. Dr Waleed Khan(Afg) - 2300</t>
  </si>
  <si>
    <t>9. Rahul Seenu(Ind) - 2300</t>
  </si>
  <si>
    <t>9. Ameen(WI) - 2300</t>
  </si>
  <si>
    <t>9. Nasrullah(Pak) - 2300</t>
  </si>
  <si>
    <t>10. Bhavin Kumar(Pak) - 2000</t>
  </si>
  <si>
    <t>10. Bharath Narayan(WI) - 2000</t>
  </si>
  <si>
    <t>10. Nihal Maxi(WI) - 2000</t>
  </si>
  <si>
    <t>10. Malik Zubair(Afg) - 2000</t>
  </si>
  <si>
    <t>10. Nirmal Baishya(Ned) - 2000</t>
  </si>
  <si>
    <t>11. Prince Meghani(UAE) - 1700</t>
  </si>
  <si>
    <t>11. Bibin Benny(WI) - 1700</t>
  </si>
  <si>
    <t>11. Hasindu Rashminda(SL) - 1700</t>
  </si>
  <si>
    <t>11. Chiranjibi Samal(Aus) - 1700</t>
  </si>
  <si>
    <t>11. Marami Ahmed(Ned) - 1700</t>
  </si>
  <si>
    <t>12. Mahesh Margol(NZ) - 1500</t>
  </si>
  <si>
    <t>12. Farhan Mallick(Afg) - 1500</t>
  </si>
  <si>
    <t>12. Hirak Jyothi(Ned) - 1500</t>
  </si>
  <si>
    <t>12. Abrar Ali(Aus) - 1500</t>
  </si>
  <si>
    <t>12. Debajit Borthakur(Ned) - 1500</t>
  </si>
  <si>
    <t>13. Sasith(SL) - 1200</t>
  </si>
  <si>
    <t>13. Athif Basheer(Ind) - 1200</t>
  </si>
  <si>
    <t>13. Gowri Madhu(NZ) - 1200</t>
  </si>
  <si>
    <t>13. Sidharth(UAE) - 1200</t>
  </si>
  <si>
    <t>13. Virendra(SL) - 1200</t>
  </si>
  <si>
    <t>14. Miraj Cool(SL) - 1000</t>
  </si>
  <si>
    <t>14. Anand AKJ(Aus) - 1000</t>
  </si>
  <si>
    <t>14. Sreeraj Kaimal(WI) - 1000</t>
  </si>
  <si>
    <t>14. Hasan Musabbir(NZ) - 1000</t>
  </si>
  <si>
    <t>14. Suman(NZ) - 1000</t>
  </si>
  <si>
    <t>15. Anas Asim(AFG) - 1000</t>
  </si>
  <si>
    <t>15. Bhavesh(Aus) - 1000</t>
  </si>
  <si>
    <t>15. Farhaan(Ind) - 1000</t>
  </si>
  <si>
    <t>15. Ahsan Siddique(USA) - 1000</t>
  </si>
  <si>
    <t>15. Kosala Jayasinghe(SL) - 1000</t>
  </si>
  <si>
    <t>16. Mayank Das(Ned) - 4000 (Replaced Nachu )</t>
  </si>
  <si>
    <t>16. Sadik - 2000</t>
  </si>
  <si>
    <t>16. Abhilash PA(WI) - 4000 ( Replaced Sreeju )</t>
  </si>
  <si>
    <t>16. Ans Sheikh(Pak) - 1000 ( Replaced Ahsan )</t>
  </si>
  <si>
    <t>17. Damith Nandana(SL) -1000 ( Replaced Miraj )</t>
  </si>
  <si>
    <t>17. Shibili (WI) - 2500 ( Replaced Ashutosh )</t>
  </si>
  <si>
    <t>17. Rasith Wijethunga(SL) - 4000 ( Replaced Sadik )</t>
  </si>
  <si>
    <t>18. Harish(NZ) - 1200 ( Replaced Sid )</t>
  </si>
  <si>
    <t>MI London vs London Spirit</t>
  </si>
  <si>
    <t xml:space="preserve">16th March </t>
  </si>
  <si>
    <t>Bhavin Kumar (LS)</t>
  </si>
  <si>
    <t>Ram Thakkar (LS)</t>
  </si>
  <si>
    <t>Southern Brave vs Welsh Fire</t>
  </si>
  <si>
    <t>Shivaji Prakash (WF)</t>
  </si>
  <si>
    <t>Sreeraj (WF)</t>
  </si>
  <si>
    <t>Shivaji (WF)</t>
  </si>
  <si>
    <t>Sunrisers Leeds vs London Spirit</t>
  </si>
  <si>
    <t>17th March</t>
  </si>
  <si>
    <t>Kishore Gowda (SL)</t>
  </si>
  <si>
    <t>Achuz (SL)</t>
  </si>
  <si>
    <t>MI London vs Southern Braves</t>
  </si>
  <si>
    <t>18th March</t>
  </si>
  <si>
    <t>RDX</t>
  </si>
  <si>
    <t>Aniket (MI)</t>
  </si>
  <si>
    <t>Rejith (SB)</t>
  </si>
  <si>
    <t>Srajan (MI)</t>
  </si>
  <si>
    <t>Welsh Fire vs Sunrisers Leeds</t>
  </si>
  <si>
    <t>Aashutosh (WF)</t>
  </si>
  <si>
    <t>Rizwan (WF)</t>
  </si>
  <si>
    <t>London Spirit vs Welsh Fire</t>
  </si>
  <si>
    <t>19th March</t>
  </si>
  <si>
    <t>Southern Braves vs Sunrisers Leeds</t>
  </si>
  <si>
    <t>20th March</t>
  </si>
  <si>
    <t>Ganesh Chunduru</t>
  </si>
  <si>
    <t>Marami (SL)</t>
  </si>
  <si>
    <t>Debajit (SL)</t>
  </si>
  <si>
    <t>Aash (SB)</t>
  </si>
  <si>
    <t>MI London vs Welsh Fire</t>
  </si>
  <si>
    <t>Yasin &amp; Debajit</t>
  </si>
  <si>
    <t>Hasan (MI)</t>
  </si>
  <si>
    <t>London Spirit vs Southern Brave</t>
  </si>
  <si>
    <t>21st March</t>
  </si>
  <si>
    <t>Athif (SB)</t>
  </si>
  <si>
    <t>Ram (LS)</t>
  </si>
  <si>
    <t>Shibasis (LS)</t>
  </si>
  <si>
    <t>Sunrisers Leeds vs vs MI London</t>
  </si>
  <si>
    <t>22nd March</t>
  </si>
  <si>
    <t>Keshav (MI)</t>
  </si>
  <si>
    <t>Welsh Fire vs Southern Braves</t>
  </si>
  <si>
    <t>Gopi (SB)</t>
  </si>
  <si>
    <t>London Spirit vs Sunrisers Leeds</t>
  </si>
  <si>
    <t>23rd March</t>
  </si>
  <si>
    <t>Sujith &amp; Arjun</t>
  </si>
  <si>
    <t>Mahesh (LS)</t>
  </si>
  <si>
    <t>Anshad (SL)</t>
  </si>
  <si>
    <t>Southern Brave vs MI London</t>
  </si>
  <si>
    <t>24th March</t>
  </si>
  <si>
    <t>Arnab (MI)</t>
  </si>
  <si>
    <t>Welsh Fire vs London Spirit</t>
  </si>
  <si>
    <t>Mayank (LS)</t>
  </si>
  <si>
    <t>Sunrisers Leeds vs Southern Braves</t>
  </si>
  <si>
    <t>25th March</t>
  </si>
  <si>
    <t>Aniket</t>
  </si>
  <si>
    <t>Safeer (SL)</t>
  </si>
  <si>
    <t>MI London vs Sunrisers Leeds</t>
  </si>
  <si>
    <t>26th March</t>
  </si>
  <si>
    <t>Damitha (SL)</t>
  </si>
  <si>
    <t>Welsh Fire vs MI London</t>
  </si>
  <si>
    <t>Achuz &amp; Diljith</t>
  </si>
  <si>
    <t>Sujith (MI)</t>
  </si>
  <si>
    <t>Southern Brave vs London Spirit</t>
  </si>
  <si>
    <t>27th March</t>
  </si>
  <si>
    <t>Anand (SB)</t>
  </si>
  <si>
    <t>Sunrisers Leeds vs Welsh Fire</t>
  </si>
  <si>
    <t>28th March</t>
  </si>
  <si>
    <t>29th March</t>
  </si>
  <si>
    <t>Gautam (MI)</t>
  </si>
  <si>
    <t>Eliminator(Welsh vs Sunrisers)</t>
  </si>
  <si>
    <t>30th March</t>
  </si>
  <si>
    <t>Nihal (WF)</t>
  </si>
  <si>
    <t>Grand Final(MI vs Sunrisers)</t>
  </si>
  <si>
    <t>31st March</t>
  </si>
  <si>
    <t>Arnab(MI)</t>
  </si>
  <si>
    <t>Nirmal (SL)</t>
  </si>
  <si>
    <t>IOCF THE HUNDRED 2026 AWARDS</t>
  </si>
  <si>
    <t>Franchise League PSL Registration &amp; all team Players 2026</t>
  </si>
  <si>
    <t>1. Raheem EK</t>
  </si>
  <si>
    <t>2. Aniket Gavit</t>
  </si>
  <si>
    <t>2. Thilanga Dumindu</t>
  </si>
  <si>
    <t>3. Anike Dey Shanto</t>
  </si>
  <si>
    <t>3. Chappy</t>
  </si>
  <si>
    <t>4. Saad Rizwan</t>
  </si>
  <si>
    <t>4. Anurag Raj</t>
  </si>
  <si>
    <t>4. Rajeev</t>
  </si>
  <si>
    <t>4. Suman</t>
  </si>
  <si>
    <t>5. Rejith Mohan</t>
  </si>
  <si>
    <t>5. Chiranjibi Samal</t>
  </si>
  <si>
    <t>5. Rubesh Jude</t>
  </si>
  <si>
    <t>5. Athif Basheer K</t>
  </si>
  <si>
    <t>5. Hasan Musabbir</t>
  </si>
  <si>
    <t>5. Huzain</t>
  </si>
  <si>
    <t>6. M Touqeer</t>
  </si>
  <si>
    <t>6. K Srinidhi</t>
  </si>
  <si>
    <t>6. Farhaan</t>
  </si>
  <si>
    <t>6. Hrushikesh HD</t>
  </si>
  <si>
    <t>6. Rojo</t>
  </si>
  <si>
    <t>7. Sufyan Yaqoob</t>
  </si>
  <si>
    <t>7. Keshav Shah</t>
  </si>
  <si>
    <t>7. Rasith Wijethunga</t>
  </si>
  <si>
    <t>7. Yashwanth Yash</t>
  </si>
  <si>
    <t>7. Kebin</t>
  </si>
  <si>
    <t>8. Adithya Mahajan</t>
  </si>
  <si>
    <t>8. Lal Krishna</t>
  </si>
  <si>
    <t>8. Ruwanga Bandarawattha</t>
  </si>
  <si>
    <t>8. Rahul Seenu</t>
  </si>
  <si>
    <t>8. Nithin</t>
  </si>
  <si>
    <t>8. Shaheen</t>
  </si>
  <si>
    <t>9. Suhyl Mohammad</t>
  </si>
  <si>
    <t>9. Uresh Gn</t>
  </si>
  <si>
    <t>9. Vikas</t>
  </si>
  <si>
    <t>9. Shukoor</t>
  </si>
  <si>
    <t>10. Rakesh</t>
  </si>
  <si>
    <t>11. Rizwan Mansoori</t>
  </si>
  <si>
    <t>11. Kavinda Gihan</t>
  </si>
  <si>
    <t>12. Waqas Mughal</t>
  </si>
  <si>
    <t>12. Sasith Jayawardena</t>
  </si>
  <si>
    <t>12. Ram Thakkar</t>
  </si>
  <si>
    <t>13. Saubhagya Gupta</t>
  </si>
  <si>
    <t>13. Thilina Jayarathna</t>
  </si>
  <si>
    <t>14. Malaram Patel</t>
  </si>
  <si>
    <t>14. Hansana De Silva</t>
  </si>
  <si>
    <t>14. Gowri Madhu</t>
  </si>
  <si>
    <t>15. Damith Nandana</t>
  </si>
  <si>
    <t>15. Ramith</t>
  </si>
  <si>
    <t>16. Tukaram Parabat</t>
  </si>
  <si>
    <t>17. Manish Poojary</t>
  </si>
  <si>
    <t>18. Sanan Abrar</t>
  </si>
  <si>
    <t>Pakistan ( Home )</t>
  </si>
  <si>
    <t>1. Arvind Kumar Yadav</t>
  </si>
  <si>
    <t>1. Muhammad Huzaifa</t>
  </si>
  <si>
    <t>2. Akhil Mohan</t>
  </si>
  <si>
    <t>2. Rajab Baloch</t>
  </si>
  <si>
    <t>2. Moiz Mohsin</t>
  </si>
  <si>
    <t>3. Rdx</t>
  </si>
  <si>
    <t>3. Asadullah KB</t>
  </si>
  <si>
    <t>3. Kannan Balakrishna</t>
  </si>
  <si>
    <t>3. Talha D Crew</t>
  </si>
  <si>
    <t>4. Naveen Guota</t>
  </si>
  <si>
    <t>4. Kiran Nath</t>
  </si>
  <si>
    <t>4. Ahsas Baloch</t>
  </si>
  <si>
    <t>4. Nihal Maxi</t>
  </si>
  <si>
    <t>4. Farhan Mohammad</t>
  </si>
  <si>
    <t>5. Shahryar Hussain</t>
  </si>
  <si>
    <t>5. Bitupan Dutta</t>
  </si>
  <si>
    <t>5. Ebad Malik</t>
  </si>
  <si>
    <t>5. Arjun S Kumar</t>
  </si>
  <si>
    <t>5. Ghamshad Baloch</t>
  </si>
  <si>
    <t>6. Ashutosh Jha</t>
  </si>
  <si>
    <t>6. Mayank Das</t>
  </si>
  <si>
    <t>6. Muhammad Ahmed</t>
  </si>
  <si>
    <t>6. Frijo Thomas</t>
  </si>
  <si>
    <t>6. Ahmed Mahsoof</t>
  </si>
  <si>
    <t>7. Siddharth V Jain</t>
  </si>
  <si>
    <t>7. Marami Ahmed</t>
  </si>
  <si>
    <t>7. Ghamshad Baloch</t>
  </si>
  <si>
    <t>7. Mian Bilal</t>
  </si>
  <si>
    <t>8. Subaida Subi</t>
  </si>
  <si>
    <t>8. Biswajit Dutta</t>
  </si>
  <si>
    <t>8. Neak M</t>
  </si>
  <si>
    <t>8. Im Ameen</t>
  </si>
  <si>
    <t>8. Suranja Deepal</t>
  </si>
  <si>
    <t>9. Rahul Sharma</t>
  </si>
  <si>
    <t>9. Sajjad Kapri</t>
  </si>
  <si>
    <t>9. Bibin Benny</t>
  </si>
  <si>
    <t>9. Khan Mahar</t>
  </si>
  <si>
    <t>10. Biki Basistha</t>
  </si>
  <si>
    <t>10. Rahees Ashiq</t>
  </si>
  <si>
    <t>10. Sreeraj R Kaimal</t>
  </si>
  <si>
    <t>10. Wafa Baloch</t>
  </si>
  <si>
    <t>11. Saketh Balne</t>
  </si>
  <si>
    <t>11. Ayat</t>
  </si>
  <si>
    <t>12. Bhavesh B</t>
  </si>
  <si>
    <t>12. Masrifa Munni</t>
  </si>
  <si>
    <t>13. Karan Kumar</t>
  </si>
  <si>
    <t>14. Alamin</t>
  </si>
  <si>
    <t>15. Harsh Dubey</t>
  </si>
  <si>
    <t>16. Siddiqui Ahsan</t>
  </si>
  <si>
    <t>Franchise League PSL All TEAMS</t>
  </si>
  <si>
    <t>1. Muhammad Usman - 7000</t>
  </si>
  <si>
    <t>1. Muhammad Ahmad - 7000</t>
  </si>
  <si>
    <t>1. Engr Ans Sheikh - 7000</t>
  </si>
  <si>
    <t>1. Nasrullah Kapri - 7000</t>
  </si>
  <si>
    <t>1. Zarnish Saira - 7000</t>
  </si>
  <si>
    <t>1. Bhavin Kumar - 7000</t>
  </si>
  <si>
    <t>2. Ayaan Sheikh - 4000</t>
  </si>
  <si>
    <t>2. Aaiz Khan - 4000</t>
  </si>
  <si>
    <t>2. Arslan Ali Shani - 4000</t>
  </si>
  <si>
    <t>2. Hizbullah Sahito - 4000</t>
  </si>
  <si>
    <t>2. Shamroz - 4000</t>
  </si>
  <si>
    <t>2. Ganesh Chunduru - 4000</t>
  </si>
  <si>
    <t>3. Anas Asim(Afg) - 4000</t>
  </si>
  <si>
    <t>3. Kishore Gowda(NZ) - 4500</t>
  </si>
  <si>
    <t>3. Arnab Sarkar (Aus) - 5000</t>
  </si>
  <si>
    <t>3. Yasin Iqbal(BD) - 5000</t>
  </si>
  <si>
    <t>3. Shivaji Prakash (Ind) - 3000</t>
  </si>
  <si>
    <t>3. Sai Naveen(BD) - 3000</t>
  </si>
  <si>
    <t>4. Wafa Baloch(Pak) - 3000</t>
  </si>
  <si>
    <t>4. Moiz Mohsin(Pak) - 2000</t>
  </si>
  <si>
    <t>4. M Huzaifa(Pak) - 2000</t>
  </si>
  <si>
    <t>4. Gamshad Baloch(Pak) - 3000</t>
  </si>
  <si>
    <t>4. Talha(Pak) - 3000</t>
  </si>
  <si>
    <t>4. Masrifa Munni(Pak) - 3500</t>
  </si>
  <si>
    <t>5. Ahmed Mahsoof(Pak) - 3000</t>
  </si>
  <si>
    <t>5. Saubhagya Gupta(Aus) - 2200</t>
  </si>
  <si>
    <t>5. Ashique Ashi(Scot) - 4000</t>
  </si>
  <si>
    <t>5. Khan Mahar(Pak) - 2000</t>
  </si>
  <si>
    <t>5. Huzain(Scot) - 1500</t>
  </si>
  <si>
    <t>5. Farhaan(Ind) - 1500</t>
  </si>
  <si>
    <t>6. Mian Bilal(Pak) - 2000</t>
  </si>
  <si>
    <t>6. Achuz Sukumaran(Eng) - 1500</t>
  </si>
  <si>
    <t>6. Biswajit Dutta(Ned) - 1000</t>
  </si>
  <si>
    <t>6. Ram Thakkar(NZ) - 5250</t>
  </si>
  <si>
    <t>6. Shafi(Scot) - 3000</t>
  </si>
  <si>
    <t>6. Nihal(WI) - 1500</t>
  </si>
  <si>
    <t>7. Subaida Subi(Eng) - 6200</t>
  </si>
  <si>
    <t>7. Yashwanth Yash(NZ) - 2400</t>
  </si>
  <si>
    <t>7. Srajan Poojari(NZ) - 5200</t>
  </si>
  <si>
    <t>7. Anand Ajk(Aus) - 500</t>
  </si>
  <si>
    <t>7. Ameen(WI) - 2000</t>
  </si>
  <si>
    <t>7. Gautam Shankara Ram(NZ) - 3200</t>
  </si>
  <si>
    <t>8. Kiran Nath(Ned) - 500</t>
  </si>
  <si>
    <t>8. Waleed Khan(Afg) - 5000</t>
  </si>
  <si>
    <t>8. Keshav Shah(Aus) - 2850</t>
  </si>
  <si>
    <t>8. Nirmal(Ned) - 1950</t>
  </si>
  <si>
    <t>8. Jana CP(Ind) - 7400</t>
  </si>
  <si>
    <t>8. Hasan Musabir(NZ) - 2600</t>
  </si>
  <si>
    <t>9. Marami Ahmed(Ned) - 6000</t>
  </si>
  <si>
    <t>9. Jishnu(Scot) - 3800</t>
  </si>
  <si>
    <t>9. M Touqeer(Afg) - 6000</t>
  </si>
  <si>
    <t>9. Ayat(Pak) - 2000</t>
  </si>
  <si>
    <t>9. Thilanga Dumindu(SL) - 3600</t>
  </si>
  <si>
    <t>9. Rahul Seenu(Ind) - 2200</t>
  </si>
  <si>
    <t>10. Debajit(Ned) - 3900</t>
  </si>
  <si>
    <t xml:space="preserve">10. Farhan Mallick(Afg) - 1500 </t>
  </si>
  <si>
    <t>10. Malaram Patel(Aus) - 3100</t>
  </si>
  <si>
    <t>10. Karan Kumar(BD) - 3000</t>
  </si>
  <si>
    <t>10. Anshad(Ind) - 6750</t>
  </si>
  <si>
    <t>10. Rahul Sharma(Ned) - 1000</t>
  </si>
  <si>
    <t>11. Miraj Cool(SL) - 1000</t>
  </si>
  <si>
    <t>11. Anurag Raj(Aus) - 2700</t>
  </si>
  <si>
    <t>11. Aniket Gavit(Eng) - 3400</t>
  </si>
  <si>
    <t>11. Siddiqui Ahsan(BD) - 1800</t>
  </si>
  <si>
    <t>11. Damitha Naranpanawa(SL) - 5500</t>
  </si>
  <si>
    <t>11. Bhavesh B(BD) - 1000</t>
  </si>
  <si>
    <t>12. Karthik Devadiga(NZ) - 500</t>
  </si>
  <si>
    <t>12. Abrar Ali(Aus) - 3750</t>
  </si>
  <si>
    <t>12. Huzaifa Imran(Afg) - 800</t>
  </si>
  <si>
    <t>12. Rizwan Mansoori(Aus) - 3300</t>
  </si>
  <si>
    <t>12. Virendra Peiris(SL) - 500</t>
  </si>
  <si>
    <t>12. Chiranjibi Samal(Aus) - 4000</t>
  </si>
  <si>
    <t>13. Damith Nandana(SL) - 1000</t>
  </si>
  <si>
    <t>13. Hrushikesh HD(NZ) - 500</t>
  </si>
  <si>
    <t>13. K Srinidhi(Aus) - 500</t>
  </si>
  <si>
    <t>13. Harsh(BD) 1500</t>
  </si>
  <si>
    <t>13. Shukoor(Scot) - 500</t>
  </si>
  <si>
    <t>13. Siddarth V Jain(UAE) - 3000</t>
  </si>
  <si>
    <t>14. Hirak Jyothi(Ned) - 500</t>
  </si>
  <si>
    <t>14. Rahul Gadia(Aus) - 1000</t>
  </si>
  <si>
    <t>14. Gowri Madhu(NZ) - 500</t>
  </si>
  <si>
    <t>14. Waqas Mughal(Aus) - 2200</t>
  </si>
  <si>
    <t>14. Hasindu Rashminda(SL) - 500</t>
  </si>
  <si>
    <t>14. K Rakesh CSK(Aus) - 3000</t>
  </si>
  <si>
    <t>15. Rajab Baloch(BD) - 500</t>
  </si>
  <si>
    <t>15. Rasith Wijethunga(SL) - 1100</t>
  </si>
  <si>
    <t>15. Sufyan Yaqoob(Afg) - 500</t>
  </si>
  <si>
    <t>15. Asad(BD) - 500</t>
  </si>
  <si>
    <t>15. Mahesh Margol(NZ) - 500</t>
  </si>
  <si>
    <t>15. Saketh Balne(BD) - 500</t>
  </si>
  <si>
    <t>16. Saad Rizwan(Afg) - 600</t>
  </si>
  <si>
    <t>16. Vaibhav Batra(BD) - 1000</t>
  </si>
  <si>
    <t>16. Lal Krishna(Aus) - 500</t>
  </si>
  <si>
    <t>16. Ghamshad(BD) - 500</t>
  </si>
  <si>
    <t>16. Tukaram Parabat(NZ) - 500</t>
  </si>
  <si>
    <t>16. Rubesh(SL) - 500</t>
  </si>
  <si>
    <t>17. Vishnu CV(Eng) - 500</t>
  </si>
  <si>
    <t>17. Umar Khan(Afg) - 1000</t>
  </si>
  <si>
    <t>17. Anik Dey Shanto(Aus) - 700</t>
  </si>
  <si>
    <t>17. Rahees(BD) - 500</t>
  </si>
  <si>
    <t>17. Sasith(SL) - 500</t>
  </si>
  <si>
    <t>17. Kosala(SL) - 500</t>
  </si>
  <si>
    <t>18. Kannan(WI) - 500</t>
  </si>
  <si>
    <t>18. Athif Basheer(Ind) - 2850</t>
  </si>
  <si>
    <t>18. Zeeshan(Aus) - 1100</t>
  </si>
  <si>
    <t>18. Ahmed(BD) - 2000</t>
  </si>
  <si>
    <t>18. Suranja (Pak) - 500</t>
  </si>
  <si>
    <t>18. Sajjad Kapri (BD) - 500</t>
  </si>
  <si>
    <t>19. Wajdan(Pak) - 500</t>
  </si>
  <si>
    <t>19. Harish(NZ) - 500</t>
  </si>
  <si>
    <t>19. Ebad(BD) - 500</t>
  </si>
  <si>
    <t>19. Ahsas(BD) - 500</t>
  </si>
  <si>
    <t>20. Adithya Mahajan(Afg) - 500</t>
  </si>
  <si>
    <t>20. Gopi SV(Ind) - 500</t>
  </si>
  <si>
    <t>20. Shibili(WI) - 500</t>
  </si>
  <si>
    <t>20. Neak M(BD) - 500</t>
  </si>
  <si>
    <t>Remaining Purse - 8900</t>
  </si>
  <si>
    <t>Remaining Purse - 2200</t>
  </si>
  <si>
    <t>Remaining Purse - 850</t>
  </si>
  <si>
    <t>Remaining Purse - 3000</t>
  </si>
  <si>
    <t>Remaining Purse - 250</t>
  </si>
  <si>
    <t>Remaining Purse - 6500</t>
  </si>
  <si>
    <t>Hyderabad Kingsmen vs Lahore Qalandars</t>
  </si>
  <si>
    <t>4th April</t>
  </si>
  <si>
    <t>Lahore</t>
  </si>
  <si>
    <t>Hyderabad Kingsmen</t>
  </si>
  <si>
    <t>Bhavin Kumar(HK)</t>
  </si>
  <si>
    <t>Rahul Sharma(HK)</t>
  </si>
  <si>
    <t>Nihal(HK)</t>
  </si>
  <si>
    <t>Multan Sultan vs Quetta Gladiators</t>
  </si>
  <si>
    <t>Multan</t>
  </si>
  <si>
    <t>Quette Gladiators</t>
  </si>
  <si>
    <t>Ganesh</t>
  </si>
  <si>
    <t>Suranja Deepal(QG)</t>
  </si>
  <si>
    <t>Tukaram Parabat(QG)</t>
  </si>
  <si>
    <t>Pindiz vs Karachi Kings</t>
  </si>
  <si>
    <t>5th April</t>
  </si>
  <si>
    <t>Karachi</t>
  </si>
  <si>
    <t>Pindiz</t>
  </si>
  <si>
    <t>Hrushikesh HD(PD)</t>
  </si>
  <si>
    <t>Ram Thakkar(KK)</t>
  </si>
  <si>
    <t>Nasrullah Kapri(KK)</t>
  </si>
  <si>
    <t>Hyderabad Kingsmen vs Multan Sultans</t>
  </si>
  <si>
    <t>Sai Naveen(HK)</t>
  </si>
  <si>
    <t>Arnab Sarkar(MS)</t>
  </si>
  <si>
    <t>Lahore Qalandars vs Quetta Gladiators</t>
  </si>
  <si>
    <t>Adithya Mahajan(LQ)</t>
  </si>
  <si>
    <t>Ahmed Mahsoof(LQ)</t>
  </si>
  <si>
    <t>Quetta Gladiators vs Pindiz</t>
  </si>
  <si>
    <t>6th April</t>
  </si>
  <si>
    <t>Pindi</t>
  </si>
  <si>
    <t>Al Ameen (QG)</t>
  </si>
  <si>
    <t>Aaiz Khan (PD)</t>
  </si>
  <si>
    <t>Multan Sultan vs Karachi Kings</t>
  </si>
  <si>
    <t>Karachi Kings</t>
  </si>
  <si>
    <t>Siddiqui Ahsan (KK)</t>
  </si>
  <si>
    <t>Rizwan Mansoori (KK)</t>
  </si>
  <si>
    <t>Hyderabad Kingsmen vs Quetta Gladiators</t>
  </si>
  <si>
    <t>7th April</t>
  </si>
  <si>
    <t>Quetta</t>
  </si>
  <si>
    <t>Lahore Qalandars vs Pindiz</t>
  </si>
  <si>
    <t>Usman (LQ)</t>
  </si>
  <si>
    <t>Vaibhav Batra (PD)</t>
  </si>
  <si>
    <t>Hyderabad Kingsmen vs Pindiz</t>
  </si>
  <si>
    <t>8th April</t>
  </si>
  <si>
    <t>Umar Khan (PD)</t>
  </si>
  <si>
    <t>Sai Naveen (HK)</t>
  </si>
  <si>
    <t>Quetta Gladiators vs Karachi Kings</t>
  </si>
  <si>
    <t>Multan Sultan vs Lahore Qalandars</t>
  </si>
  <si>
    <t>Multan Sultan</t>
  </si>
  <si>
    <t>Arnab Sarkar (MS)</t>
  </si>
  <si>
    <t>Hyderabad Kingsmen vs Karachi Kings</t>
  </si>
  <si>
    <t>9th April</t>
  </si>
  <si>
    <t>Hyderabad</t>
  </si>
  <si>
    <t>Gautam Shankara Ram(HK)</t>
  </si>
  <si>
    <t>Nirmal Baishya (KK)</t>
  </si>
  <si>
    <t>Quetta Gladiators vs Lahore Qalandars</t>
  </si>
  <si>
    <t>Kannan (LQ)</t>
  </si>
  <si>
    <t>Damitha Naranpanawa (QG)</t>
  </si>
  <si>
    <t>Karachi Kings vs Lahore Qalandars</t>
  </si>
  <si>
    <t>10th April</t>
  </si>
  <si>
    <t>Ebad Malik(KK)</t>
  </si>
  <si>
    <t>Shibil (KK)</t>
  </si>
  <si>
    <t>Pindiz vs Multan Sultan</t>
  </si>
  <si>
    <t>Keshav Shah(MS)</t>
  </si>
  <si>
    <t>Zeeshan (MS)</t>
  </si>
  <si>
    <t>Lahore Qalandars vs Hyderabad Kingsmen</t>
  </si>
  <si>
    <t>11th April</t>
  </si>
  <si>
    <t>Anas Asim (LQ)</t>
  </si>
  <si>
    <t>Karachi Kings vs Pindiz</t>
  </si>
  <si>
    <t>Anand Ajk (KK)</t>
  </si>
  <si>
    <t xml:space="preserve">Quetta Gladiators vs Hyderabad Kingsmen </t>
  </si>
  <si>
    <t>12th April</t>
  </si>
  <si>
    <t>K Rakesh CSK(HK)</t>
  </si>
  <si>
    <t>Hizbullah Sahito (KK)</t>
  </si>
  <si>
    <t>Ram Thakkar (KK)</t>
  </si>
  <si>
    <t>Abrar Ali (PD)</t>
  </si>
  <si>
    <t>Aniket Gavit (MS)</t>
  </si>
  <si>
    <t>Multan Sultan vs Hyderabad Kingsmen</t>
  </si>
  <si>
    <t>13th April</t>
  </si>
  <si>
    <t>Nasrullah &amp; Harsh</t>
  </si>
  <si>
    <t xml:space="preserve">Pindiz vs Quetta Gladiators </t>
  </si>
  <si>
    <t>Ahmed &amp; Shamroz</t>
  </si>
  <si>
    <t>Achuz Sukumaran (PD)</t>
  </si>
  <si>
    <t>Athif Basheer K(PD)</t>
  </si>
  <si>
    <t>Hasindu Rashminda (QG)</t>
  </si>
  <si>
    <t>Karachi Kings vs Multan Sultan</t>
  </si>
  <si>
    <t>14th April</t>
  </si>
  <si>
    <t>Yasin Iqbal (KK)</t>
  </si>
  <si>
    <t>Pindiz vs Hyderabad Kingsmen</t>
  </si>
  <si>
    <t>Hrushikesh HD (PD)</t>
  </si>
  <si>
    <t>Karachi Kings vs Quetta Gladiators</t>
  </si>
  <si>
    <t>15th April</t>
  </si>
  <si>
    <t>Shivaji Prakash (QG)</t>
  </si>
  <si>
    <t>Lahore Qalandars vs Multan Sultan</t>
  </si>
  <si>
    <t>Ans Sheikh (MS)</t>
  </si>
  <si>
    <t>Harish (MS)</t>
  </si>
  <si>
    <t>Karachi Kings vs Hyderabad Kingsmen</t>
  </si>
  <si>
    <t>16th April</t>
  </si>
  <si>
    <t>Chiranjibi Samal (HK)</t>
  </si>
  <si>
    <t>Lahore Qalanadars vs Pindiz</t>
  </si>
  <si>
    <t>Muhammed Ahmed (PD)</t>
  </si>
  <si>
    <t xml:space="preserve">Qualifier 1: Hyderabad Kingsmen vs Lahore Qalandars </t>
  </si>
  <si>
    <t>17th April</t>
  </si>
  <si>
    <t xml:space="preserve">Ahmed  </t>
  </si>
  <si>
    <t>Eliminator: Karachi Kings vs Quetta Gladiators</t>
  </si>
  <si>
    <t>Zarnish Saira (QG)</t>
  </si>
  <si>
    <t>Qualifier 2: Lahore Qalandars vs Quetta Gladiators</t>
  </si>
  <si>
    <t>18th April</t>
  </si>
  <si>
    <t>Subaida Subi (LQ)</t>
  </si>
  <si>
    <t>Grand Final: Hyderabad Kingsmen vs Lahore Qalandars</t>
  </si>
  <si>
    <t>19th April</t>
  </si>
  <si>
    <t>Nasrullah (  Com: Ahmed &amp; Nirmal )</t>
  </si>
  <si>
    <t>Adithya Mahajan (LQ)</t>
  </si>
  <si>
    <t>IOCF Pakistan Super League 2026 AWARDS</t>
  </si>
  <si>
    <t>Franchise League BBL Registration &amp; all team Players 2026</t>
  </si>
  <si>
    <t>Australia ( Home )</t>
  </si>
  <si>
    <t>1. Nadeem Prince</t>
  </si>
  <si>
    <t>1. Jana Cp</t>
  </si>
  <si>
    <t>1. Georgekutty Abraham</t>
  </si>
  <si>
    <t>1. Ashwini verma</t>
  </si>
  <si>
    <t>2. Hizbuallah Sahito</t>
  </si>
  <si>
    <t>2. Lal Krishna</t>
  </si>
  <si>
    <t>3. Waleed Khan</t>
  </si>
  <si>
    <t>3. Hasindu Rashminda</t>
  </si>
  <si>
    <t>3. Sujith Kumar</t>
  </si>
  <si>
    <t>3. Shamroz</t>
  </si>
  <si>
    <t>3. Thebseer</t>
  </si>
  <si>
    <t>3. Kannan Balakrishnan</t>
  </si>
  <si>
    <t>3. Zeeshan Yaqoob Gujjar</t>
  </si>
  <si>
    <t>4. Vishnu Vijay</t>
  </si>
  <si>
    <t>4. Sufyan Gujjar</t>
  </si>
  <si>
    <t>4. Rubesh Jude</t>
  </si>
  <si>
    <t>4. Aash</t>
  </si>
  <si>
    <t>4. Farhan</t>
  </si>
  <si>
    <t>4. Ashi</t>
  </si>
  <si>
    <t>4. Anandha Krishnan</t>
  </si>
  <si>
    <t>4. Ajay Joseph</t>
  </si>
  <si>
    <t>5. Sanazil</t>
  </si>
  <si>
    <t>5. Shibasis Nayak</t>
  </si>
  <si>
    <t>5. Muhammad Touqeer</t>
  </si>
  <si>
    <t>5. Kosala Jayasinghe</t>
  </si>
  <si>
    <t>5. Raees Ashik</t>
  </si>
  <si>
    <t>5. Gowri</t>
  </si>
  <si>
    <t>5. Ayaan Sheikh</t>
  </si>
  <si>
    <t>5. Jishnu</t>
  </si>
  <si>
    <t>5. Manish Devadiga</t>
  </si>
  <si>
    <t>6. Rince Thomas</t>
  </si>
  <si>
    <t>6. Rasith Wijethunga</t>
  </si>
  <si>
    <t>6. Sajjad Kapri</t>
  </si>
  <si>
    <t>6. Rashid</t>
  </si>
  <si>
    <t>6. Raheem</t>
  </si>
  <si>
    <t>6. Muhammad Usman</t>
  </si>
  <si>
    <t>6. Kushagra Sathe</t>
  </si>
  <si>
    <t>7. Subaida Subi</t>
  </si>
  <si>
    <t>7. Adnan Abbas</t>
  </si>
  <si>
    <t>7. Ruwanga Bandarawaththa</t>
  </si>
  <si>
    <t>7. Karan Kumar</t>
  </si>
  <si>
    <t>7. Karthik Verma</t>
  </si>
  <si>
    <t>7. Abhishek</t>
  </si>
  <si>
    <t>7. Aaiz Khan</t>
  </si>
  <si>
    <t>7. Arjun Akj</t>
  </si>
  <si>
    <t>8. Vishnu CV</t>
  </si>
  <si>
    <t>8. Mahesh Margol</t>
  </si>
  <si>
    <t>8. Zuhair Rbk</t>
  </si>
  <si>
    <t>8. Uresh Gnananga</t>
  </si>
  <si>
    <t>8. Edab Malik</t>
  </si>
  <si>
    <t>8. Safeer</t>
  </si>
  <si>
    <t>8. Ahmad Muhammad</t>
  </si>
  <si>
    <t>8. Ajaykumar</t>
  </si>
  <si>
    <t>8. Rahul Suresh</t>
  </si>
  <si>
    <t xml:space="preserve">8. Nahas Nazar </t>
  </si>
  <si>
    <t>9. Yashwanth Yash</t>
  </si>
  <si>
    <t>9. Muzammil Zafar</t>
  </si>
  <si>
    <t>9. Virendra Peiris</t>
  </si>
  <si>
    <t>9. Princhi Bora</t>
  </si>
  <si>
    <t>9. Sadik</t>
  </si>
  <si>
    <t>9. Asthu</t>
  </si>
  <si>
    <t>9. Nihal Maxi</t>
  </si>
  <si>
    <t>9. Ankan Biswas</t>
  </si>
  <si>
    <t>10. Harish</t>
  </si>
  <si>
    <t>10. Anas Asim</t>
  </si>
  <si>
    <t>10. Ghamshad</t>
  </si>
  <si>
    <t>10. Achuz</t>
  </si>
  <si>
    <t>10. Arslan Ali Shani</t>
  </si>
  <si>
    <t>10. Kebin</t>
  </si>
  <si>
    <t>10. Hari Krishnan</t>
  </si>
  <si>
    <t>10. Manish Indoria</t>
  </si>
  <si>
    <t>11. Salar Shah</t>
  </si>
  <si>
    <t>11. Adithya Mahajan</t>
  </si>
  <si>
    <t>11. Asad</t>
  </si>
  <si>
    <t>11. Masrifa Munni</t>
  </si>
  <si>
    <t>11. Ashith</t>
  </si>
  <si>
    <t>11. AL Ameen</t>
  </si>
  <si>
    <t>12. Samir</t>
  </si>
  <si>
    <t>12. Saad Rizwan</t>
  </si>
  <si>
    <t>12. Saketh Balne</t>
  </si>
  <si>
    <t>12. Molly</t>
  </si>
  <si>
    <t>12. Ayat</t>
  </si>
  <si>
    <t>12. Rojo</t>
  </si>
  <si>
    <t>12. Arjun Raj R</t>
  </si>
  <si>
    <t>13. Yeshwanth Chinni</t>
  </si>
  <si>
    <t>13. Hansana De Silva</t>
  </si>
  <si>
    <t>13. Ahsas</t>
  </si>
  <si>
    <t>13. Sujith CS Ctr</t>
  </si>
  <si>
    <t>13. Ahmed Mehsoof</t>
  </si>
  <si>
    <t>13. Muhammed Shibil M</t>
  </si>
  <si>
    <t>14. Ram Thakkar</t>
  </si>
  <si>
    <t>14. Thilina Jayarathna</t>
  </si>
  <si>
    <t>14. Bhavin Kumar</t>
  </si>
  <si>
    <t>14. Sri Vishnu</t>
  </si>
  <si>
    <t>14. Wafa Baloch</t>
  </si>
  <si>
    <t>15. Toby Joseph</t>
  </si>
  <si>
    <t>15. Binara Udayanga</t>
  </si>
  <si>
    <t>15. Bhargab Kashyap</t>
  </si>
  <si>
    <t>15. Wajdan</t>
  </si>
  <si>
    <t>16. Abdul Haseeb</t>
  </si>
  <si>
    <t>17. Ahmed</t>
  </si>
  <si>
    <t>Franchise League BBL All TEAMS</t>
  </si>
  <si>
    <t>Remaining Purse - 1000</t>
  </si>
  <si>
    <t>Remaining Purse - 55000</t>
  </si>
  <si>
    <t>1. Donald Baghwar(C) - 20K</t>
  </si>
  <si>
    <t>1. Keshav Shah(C) - 20K</t>
  </si>
  <si>
    <t>1. K Srinidhi(C) - 20K</t>
  </si>
  <si>
    <t>1. Chiranjibi Samal (C) - 20K</t>
  </si>
  <si>
    <t>1. Waqas Mughal (C) - 20K</t>
  </si>
  <si>
    <t>1. Malaram Patel (C) - 20K</t>
  </si>
  <si>
    <t>1. Arnab Sarkar(C) - 20k</t>
  </si>
  <si>
    <t>1. Rizwan Mansoori(C) - 20K</t>
  </si>
  <si>
    <t>2. Saubhagya Gupta(M) - 20K</t>
  </si>
  <si>
    <t>2. Mahi Mahendra(M) - 20K</t>
  </si>
  <si>
    <t>2. Anik Dey Shanto(M) - 20K</t>
  </si>
  <si>
    <t>2. Anurag Raj (M) - 20K</t>
  </si>
  <si>
    <t>2. Abrar Ali(M) - 20K</t>
  </si>
  <si>
    <t>2. K Rakesh CSK(M) - 20K</t>
  </si>
  <si>
    <t>2. Anand Ajk(M) - 20k</t>
  </si>
  <si>
    <t>2. Rahul Gadia(M) - 20K</t>
  </si>
  <si>
    <t>3. Bhavesh B(DS-BD) - 5000</t>
  </si>
  <si>
    <t>3. Midhuan Manilal(DS-WI) - 5000</t>
  </si>
  <si>
    <t>3. Shivaji Prakash(DS-Ind) - 5000</t>
  </si>
  <si>
    <t>3. Srajan Poojari(DS-NZ) - 5000</t>
  </si>
  <si>
    <t>3. Zarnish Saira(DS-Pak) - 5000</t>
  </si>
  <si>
    <t>3. Damitha Naranpanawa(DS-SL) - 5000</t>
  </si>
  <si>
    <t>3. Yasin Iqbal(DS-BD) - 5000</t>
  </si>
  <si>
    <t>3. Anshad Parakkadan(DS-Ind) - 5000</t>
  </si>
  <si>
    <t>4. Manish Indoria - Aus - 2500</t>
  </si>
  <si>
    <t>4. Zeeshan - Aus - 8000</t>
  </si>
  <si>
    <t>4. Arjun Akj - Aus - 7000</t>
  </si>
  <si>
    <t>4. Ajay Joseph - Aus - 1000</t>
  </si>
  <si>
    <t>4. Irshad - Scot - 1200</t>
  </si>
  <si>
    <t>4. Ankan Biswas - Aus - 6000</t>
  </si>
  <si>
    <t>4. Lal Krishna - Aus - 7000</t>
  </si>
  <si>
    <t>4. Rojo - Scot - 500</t>
  </si>
  <si>
    <t>5. Hashir -  Scot - 5000</t>
  </si>
  <si>
    <t>5. kushagra Sathe -Aus 4000</t>
  </si>
  <si>
    <t>5. Nihas - Aus - 3500</t>
  </si>
  <si>
    <t>5. Manish Devadiga - Aus - 1800</t>
  </si>
  <si>
    <t>5. Karan - Ban - 2500</t>
  </si>
  <si>
    <t>5. Bhavin Kumar - Ban - 7000</t>
  </si>
  <si>
    <t>5. Ashwini Verma - Aus - 2000</t>
  </si>
  <si>
    <t>5. Ebad - Ban - 2000</t>
  </si>
  <si>
    <t>6. Jishnu - Scot - 4000</t>
  </si>
  <si>
    <t>6. Kebin - Scot - 500</t>
  </si>
  <si>
    <t>6. Ashith - Scot - 500</t>
  </si>
  <si>
    <t>6. Ajay Kumar Sajeev -  Scot - 4000</t>
  </si>
  <si>
    <t>6. Hansana - SL - 2000</t>
  </si>
  <si>
    <t>6. Thilanga - SL - 14000</t>
  </si>
  <si>
    <t>6. Ashiqui Ashi - Scot - 6000</t>
  </si>
  <si>
    <t>6. Ram Thakkar - NZ - 21000</t>
  </si>
  <si>
    <t>7. Harsh Dubey - Ban - 10000</t>
  </si>
  <si>
    <t>7. Sai Naveen - Ban - 14000</t>
  </si>
  <si>
    <t>7. Mahesh Margol - NZ 3500</t>
  </si>
  <si>
    <t>7. Gautam - NZ - 16000</t>
  </si>
  <si>
    <t>7. Thilina - SL - 500</t>
  </si>
  <si>
    <t>7. Damith N - SL - 1000</t>
  </si>
  <si>
    <t>7. Thebseer - Scot - 2500</t>
  </si>
  <si>
    <t>7. Shibasis - NZ - 7000</t>
  </si>
  <si>
    <t>8. Vaibhav Batra - Ban - 5000</t>
  </si>
  <si>
    <t>8. Mohammed Ahmed - Ban - 4500</t>
  </si>
  <si>
    <t>8. Tukaram P - NZ - 4500</t>
  </si>
  <si>
    <t>8. Sujith CTR - Eng - 10000</t>
  </si>
  <si>
    <t>8. Rubesh - SL - 300</t>
  </si>
  <si>
    <t>8. Sasith - SL - 2200</t>
  </si>
  <si>
    <t>8. Shaheen - Scot - 2000</t>
  </si>
  <si>
    <t>8. Sameer - NZ - 500</t>
  </si>
  <si>
    <t>9. Princhi - Ban - 2000</t>
  </si>
  <si>
    <t>9. Raees - Ban - 500</t>
  </si>
  <si>
    <t>9. Toby - NZ - 6000</t>
  </si>
  <si>
    <t>9. Aash - Eng - 3000</t>
  </si>
  <si>
    <t>9. Aniket - NZ - 11000</t>
  </si>
  <si>
    <t>9. Kishore - NZ - 6000</t>
  </si>
  <si>
    <t>9. Salimax - Scot - 1600</t>
  </si>
  <si>
    <t>9. Achuz - Eng - 1000</t>
  </si>
  <si>
    <t>10. Bhargab - Ban - 500</t>
  </si>
  <si>
    <t>10. Hasan Mubashir - NZ - 4000</t>
  </si>
  <si>
    <t>10. Yashwanth - NZ - 8000</t>
  </si>
  <si>
    <t>10. Gowri - Eng - 1800</t>
  </si>
  <si>
    <t>10. Engr - Pak - 11000</t>
  </si>
  <si>
    <t>10. Nihal Maxi - WI - 500</t>
  </si>
  <si>
    <t>10. Asthu - Scot - 500</t>
  </si>
  <si>
    <t>10. Hizbullah - Pak - 4000</t>
  </si>
  <si>
    <t>11. Saketh Balne - Ban - 10000</t>
  </si>
  <si>
    <t>11. Ganesh - Pak - 14000</t>
  </si>
  <si>
    <t>11. Diljith Das - Eng - 4500</t>
  </si>
  <si>
    <t>11. Safeer - Eng - 2000</t>
  </si>
  <si>
    <t>11. Ahmed - Pak - 700</t>
  </si>
  <si>
    <t>11. Ananda Krishnan - WI - 500</t>
  </si>
  <si>
    <t>11. Ahsan - Ban - 14000</t>
  </si>
  <si>
    <t>11. Sheeraj - WI - 500</t>
  </si>
  <si>
    <t>12. Miraj Cool - SL - 1000</t>
  </si>
  <si>
    <t>12. Arslan - Pak - 1000</t>
  </si>
  <si>
    <t>12. Molly - Eng - 2000</t>
  </si>
  <si>
    <t>12. Ayaan - Pak - 1000</t>
  </si>
  <si>
    <t>12. Wajdan - Pak - 500</t>
  </si>
  <si>
    <t>12. Subaida - Ita - 7000</t>
  </si>
  <si>
    <t>12. Ghamshad - Ban - 1000</t>
  </si>
  <si>
    <t>12. Abhilash - WI - 500</t>
  </si>
  <si>
    <t>13. Hasindu Rashminda - SL - 3500</t>
  </si>
  <si>
    <t>13. Usman - Pak - 2500</t>
  </si>
  <si>
    <t>13. Aneesh - Eng - 500</t>
  </si>
  <si>
    <t>13. Shibil - WI - 1000</t>
  </si>
  <si>
    <t>13. Shamroz - Pak - 12000</t>
  </si>
  <si>
    <t>13. Anas Asim - Afg - 3000</t>
  </si>
  <si>
    <t>13. Sajjd - Ban - 500</t>
  </si>
  <si>
    <t>13. Huzain - Ita - 500</t>
  </si>
  <si>
    <t>14. Rasith Wijethunga - SL - 2500</t>
  </si>
  <si>
    <t>14. Aaiz - Pak - 1000</t>
  </si>
  <si>
    <t>14. Ahmad - Pak - 2400</t>
  </si>
  <si>
    <t>14. Rahul Suresh - WI - 500</t>
  </si>
  <si>
    <t>14. Al Ameen - WI - 10000</t>
  </si>
  <si>
    <t>14. Mudasir - Afg - 700</t>
  </si>
  <si>
    <t>14. Rahees - Eng - 1000</t>
  </si>
  <si>
    <t>14. Sanazil - Ita - 500</t>
  </si>
  <si>
    <t>15. Harish - NZ - 3500</t>
  </si>
  <si>
    <t>15. Georgekutty Abraham - WI - 500</t>
  </si>
  <si>
    <t>15. Akhil Mohan - Ita - 500</t>
  </si>
  <si>
    <t>15. Vishnu CV - Ita - 500</t>
  </si>
  <si>
    <t>15. Waleed - Afg - 2500</t>
  </si>
  <si>
    <t>15. Rahul Seenu - Ind - 2200</t>
  </si>
  <si>
    <t>15. Nasrullah - Pak - 11000</t>
  </si>
  <si>
    <t>15. Vishnu Vijay - Ita - 500</t>
  </si>
  <si>
    <t>16. Hrishikesh H D - NZ - 3500</t>
  </si>
  <si>
    <t>16. Hybi Anil - Ita - 500</t>
  </si>
  <si>
    <t>16. Adithya Mahajan - Afg - 10000</t>
  </si>
  <si>
    <t>16. Rince - Ita - 500</t>
  </si>
  <si>
    <t>16. Saad - Afg - 3000</t>
  </si>
  <si>
    <t>16. Farh an - Ind - 2400</t>
  </si>
  <si>
    <t>16. Munni - Pak - 1000</t>
  </si>
  <si>
    <t>16. Salar Shah - NZ - 500</t>
  </si>
  <si>
    <t>17. Uresh Gn - SL - 500</t>
  </si>
  <si>
    <t>17. Adnan Abbas - Afg - 1600</t>
  </si>
  <si>
    <t>17. Athif - Ind - 500</t>
  </si>
  <si>
    <t>17. Rahul Roy - Ind - 700</t>
  </si>
  <si>
    <t>17. Ashwin Thomas - WI - 1000</t>
  </si>
  <si>
    <t>17. Jana CP - Ind - 14000</t>
  </si>
  <si>
    <t>18. Sri Vishnu - Eng - 500</t>
  </si>
  <si>
    <t>18. Abhishek - Ind 500</t>
  </si>
  <si>
    <t>18. Touqeer - Afg - 3000</t>
  </si>
  <si>
    <t>Sydney Sixers vs Brisbane Heat</t>
  </si>
  <si>
    <t>4th May</t>
  </si>
  <si>
    <t>SCG</t>
  </si>
  <si>
    <t>Ump: Chiranjibi, SC: Keshav</t>
  </si>
  <si>
    <t>Arnab Sarkar (SS)</t>
  </si>
  <si>
    <t>Muhammad Usman (BH)</t>
  </si>
  <si>
    <t>Adelaide Strikers vs Melbourne Renegades</t>
  </si>
  <si>
    <t>Oval</t>
  </si>
  <si>
    <t>Ump &amp; SC: Keshav</t>
  </si>
  <si>
    <t>Gautam (MR)</t>
  </si>
  <si>
    <t>Bhavesh (AS)</t>
  </si>
  <si>
    <t>Sydney Thunders vs Perth Scorchers</t>
  </si>
  <si>
    <t>5th May</t>
  </si>
  <si>
    <t>Show</t>
  </si>
  <si>
    <t>Subaida Subi (PS)</t>
  </si>
  <si>
    <t>Achuz Sukumaran (ST)</t>
  </si>
  <si>
    <t>Hobart Hurricanes vs Melbourne Stars</t>
  </si>
  <si>
    <t>Ninja</t>
  </si>
  <si>
    <t>Toby Joseph(HH)</t>
  </si>
  <si>
    <t>Arjun Akj(HH)</t>
  </si>
  <si>
    <t>Zarnish Saira (MS)</t>
  </si>
  <si>
    <t>Perth Scorchers vs Sydney Sixers</t>
  </si>
  <si>
    <t>6th May</t>
  </si>
  <si>
    <t>Optus</t>
  </si>
  <si>
    <t>Ump &amp; SC: Anurag</t>
  </si>
  <si>
    <t>Yasin Iqbal (SS)</t>
  </si>
  <si>
    <t>Hobart Hurricanes vs Sydney Thunders</t>
  </si>
  <si>
    <t>Ump &amp; SC: Arnab</t>
  </si>
  <si>
    <t>Shibasis (ST)</t>
  </si>
  <si>
    <t>Brisbane Heat vs Adelaide Strikers</t>
  </si>
  <si>
    <t>7th May</t>
  </si>
  <si>
    <t>Gabba</t>
  </si>
  <si>
    <t>Harsh Dubey (AS)</t>
  </si>
  <si>
    <t>Donald (AS)</t>
  </si>
  <si>
    <t>Jishnu (AS)</t>
  </si>
  <si>
    <t>Melbourne Stars vs Melbourne Renegades</t>
  </si>
  <si>
    <t>MCG</t>
  </si>
  <si>
    <t>Ump &amp; SC: Srinidhi</t>
  </si>
  <si>
    <t>Ahmed (MS)</t>
  </si>
  <si>
    <t>Ayaan (MR)</t>
  </si>
  <si>
    <t>Sydney Sixers vs Hobart Hurricanes</t>
  </si>
  <si>
    <t>8th May</t>
  </si>
  <si>
    <t>Ump &amp; SC: Waqas</t>
  </si>
  <si>
    <t>Aneesh (HH)</t>
  </si>
  <si>
    <t>Shivaji (HH)</t>
  </si>
  <si>
    <t>Sydney Thunders vs Melbourne Renegades</t>
  </si>
  <si>
    <t>Ruwanga (MR)</t>
  </si>
  <si>
    <t>Ajay (MR)</t>
  </si>
  <si>
    <t>Adelaide Strikers vs Melbourne Stars</t>
  </si>
  <si>
    <t>9th May</t>
  </si>
  <si>
    <t>Irshad (MS)</t>
  </si>
  <si>
    <t>Aniket (MS)</t>
  </si>
  <si>
    <t>Harsh (AS)</t>
  </si>
  <si>
    <t>Brisbane Heat vs Perth Scorchers</t>
  </si>
  <si>
    <t>Rahul Seenu (PS)</t>
  </si>
  <si>
    <t>Keshav Shah (BH)</t>
  </si>
  <si>
    <t>Melbourne Renegades vs Sydney Sixers</t>
  </si>
  <si>
    <t>10th May</t>
  </si>
  <si>
    <t>Marvel</t>
  </si>
  <si>
    <t>Ump &amp; SC: Jyothish</t>
  </si>
  <si>
    <t>Touqeer (SS)</t>
  </si>
  <si>
    <t>Rahul Suresh (MR)</t>
  </si>
  <si>
    <t>Perth Scorchers vs Adelaide Strikers</t>
  </si>
  <si>
    <t>Bhavin (PS)</t>
  </si>
  <si>
    <t>Sakesth (AS)</t>
  </si>
  <si>
    <t>Hobart Hurricanes vs Brisbane Heat</t>
  </si>
  <si>
    <t>11th May</t>
  </si>
  <si>
    <t>Hybi Anil (BH)</t>
  </si>
  <si>
    <t>Ahmed (BH)</t>
  </si>
  <si>
    <t xml:space="preserve">Melbourne Stars vs Sydney Thunders </t>
  </si>
  <si>
    <t>Ump: Chiranjibi, SC: Srinidhi</t>
  </si>
  <si>
    <t>Jana (ST)</t>
  </si>
  <si>
    <t>Ram (ST)</t>
  </si>
  <si>
    <t>Rubesh (MS)</t>
  </si>
  <si>
    <t>Brisbane Heat vs Melbourne Renegades</t>
  </si>
  <si>
    <t>12th May</t>
  </si>
  <si>
    <t>Perth Scorchers vs Hobart Hurricanes</t>
  </si>
  <si>
    <t>Sydney Sixers vs Melbourne Stars</t>
  </si>
  <si>
    <t>13th May</t>
  </si>
  <si>
    <t>Ump: Chiranjibi, SC: Arnab</t>
  </si>
  <si>
    <t>Waqas (MS)</t>
  </si>
  <si>
    <t>Salimax (SS)</t>
  </si>
  <si>
    <t>Sydney Thunders vs Adelaide Strikers</t>
  </si>
  <si>
    <t>Anshad (ST)</t>
  </si>
  <si>
    <t>Hashir (AS)</t>
  </si>
  <si>
    <t>Sydney Thunders vs Sydney Sixers</t>
  </si>
  <si>
    <t>14th May</t>
  </si>
  <si>
    <t>Ump &amp; SC: Aniket</t>
  </si>
  <si>
    <t>Nasrullah (SS)</t>
  </si>
  <si>
    <t>Arnab (SS)</t>
  </si>
  <si>
    <t>Adelaide Strikers vs Hobart Hurricanes</t>
  </si>
  <si>
    <t>Ump &amp; SC: Nasrullah</t>
  </si>
  <si>
    <t>Tukaram (HH)</t>
  </si>
  <si>
    <t>Adnan (HH)</t>
  </si>
  <si>
    <t>Melbourne Renegades vs Perth Scorchers</t>
  </si>
  <si>
    <t>15th May</t>
  </si>
  <si>
    <t>Anurag (MR)</t>
  </si>
  <si>
    <t>Farhan (PS)</t>
  </si>
  <si>
    <t>Melbourne Stars vs Brisbane Heat</t>
  </si>
  <si>
    <t>Abrar (MS)</t>
  </si>
  <si>
    <t>Hobart Hurricanes vs Melbourne Renegades</t>
  </si>
  <si>
    <t>16th May</t>
  </si>
  <si>
    <t>Ump: Arnab &amp; SC: Srinidhi</t>
  </si>
  <si>
    <t>Ahmed (MR)</t>
  </si>
  <si>
    <t>Srajan (MR)</t>
  </si>
  <si>
    <t>Adelaide Strikers vs Sydney Sixers</t>
  </si>
  <si>
    <t>Ump: Noor &amp; SC: Arnab</t>
  </si>
  <si>
    <t>Perth Scorchers vs Melbourne Stars</t>
  </si>
  <si>
    <t>17th May</t>
  </si>
  <si>
    <t>Saad (MS)</t>
  </si>
  <si>
    <t>Brisbane Heat vs Sydney Thunders</t>
  </si>
  <si>
    <t>Keshav (BH)</t>
  </si>
  <si>
    <t>Sai Naveen (BH)</t>
  </si>
  <si>
    <t>Hasan (BH)</t>
  </si>
  <si>
    <t>Qualifier 1: Sydney Sixers vs Melbourne Stars</t>
  </si>
  <si>
    <t>18th May</t>
  </si>
  <si>
    <t>Ump: Harsh &amp; SC: Arnab</t>
  </si>
  <si>
    <t>Anand Ajk (SS)</t>
  </si>
  <si>
    <t>Eliminator: Perth Scorchers vs Melbourne Renegades</t>
  </si>
  <si>
    <t>Qualifier 2: Melbourne Stars vs Melbourne Renegades</t>
  </si>
  <si>
    <t>19th May</t>
  </si>
  <si>
    <t>Final: Sydney Sixers vs Melbourne Stara</t>
  </si>
  <si>
    <t>20th May</t>
  </si>
  <si>
    <t>IOCF Big Bash League 2026 AWARDS</t>
  </si>
  <si>
    <t>Franchise League BPL Registration &amp; all team Players 2026</t>
  </si>
  <si>
    <t xml:space="preserve">Pakistan </t>
  </si>
  <si>
    <t>Bangladesh(Home)</t>
  </si>
  <si>
    <t>1. Abdullah ishtiaq</t>
  </si>
  <si>
    <t xml:space="preserve">1. Shivaji </t>
  </si>
  <si>
    <t xml:space="preserve">1. Debajit Borthakur </t>
  </si>
  <si>
    <t xml:space="preserve">1. Adarsh Byndoor </t>
  </si>
  <si>
    <t xml:space="preserve">1. Thebseer </t>
  </si>
  <si>
    <t xml:space="preserve">1. Damitha Naranpanawa </t>
  </si>
  <si>
    <t>1. Sajjad Kapri</t>
  </si>
  <si>
    <t>2. Manish Indoria</t>
  </si>
  <si>
    <t xml:space="preserve">2. Mudasir Ali </t>
  </si>
  <si>
    <t xml:space="preserve">2. Athif </t>
  </si>
  <si>
    <t>2. Nouraiz Abbas</t>
  </si>
  <si>
    <t>2. Karthik Verma</t>
  </si>
  <si>
    <t>3. Mohammad Noor</t>
  </si>
  <si>
    <t xml:space="preserve">3. Farhan malick </t>
  </si>
  <si>
    <t xml:space="preserve">3. Jana </t>
  </si>
  <si>
    <t xml:space="preserve">3. Dhrubo Rajbongshi </t>
  </si>
  <si>
    <t>3. Vikas Byndoor</t>
  </si>
  <si>
    <t>3. Asad KB</t>
  </si>
  <si>
    <t>4. Arjun Akj</t>
  </si>
  <si>
    <t>4. M Waleed khan</t>
  </si>
  <si>
    <t xml:space="preserve">4. Rajeev </t>
  </si>
  <si>
    <t>4. Hirakjyoti Deka</t>
  </si>
  <si>
    <t>4. Gautam Shankara Ram</t>
  </si>
  <si>
    <t>4. Irshad</t>
  </si>
  <si>
    <t>4. Aash Muhammad</t>
  </si>
  <si>
    <t>4. Alphan Das</t>
  </si>
  <si>
    <t>5. Ankan Biswas</t>
  </si>
  <si>
    <t xml:space="preserve">5. Saad Rizwan </t>
  </si>
  <si>
    <t xml:space="preserve">5. Abhishek </t>
  </si>
  <si>
    <t>5. Jihan Omar Fokir</t>
  </si>
  <si>
    <t>5. Blesson</t>
  </si>
  <si>
    <t>5. Muhammad Ali</t>
  </si>
  <si>
    <t>5. Safeer Babu</t>
  </si>
  <si>
    <t>5. Vishnu Vijay</t>
  </si>
  <si>
    <t>5. Anu Aeshan</t>
  </si>
  <si>
    <t>6. Ashwini Verma</t>
  </si>
  <si>
    <t xml:space="preserve">6. M Touqeer </t>
  </si>
  <si>
    <t xml:space="preserve">6. Farhan </t>
  </si>
  <si>
    <t>6. Marami Ahmed</t>
  </si>
  <si>
    <t>6. Hasan Musabbir</t>
  </si>
  <si>
    <t>6. Sali</t>
  </si>
  <si>
    <t>6. Nasrullah</t>
  </si>
  <si>
    <t>6. Jyothish S</t>
  </si>
  <si>
    <t>6. Meer Kamran</t>
  </si>
  <si>
    <t xml:space="preserve">7. Malik Zubair </t>
  </si>
  <si>
    <t xml:space="preserve">7. Rahul Seenu </t>
  </si>
  <si>
    <t>7. Anamika Priya Pegu</t>
  </si>
  <si>
    <t>7. Asthu</t>
  </si>
  <si>
    <t>7. Huzain</t>
  </si>
  <si>
    <t>7. Rahul Mahapatra</t>
  </si>
  <si>
    <t>8. Zeeshan Yaqoob Gujjar</t>
  </si>
  <si>
    <t xml:space="preserve">8. Umar Khan </t>
  </si>
  <si>
    <t xml:space="preserve">8. Peter </t>
  </si>
  <si>
    <t>8. Bimal Baral</t>
  </si>
  <si>
    <t>8. Huzaifa Kaukawala</t>
  </si>
  <si>
    <t>8. Kebin</t>
  </si>
  <si>
    <t>8. Ayaan Sheikh</t>
  </si>
  <si>
    <t>8. Vipin</t>
  </si>
  <si>
    <t>8. Shiva Teja</t>
  </si>
  <si>
    <t xml:space="preserve">9. Umar abbas </t>
  </si>
  <si>
    <t xml:space="preserve">9. Gopi </t>
  </si>
  <si>
    <t>9. Aashutosh Jha</t>
  </si>
  <si>
    <t>9. Karthik Devadiga</t>
  </si>
  <si>
    <t>9. Sham Roz</t>
  </si>
  <si>
    <t>9. Haseeb</t>
  </si>
  <si>
    <t>9. Susheel Teja</t>
  </si>
  <si>
    <t>10. Anand Ajk</t>
  </si>
  <si>
    <t xml:space="preserve">10. Nadeem Prince </t>
  </si>
  <si>
    <t>10. Rahul Roy</t>
  </si>
  <si>
    <t>10. Jahirul Hoque</t>
  </si>
  <si>
    <t>10. Kishore Gowda</t>
  </si>
  <si>
    <t>10. Ashi</t>
  </si>
  <si>
    <t>10. Aaiz khan</t>
  </si>
  <si>
    <t xml:space="preserve">10. Virendra Peiris </t>
  </si>
  <si>
    <t>10. Akshay</t>
  </si>
  <si>
    <t>10. K Srinidhi</t>
  </si>
  <si>
    <t>11. Malaram Patel</t>
  </si>
  <si>
    <t xml:space="preserve">11. Talha Saeed Gujjar </t>
  </si>
  <si>
    <t>12. Kiran Nath</t>
  </si>
  <si>
    <t>11. Mahesh Margol</t>
  </si>
  <si>
    <t>11. Hashir</t>
  </si>
  <si>
    <t>11. Summan Baig</t>
  </si>
  <si>
    <t>11. Thaneem</t>
  </si>
  <si>
    <t xml:space="preserve">12. Huzaifa Imran </t>
  </si>
  <si>
    <t>13. Mayank Das</t>
  </si>
  <si>
    <t>12. Naveen J</t>
  </si>
  <si>
    <t>12. Ashith</t>
  </si>
  <si>
    <t>12. Ali Abbas Bangash</t>
  </si>
  <si>
    <t>12. Sanazil</t>
  </si>
  <si>
    <t xml:space="preserve">13. Ishak Farid </t>
  </si>
  <si>
    <t>14. Rahul Sharma</t>
  </si>
  <si>
    <t>13. Nithin Poojary</t>
  </si>
  <si>
    <t>13. Hari</t>
  </si>
  <si>
    <t>13. Afsal</t>
  </si>
  <si>
    <t xml:space="preserve">14. Zuhair </t>
  </si>
  <si>
    <t>15. Veer Gupta</t>
  </si>
  <si>
    <t>14. Salaar Shah</t>
  </si>
  <si>
    <t>14. Ajay</t>
  </si>
  <si>
    <t>14. Arslan Ali Shani</t>
  </si>
  <si>
    <t>14. Albin</t>
  </si>
  <si>
    <t xml:space="preserve">15. Kashif Ramzan </t>
  </si>
  <si>
    <t>16. Bishwajit Dutta</t>
  </si>
  <si>
    <t>15. Shibasis Nayak</t>
  </si>
  <si>
    <t>15. Muhammad Usman</t>
  </si>
  <si>
    <t>15. Subaida Subi</t>
  </si>
  <si>
    <t xml:space="preserve">16. Adnan Khalid </t>
  </si>
  <si>
    <t>17. Dipankar Roy</t>
  </si>
  <si>
    <t>16. Toby Joseph</t>
  </si>
  <si>
    <t>16. Wafa Baloch</t>
  </si>
  <si>
    <t xml:space="preserve">17. Sufyan Yaqoob gujjar </t>
  </si>
  <si>
    <t>18. Prabal Deka</t>
  </si>
  <si>
    <t>17. Tukaram Parabat</t>
  </si>
  <si>
    <t>17. Chalana Rukshan</t>
  </si>
  <si>
    <t xml:space="preserve">18. Muzammil </t>
  </si>
  <si>
    <t>19. Pinku Bordoloi</t>
  </si>
  <si>
    <t>18. Ramith Kumar</t>
  </si>
  <si>
    <t xml:space="preserve">19. Anas Asim </t>
  </si>
  <si>
    <t>19. Srajan Poojari</t>
  </si>
  <si>
    <t xml:space="preserve">20. Saif Ali </t>
  </si>
  <si>
    <t>20. Suman Byndoor</t>
  </si>
  <si>
    <t xml:space="preserve">21. M shahzad </t>
  </si>
  <si>
    <t>21. Pratyush Mishra</t>
  </si>
  <si>
    <t xml:space="preserve">22. Zohaib Khan Tareen </t>
  </si>
  <si>
    <t>22. Vijeth Devadiga</t>
  </si>
  <si>
    <t>23. Yeshwanth Chinni</t>
  </si>
  <si>
    <t>24. Nawman Baig</t>
  </si>
  <si>
    <t>25. Sanan Abrar</t>
  </si>
  <si>
    <t>26. Samir</t>
  </si>
  <si>
    <t>Franchise League BPL All TEAMS</t>
  </si>
  <si>
    <t>Credits Remaining: 900</t>
  </si>
  <si>
    <t>Credits Remaining: 0</t>
  </si>
  <si>
    <t>Credits Remaining: 400</t>
  </si>
  <si>
    <t>Credits Remaining: 300</t>
  </si>
  <si>
    <t>1. Sai Naveen (C) - 80000</t>
  </si>
  <si>
    <t>1. Vaibhav Batra (C) - 80000</t>
  </si>
  <si>
    <t>1. Ahmed (C)</t>
  </si>
  <si>
    <t>1. Princhi Bora (C)</t>
  </si>
  <si>
    <t>1. Ebad Malik (C)</t>
  </si>
  <si>
    <t>1. Ahsan Siddiqui (C)</t>
  </si>
  <si>
    <t>1. Yasin Iqbal (C)</t>
  </si>
  <si>
    <t>1. Ashutosh Jha (C)</t>
  </si>
  <si>
    <t>1. Harsh Dubey (C)</t>
  </si>
  <si>
    <t>1. Arnab Sarkar (C-Aus)</t>
  </si>
  <si>
    <t>2. Bhavin Kumar (M) - 30000</t>
  </si>
  <si>
    <t>2. Rakshith Raksh (M) - 30000</t>
  </si>
  <si>
    <t>2. Abdul Haseeb Siddiqui (M)</t>
  </si>
  <si>
    <t>2. Bhavesh B (M)</t>
  </si>
  <si>
    <t>2. Manan Irfan (M)</t>
  </si>
  <si>
    <t>2. Abrar Ahmed (M)</t>
  </si>
  <si>
    <t>2. Bhargab Kashyap (M)</t>
  </si>
  <si>
    <t>2. Ghamshad Kapri (M)</t>
  </si>
  <si>
    <t>2. Gaurav (M)</t>
  </si>
  <si>
    <t>2. Abrar Ali (M-Aus)</t>
  </si>
  <si>
    <t>3. Ram Thakkar (DS-NZ) - 25000</t>
  </si>
  <si>
    <t>3. Donald Baghwar (DS-Aus-SA) - 25000</t>
  </si>
  <si>
    <t>3. Ans Sheikh (DS-Pak)</t>
  </si>
  <si>
    <t>3. Keshav Shah (DS-Aus)</t>
  </si>
  <si>
    <t>3. Karan Kumar (DS- BD)</t>
  </si>
  <si>
    <t>3. Rahees Ashiq (DS-BD)</t>
  </si>
  <si>
    <t>3. Zarnish Saira (DS - Pak)</t>
  </si>
  <si>
    <t>3. Adithya(DS-BD)</t>
  </si>
  <si>
    <t>3. Anurag Raj (DS-Aus)</t>
  </si>
  <si>
    <t>4. Rahul (SA) - 3000</t>
  </si>
  <si>
    <t>4. Mahi (SA) - 4500</t>
  </si>
  <si>
    <t>4. Tukaram (NZ) - 16000</t>
  </si>
  <si>
    <t>4. Huzaifa (NZ) - 600</t>
  </si>
  <si>
    <t>4. Sajjad (BD) - 1600</t>
  </si>
  <si>
    <t>4. Meer(BD) - 1100</t>
  </si>
  <si>
    <t>4. Asad (BD) - 900</t>
  </si>
  <si>
    <t>4. Rajab (BD) - 900</t>
  </si>
  <si>
    <t>4. Anu (BD) - 500</t>
  </si>
  <si>
    <t>4. Sanan(NZ) - 500</t>
  </si>
  <si>
    <t>5. Shiva (SA) - 4000</t>
  </si>
  <si>
    <t>5. Rakesh (SA) - 12000</t>
  </si>
  <si>
    <t>5. Pratyush(NZ) - 1100</t>
  </si>
  <si>
    <t>5. Mahesh (NZ) - 8500</t>
  </si>
  <si>
    <t>5. Alapan Das(BD) - 11000</t>
  </si>
  <si>
    <t>5. Ashith(Scot) - 1900</t>
  </si>
  <si>
    <t>5. Kaushik Kalita(SA) - 6000</t>
  </si>
  <si>
    <t>5. Adarsh (NZ) - 500</t>
  </si>
  <si>
    <t>5. M Huzaifa (BD) - 500</t>
  </si>
  <si>
    <t>5. Noor(Aus) - 10000</t>
  </si>
  <si>
    <t>6. Saketh(SA) - 10000</t>
  </si>
  <si>
    <t>6. Parth (SA) - 8500</t>
  </si>
  <si>
    <t>6. Karthik(NZ) - 600</t>
  </si>
  <si>
    <t>6. Rohit(Aus) - 500</t>
  </si>
  <si>
    <t>6. Aniket (NZ) - 20000</t>
  </si>
  <si>
    <t>6. Huzain(Italy) - 500</t>
  </si>
  <si>
    <t>6. Kishore (NZ) - 15000</t>
  </si>
  <si>
    <t>6. Toby (NZ) - 13000</t>
  </si>
  <si>
    <t>6. Rizwan(Aus) - 20000</t>
  </si>
  <si>
    <t>6. Ashwini(Aus) - 2000</t>
  </si>
  <si>
    <t>7. Gautam (NZ) - 21000</t>
  </si>
  <si>
    <t>7. Manish (SA) - 3500</t>
  </si>
  <si>
    <t>7. Jishnu (Scot) - 8500</t>
  </si>
  <si>
    <t>7. Hari(Scot) - 500</t>
  </si>
  <si>
    <t>7. Vikas (NZ) - 500</t>
  </si>
  <si>
    <t>7. Shubaib(Italy) - 600</t>
  </si>
  <si>
    <t>7. Ramith(NZ) - 500</t>
  </si>
  <si>
    <t>7. Hashir(Scot) - 20000</t>
  </si>
  <si>
    <t>7. Anand(Aus) - 20000</t>
  </si>
  <si>
    <t>7. Waqas (Aus) - 35000</t>
  </si>
  <si>
    <t>8. Hasan (NZ) - 16000</t>
  </si>
  <si>
    <t>8. Susheel (SA) - 500</t>
  </si>
  <si>
    <t>8. Ashi(Scot) - 21000</t>
  </si>
  <si>
    <t>8. Akhil(Italy) - 700</t>
  </si>
  <si>
    <t>8. Nithin(NZ) - 8000</t>
  </si>
  <si>
    <t>8. Shivaji(Ind) - 31000</t>
  </si>
  <si>
    <t>8. Arjun(Aus) - 9500</t>
  </si>
  <si>
    <t>8. Subaida(Italy) - 27000</t>
  </si>
  <si>
    <t>8. Sali (Scot) - 3500</t>
  </si>
  <si>
    <t>8. Chiranjibi(Aus) - 26000</t>
  </si>
  <si>
    <t>9. Naveen (NZ) - 500</t>
  </si>
  <si>
    <t>9. K Srinidhi (SA) - 5000</t>
  </si>
  <si>
    <t>9. Haseeb(Italy) - 1100</t>
  </si>
  <si>
    <t>9. Hybi (Italy) - 800</t>
  </si>
  <si>
    <t>9. Zeeshan (Aus) - 1400</t>
  </si>
  <si>
    <t>9. Farhaan(Ind) - 7500</t>
  </si>
  <si>
    <t>9. Shaheen(Scot) - 700</t>
  </si>
  <si>
    <t>9. Karthik(Eng) - 900</t>
  </si>
  <si>
    <t>9. Thaneem(Italy) - 1000</t>
  </si>
  <si>
    <t>9. Malaram(Aus) - 19000</t>
  </si>
  <si>
    <t>10. Yeshwanth (NZ) - 500</t>
  </si>
  <si>
    <t>10. Shibasis (SA) - 12200</t>
  </si>
  <si>
    <t>10. Ruwanga(SL) - 4500</t>
  </si>
  <si>
    <t>10. Sujith(Eng) - 19000</t>
  </si>
  <si>
    <t>10. Anik(Aus) - 5000</t>
  </si>
  <si>
    <t>10. Marami(Ned) - 9000</t>
  </si>
  <si>
    <t>10. Akshay(Scot) - 1100</t>
  </si>
  <si>
    <t>10. Nirmal(Ned) - 7500</t>
  </si>
  <si>
    <t>10. Jyothish(Eng) - 23000</t>
  </si>
  <si>
    <t>10. Asthu(Scot) - 500</t>
  </si>
  <si>
    <t>11. Ankan (Aus) - 5000</t>
  </si>
  <si>
    <t>11. Hrushikesh (NZ) - 17000</t>
  </si>
  <si>
    <t>11. Sasith(SL) - 4500</t>
  </si>
  <si>
    <t>11. Achuz(Eng) - 10000</t>
  </si>
  <si>
    <t>11. Ajay(Scot) - 18000</t>
  </si>
  <si>
    <t>11. Anamika(Ned) - 500</t>
  </si>
  <si>
    <t>11. Blesson(Scot) - 1100</t>
  </si>
  <si>
    <t>11. Prabal (Ned) - 1700</t>
  </si>
  <si>
    <t>11. Biswajit (Ned) - 900</t>
  </si>
  <si>
    <t>11. Kebin(Scot) - 500</t>
  </si>
  <si>
    <t>12. Irshad (Scot) - 21000</t>
  </si>
  <si>
    <t>12. Srajan (NZ) - 16000</t>
  </si>
  <si>
    <t>12. Ahmed Mahsoof(Pak) - 3500</t>
  </si>
  <si>
    <t>12. Hirak (Ned) - 3500</t>
  </si>
  <si>
    <t>12. Hizbullah(Pak) - 10000</t>
  </si>
  <si>
    <t>12. Bimal(Ned) - 1600</t>
  </si>
  <si>
    <t>12. Athif (Ind) - 7000</t>
  </si>
  <si>
    <t>12. Kavinda(SL) - 700</t>
  </si>
  <si>
    <t>12. Damitha N(SL) - 20000</t>
  </si>
  <si>
    <t>12. Rince (Italy) - 500</t>
  </si>
  <si>
    <t>13. Vishnu Vijay(Italy) - 10000</t>
  </si>
  <si>
    <t>13. Manish (Aus) - 11000</t>
  </si>
  <si>
    <t>13. Jana (Ind) - 24000</t>
  </si>
  <si>
    <t>13. Kiran(Ned) - 1000</t>
  </si>
  <si>
    <t>13. Nouraiz(Pak) - 2500</t>
  </si>
  <si>
    <t>13. Jahirul(Ned) - 3500</t>
  </si>
  <si>
    <t>13. Rahul Seenu(Ind) - 7000</t>
  </si>
  <si>
    <t>13. Thilina(SL) 700</t>
  </si>
  <si>
    <t>13. Miraj(SL) - 1100</t>
  </si>
  <si>
    <t>13. Sanazil (Italy) - 500</t>
  </si>
  <si>
    <t>14. Vipin(Italy) - 1200</t>
  </si>
  <si>
    <t xml:space="preserve">14. Vishnu CV(Italy) - 900 </t>
  </si>
  <si>
    <t>14. Robert John(Ind) - 2000</t>
  </si>
  <si>
    <t>14. Rahul (Ned) - 6000</t>
  </si>
  <si>
    <t>14. Ganesh(Pak) - 18000</t>
  </si>
  <si>
    <t>14. Muhammad Ahmad(Pak) - 19000</t>
  </si>
  <si>
    <t>14. Abhishek(Ind) - 1400</t>
  </si>
  <si>
    <t>14. Chalana(SL) - 900</t>
  </si>
  <si>
    <t>14. Kosala(SL) - 500</t>
  </si>
  <si>
    <t>14. Albin(Italy) - 4500</t>
  </si>
  <si>
    <t>15. Rajeev(Ind) - 500</t>
  </si>
  <si>
    <t>15. Gopi(Ind) - 2100</t>
  </si>
  <si>
    <t>15. Asru(Ind) - 2000</t>
  </si>
  <si>
    <t>15. Aazi(Pak) - 19000</t>
  </si>
  <si>
    <t>15. Muhammad Ali(Pak) - 500</t>
  </si>
  <si>
    <t>15. Nasrullah(Pak) - 26000</t>
  </si>
  <si>
    <t>15. Safeer (Eng) - 14000</t>
  </si>
  <si>
    <t>15. Hasindu(SL) - 3200</t>
  </si>
  <si>
    <t>15. Damith(SL) - 500</t>
  </si>
  <si>
    <t>15. Afsal(Italy) - 600</t>
  </si>
  <si>
    <t>16. Peter(Ind) - 1200</t>
  </si>
  <si>
    <t>16. Debajit(Ned): 6500</t>
  </si>
  <si>
    <t>16. Abdullah Ishtiaq(Qatar) - 3500</t>
  </si>
  <si>
    <t>16. Usman(Pak) - 8000</t>
  </si>
  <si>
    <t>16. Summan(Pak) - 600</t>
  </si>
  <si>
    <t>16. Mian(Pak) - 500</t>
  </si>
  <si>
    <t>16. Dipankar(Ned) - 500</t>
  </si>
  <si>
    <t>16. Ayaan(Pak) - 8500</t>
  </si>
  <si>
    <t>16. Hansana(SL) - 1300</t>
  </si>
  <si>
    <t>16. Rahul Roy(Ind) - 2200</t>
  </si>
  <si>
    <t>17. Aash(Eng) - 5000</t>
  </si>
  <si>
    <t>17. Dhurbo(Ned) - 500</t>
  </si>
  <si>
    <t>17. Suman Pradhan(Qatar) - 2000</t>
  </si>
  <si>
    <t>17. Chintu Saikia(BD) - 2000</t>
  </si>
  <si>
    <t>17. Arslan(Pak) - 6000</t>
  </si>
  <si>
    <t>17. Wafa(Pak) - 500</t>
  </si>
  <si>
    <t>17. Thilanga(SL) - 4000</t>
  </si>
  <si>
    <t>17. Diljith(Eng) - 2000</t>
  </si>
  <si>
    <t>17. Uresh(SL) - 1300</t>
  </si>
  <si>
    <t>17. Rubesh(SL) - 500</t>
  </si>
  <si>
    <t>18. Mayank(Ned) - 1200</t>
  </si>
  <si>
    <t>18. Jiha (Ned) - 3000</t>
  </si>
  <si>
    <t>18. Zohaib Khan(Qaatr) - 500</t>
  </si>
  <si>
    <t>18. Kashif(Aus) - 600</t>
  </si>
  <si>
    <t>18. Ali Bangash(Pak) - 900</t>
  </si>
  <si>
    <t>18. Sri Vishnu(Eng) - 2000</t>
  </si>
  <si>
    <t>18. Shamroz(Pak) - 30000</t>
  </si>
  <si>
    <t>18. Rahees(Eng) - 2000</t>
  </si>
  <si>
    <t>18. Rao Abul(BD) - 1300</t>
  </si>
  <si>
    <t>18. Virendra(SL) - 1600</t>
  </si>
  <si>
    <t>19. Veer Gupta(Ned) - 500</t>
  </si>
  <si>
    <t>19. Pinku(Ned) - 500</t>
  </si>
  <si>
    <t>19. Muzamil(Qatar) - 1100</t>
  </si>
  <si>
    <t>19. Midhun(WI) -2000</t>
  </si>
  <si>
    <t>19. Thebseer(Scot) - 4500</t>
  </si>
  <si>
    <t>19. Huzaifa Imran(Qatar) - 5500</t>
  </si>
  <si>
    <t>19. Deepjyothi(Ned) - 2000</t>
  </si>
  <si>
    <t>19. Rahul Gadia(Aus) - 2000</t>
  </si>
  <si>
    <t>20. Renjish(Eng) - 2000</t>
  </si>
  <si>
    <t>20. Rasith(SL) - 1300</t>
  </si>
  <si>
    <t>20. Sufyan Gujjar(Qatar) - 1100</t>
  </si>
  <si>
    <t>20. Umar Abbas(Pak) - 2000</t>
  </si>
  <si>
    <t>20. Mudasir Ali(Qatar) - 500</t>
  </si>
  <si>
    <t>20. Aneesh(Eng) - 2000</t>
  </si>
  <si>
    <t>20. Sachin(Eng) - 2000</t>
  </si>
  <si>
    <t>Chandpur Illish Titans vs Sonargaon Royals</t>
  </si>
  <si>
    <t>15th June</t>
  </si>
  <si>
    <t>Hilsha</t>
  </si>
  <si>
    <t>Chandpur Illish Titans</t>
  </si>
  <si>
    <t>Srajan (CIT)</t>
  </si>
  <si>
    <t>Gopi (CIT)</t>
  </si>
  <si>
    <t>Cumila Falcons vs Rajshahi Mango Legion</t>
  </si>
  <si>
    <t>Padma</t>
  </si>
  <si>
    <t>Cumila Falcons</t>
  </si>
  <si>
    <t>Rahul Gadia (CF)</t>
  </si>
  <si>
    <t>Arnab Sarkar (CF)</t>
  </si>
  <si>
    <t>Barisal River Riders vs Dhaka Buriganga Blazers</t>
  </si>
  <si>
    <t>16th June</t>
  </si>
  <si>
    <t>Sylhet</t>
  </si>
  <si>
    <t>Barisal River Riders</t>
  </si>
  <si>
    <t>Aash (BRR)</t>
  </si>
  <si>
    <t>Vishnu Vijay (BRR)</t>
  </si>
  <si>
    <t>Mainamati Titans vs Chittagong Mariners</t>
  </si>
  <si>
    <t>Chittagong Mariners</t>
  </si>
  <si>
    <t>Siddiqui Ahsan (CM)</t>
  </si>
  <si>
    <t>Blesson (MT)</t>
  </si>
  <si>
    <t>Marami (CM)</t>
  </si>
  <si>
    <t>Mymensingh Mavericks vs Dhaka Buriganga Blazers</t>
  </si>
  <si>
    <t>17th June</t>
  </si>
  <si>
    <t>Mymensingh Mavericks</t>
  </si>
  <si>
    <t>Adithya Mahajan (MM)</t>
  </si>
  <si>
    <t>Biswajit (MM)</t>
  </si>
  <si>
    <t>Cumila Falcons vs Chandpur Illish Titans</t>
  </si>
  <si>
    <t>Debajit (CIT)</t>
  </si>
  <si>
    <t>Rajshahi Mango Legion vs Sylhet Emerald Blades</t>
  </si>
  <si>
    <t>Mango</t>
  </si>
  <si>
    <t>Rajshahi Mango Legion</t>
  </si>
  <si>
    <t>Princhi Pratim Bora</t>
  </si>
  <si>
    <t>Bhavesh B (RML)</t>
  </si>
  <si>
    <t>Ashiqui Ashi (SEB)</t>
  </si>
  <si>
    <t>Sonargaon Royals vs Sylhet Emerald Blades</t>
  </si>
  <si>
    <t>18th June</t>
  </si>
  <si>
    <t>Karnaphuli</t>
  </si>
  <si>
    <t>Sylhet Emerald Blades</t>
  </si>
  <si>
    <t>Aniket Gavit</t>
  </si>
  <si>
    <t>Ans Sheikh (SEB)</t>
  </si>
  <si>
    <t>Ashutosh Jha (SR)</t>
  </si>
  <si>
    <t>Mainamati Titans vs Barisal River Riders</t>
  </si>
  <si>
    <t>Mainamati Titans</t>
  </si>
  <si>
    <t>Huzaifa Imran (MT)</t>
  </si>
  <si>
    <t>Shaheen (MT)</t>
  </si>
  <si>
    <t>Mymensingh Mavericks vs Chittagong Mariners</t>
  </si>
  <si>
    <t>Shivaji Prakash (CM)</t>
  </si>
  <si>
    <t>Jyothish S (MM)</t>
  </si>
  <si>
    <t>Mainamati Titans vs Cumila Falcons</t>
  </si>
  <si>
    <t>Ganesh Chunduru / Aniket Gavit</t>
  </si>
  <si>
    <t>Ashwini Verma (CF)</t>
  </si>
  <si>
    <t>Chandpur Illish Titans vs Dhaka Buriganga Blazers</t>
  </si>
  <si>
    <t>Dhaka Buriganga Blazers</t>
  </si>
  <si>
    <t>Hizbullah Sahito</t>
  </si>
  <si>
    <t>Manan Irfan (DBB)</t>
  </si>
  <si>
    <t>Shibasis (CIT)</t>
  </si>
  <si>
    <t>Sylhet Emerald Blades vs Chittagong Mariners</t>
  </si>
  <si>
    <t>Ahmed Mahsoof (SEB)</t>
  </si>
  <si>
    <t>Sonargaon Royals vs Mainamati Titans</t>
  </si>
  <si>
    <t>Safeer Babu (MT)</t>
  </si>
  <si>
    <t>Yasin Iqbal (MT)</t>
  </si>
  <si>
    <t>Ashutosh (SR)</t>
  </si>
  <si>
    <t>Dhaka Buriganga Blazers vs Sylhet Emerald Blades</t>
  </si>
  <si>
    <t>Jishnu (SEB)</t>
  </si>
  <si>
    <t>Barisal River Riders vs Rajshahi Mango Legion</t>
  </si>
  <si>
    <t>Aaiz Khan (RML)</t>
  </si>
  <si>
    <t>Midhun Manilal (RML)</t>
  </si>
  <si>
    <t>Chandpur Illish Titans vs Chittagong Mariners</t>
  </si>
  <si>
    <t xml:space="preserve">Ganesh Chunduru  </t>
  </si>
  <si>
    <t>Meer Kamran (CM)</t>
  </si>
  <si>
    <t>Cumila Falcons vs Barisal River Riders</t>
  </si>
  <si>
    <t>Keshav Shah</t>
  </si>
  <si>
    <t>Sai Naveen (BRR)</t>
  </si>
  <si>
    <t>Saketh Balne (BRR)</t>
  </si>
  <si>
    <t>Rajshahi Mango Legion vs Mymensingh Mavericks</t>
  </si>
  <si>
    <t>Rizwan Mansoori (MM)</t>
  </si>
  <si>
    <t>Deepjyoti (MM)</t>
  </si>
  <si>
    <t>Mahesh Margol (RML)</t>
  </si>
  <si>
    <t>Franchise League IPL Registration &amp; all team Players 2026</t>
  </si>
  <si>
    <t>India (Home)</t>
  </si>
  <si>
    <t>1. Akshay Varnam</t>
  </si>
  <si>
    <t xml:space="preserve">1. Rizwan Mansoori </t>
  </si>
  <si>
    <t xml:space="preserve">1. Sri Vishnu </t>
  </si>
  <si>
    <t>1. Shibili</t>
  </si>
  <si>
    <t>2. Rahul Sharma</t>
  </si>
  <si>
    <t>2. Princhi Pratim Bora</t>
  </si>
  <si>
    <t>2. Akhil Viratian</t>
  </si>
  <si>
    <t>2. Ajith</t>
  </si>
  <si>
    <t>2. Muhammad Ahmed</t>
  </si>
  <si>
    <t>2. Amjith</t>
  </si>
  <si>
    <t>2. Ali Abbas Bangash</t>
  </si>
  <si>
    <t>3. Rince Thomas</t>
  </si>
  <si>
    <t>3. Naveen</t>
  </si>
  <si>
    <t>3. Ebad Malik</t>
  </si>
  <si>
    <t>3. Ashith</t>
  </si>
  <si>
    <t>3. Aash Muhammed</t>
  </si>
  <si>
    <t>3. Girish Ranjan</t>
  </si>
  <si>
    <t>3. Ashish Anandhu</t>
  </si>
  <si>
    <t>4. Debasish Borgohain</t>
  </si>
  <si>
    <t>4. Chintu Saikia</t>
  </si>
  <si>
    <t>4. Hrushikesh HD</t>
  </si>
  <si>
    <t>4. Mudasir Ali</t>
  </si>
  <si>
    <t>4. Asthu</t>
  </si>
  <si>
    <t>4. Ganesh Chunduru</t>
  </si>
  <si>
    <t>4. Ameen</t>
  </si>
  <si>
    <t xml:space="preserve">5. Jihan Omar Fokir </t>
  </si>
  <si>
    <t>5. Abrar Ahmed</t>
  </si>
  <si>
    <t>5. Akshay</t>
  </si>
  <si>
    <t>5. Huzaifa Kaukawala</t>
  </si>
  <si>
    <t>5. Chappy</t>
  </si>
  <si>
    <t>5. Muhammad Shahzad</t>
  </si>
  <si>
    <t>5. K Rakesh</t>
  </si>
  <si>
    <t>5. Vipin R</t>
  </si>
  <si>
    <t>5. Ahmed Mahsoof</t>
  </si>
  <si>
    <t>6. Deepjyoti Talukdar</t>
  </si>
  <si>
    <t>6. Alaphan Das</t>
  </si>
  <si>
    <t>6. Albin</t>
  </si>
  <si>
    <t>6. Karthik Devadiga</t>
  </si>
  <si>
    <t>6. Saad Rizwan</t>
  </si>
  <si>
    <t>6. Blesson</t>
  </si>
  <si>
    <t>6. Renjish</t>
  </si>
  <si>
    <t>6. Kamlesh Choudhary</t>
  </si>
  <si>
    <t>6. Kannan Balakrishnan</t>
  </si>
  <si>
    <t>6. Peter John</t>
  </si>
  <si>
    <t>7. Alii Akbor Ahmed</t>
  </si>
  <si>
    <t>7. Anu Aeshan</t>
  </si>
  <si>
    <t>7. Anandhu Reddy</t>
  </si>
  <si>
    <t>7. Nithin Poojary</t>
  </si>
  <si>
    <t>7. Muzammil Zafar</t>
  </si>
  <si>
    <t>7. Ershad</t>
  </si>
  <si>
    <t>7. Achuz Sukumaran</t>
  </si>
  <si>
    <t>7. Ayaan Sheikh</t>
  </si>
  <si>
    <t>7. Mahi Mahendra</t>
  </si>
  <si>
    <t>7. Hari</t>
  </si>
  <si>
    <t>7. Pradeesh P</t>
  </si>
  <si>
    <t>8. Pinku Bordoloi</t>
  </si>
  <si>
    <t>8. Asad KB</t>
  </si>
  <si>
    <t>8. Appu</t>
  </si>
  <si>
    <t>8. Pratyush Mishra</t>
  </si>
  <si>
    <t>8. SV</t>
  </si>
  <si>
    <t>8. Hari M</t>
  </si>
  <si>
    <t>8. Rohit</t>
  </si>
  <si>
    <t>8. Hizbullah Sahito</t>
  </si>
  <si>
    <t>8. Manish Kumar</t>
  </si>
  <si>
    <t>8. Ruwanga Bandarawaththa</t>
  </si>
  <si>
    <t>8. George</t>
  </si>
  <si>
    <t>8. Raheem K</t>
  </si>
  <si>
    <t>9. Kiran Nath</t>
  </si>
  <si>
    <t xml:space="preserve">9. Bhagrab Kashyap </t>
  </si>
  <si>
    <t>9. Vishnu Vijay</t>
  </si>
  <si>
    <t>9. Ramith Acharya</t>
  </si>
  <si>
    <t>9. Aman Raj Singh</t>
  </si>
  <si>
    <t>9. Salimax</t>
  </si>
  <si>
    <t>9. Abrar Ali</t>
  </si>
  <si>
    <t>9. Abhijith</t>
  </si>
  <si>
    <t>9. Muhammad Ali</t>
  </si>
  <si>
    <t>9. Parth Inamdar</t>
  </si>
  <si>
    <t>9. Uresh Gnananga</t>
  </si>
  <si>
    <t>9. Ashwin Thomas</t>
  </si>
  <si>
    <t>9. Rahman SN</t>
  </si>
  <si>
    <t>10. Bimal Baral</t>
  </si>
  <si>
    <t>10. Ghamshad Kapri</t>
  </si>
  <si>
    <t>10. Sanan Abrar</t>
  </si>
  <si>
    <t>10. Sufyan Yaqoob Gujjar</t>
  </si>
  <si>
    <t>10. Shaheen</t>
  </si>
  <si>
    <t>10. Diljith Das</t>
  </si>
  <si>
    <t>10. Wajdan</t>
  </si>
  <si>
    <t>10. Rahul Mohapatra</t>
  </si>
  <si>
    <t>10. Rahul Suresh</t>
  </si>
  <si>
    <t>10. Rajeev</t>
  </si>
  <si>
    <t>11. Jahirul Hoque</t>
  </si>
  <si>
    <t>11. Gaurav Mittal</t>
  </si>
  <si>
    <t>11. Arjun</t>
  </si>
  <si>
    <t>11. Tukaram Parabat</t>
  </si>
  <si>
    <t>11. Shukoor</t>
  </si>
  <si>
    <t>11. Sachin P</t>
  </si>
  <si>
    <t>11. Muhammad Ahmad</t>
  </si>
  <si>
    <t>11. Rakshith Raksh</t>
  </si>
  <si>
    <t>11. Damith Nandana</t>
  </si>
  <si>
    <t>11. Nihal Maxi</t>
  </si>
  <si>
    <t>11. Robert John</t>
  </si>
  <si>
    <t>12. Bishwajit Dutta</t>
  </si>
  <si>
    <t>12. Hafiz</t>
  </si>
  <si>
    <t>12. Vishnu CV</t>
  </si>
  <si>
    <t>12. Vikas Acharya</t>
  </si>
  <si>
    <t>12. Thebseer</t>
  </si>
  <si>
    <t>12. Kashif Ramzan</t>
  </si>
  <si>
    <t>12. Nisham</t>
  </si>
  <si>
    <t>12. Mian Bilal</t>
  </si>
  <si>
    <t>12. Kavinda Gihan</t>
  </si>
  <si>
    <t>12. Arjun S Kumar</t>
  </si>
  <si>
    <t>12. Sanjith</t>
  </si>
  <si>
    <t>13. Veer Gupta</t>
  </si>
  <si>
    <t>13. Harsh Dubey</t>
  </si>
  <si>
    <t>13. Haseeb</t>
  </si>
  <si>
    <t>13. Yashwanth Yash</t>
  </si>
  <si>
    <t>13. Zuhair</t>
  </si>
  <si>
    <t>13. Chiranjibi Samal</t>
  </si>
  <si>
    <t>13. Karthik Verma</t>
  </si>
  <si>
    <t>13. Wafa Baloch</t>
  </si>
  <si>
    <t>13. Shibasis Nayak</t>
  </si>
  <si>
    <t>13. Sasith Jayawardena</t>
  </si>
  <si>
    <t>13. Frijo Thomas</t>
  </si>
  <si>
    <t>14. Rishi Raj</t>
  </si>
  <si>
    <t>14. Karan Kumar</t>
  </si>
  <si>
    <t>14. Huzain</t>
  </si>
  <si>
    <t>14. Ankan Biswas</t>
  </si>
  <si>
    <t>14. Ghamshad Baloch</t>
  </si>
  <si>
    <t>14. Shiva Teja</t>
  </si>
  <si>
    <t>14. Ajmal Sunaif</t>
  </si>
  <si>
    <t>15. Marami Ahmed</t>
  </si>
  <si>
    <t>15. Manan Irfan</t>
  </si>
  <si>
    <t>15. Hybi Anil</t>
  </si>
  <si>
    <t>Scotland Emerging</t>
  </si>
  <si>
    <t>15. Anand Ajikumar</t>
  </si>
  <si>
    <t>England Emerging</t>
  </si>
  <si>
    <t>15. Haniya Islam</t>
  </si>
  <si>
    <t>15. Susheel Teja</t>
  </si>
  <si>
    <t>15. Thilina Jayarathna</t>
  </si>
  <si>
    <t>15. Josin JR</t>
  </si>
  <si>
    <t>16. Meer Kamran</t>
  </si>
  <si>
    <t>16. Vipin Venu</t>
  </si>
  <si>
    <t>1. Ajin P Anil</t>
  </si>
  <si>
    <t>16. Farhan Mohammad</t>
  </si>
  <si>
    <t>16. Srinidhi K</t>
  </si>
  <si>
    <t>16. Binara Udayanga</t>
  </si>
  <si>
    <t>17. Muhammad Huzaifa</t>
  </si>
  <si>
    <t>17. Sanazil</t>
  </si>
  <si>
    <t>Newzealand Emerging</t>
  </si>
  <si>
    <t>2. Amal</t>
  </si>
  <si>
    <t>17. Zeeshan Yaqoob Gujjar</t>
  </si>
  <si>
    <t>17. Nouraiz Abbas</t>
  </si>
  <si>
    <t>West Indies Emerging</t>
  </si>
  <si>
    <t>18. Rahees Ashiq</t>
  </si>
  <si>
    <t>18. Shuhaib</t>
  </si>
  <si>
    <t>3. Ansar</t>
  </si>
  <si>
    <t>18. Anik dey shanto</t>
  </si>
  <si>
    <t>18. Moiz Mohsin</t>
  </si>
  <si>
    <t>19. Rajab Baloch</t>
  </si>
  <si>
    <t xml:space="preserve">2. Abu Shahzan </t>
  </si>
  <si>
    <t>4. Jasheer V</t>
  </si>
  <si>
    <t>19. Keshav Shah</t>
  </si>
  <si>
    <t>4. Amith</t>
  </si>
  <si>
    <t>19. Iqra Batool</t>
  </si>
  <si>
    <t>South Africa Emerging</t>
  </si>
  <si>
    <t>20. Rao Abul</t>
  </si>
  <si>
    <t>5. Shinu</t>
  </si>
  <si>
    <t>20. Anand Kumar</t>
  </si>
  <si>
    <t>20. Sidra</t>
  </si>
  <si>
    <t>3. Jaseel</t>
  </si>
  <si>
    <t>21. Sajjad Kapri</t>
  </si>
  <si>
    <t>6. Sufaid</t>
  </si>
  <si>
    <t>2. Rakshith Shetty</t>
  </si>
  <si>
    <t>4. Vignhesh Suresh</t>
  </si>
  <si>
    <t>22. Siddiqui Ahsan</t>
  </si>
  <si>
    <t>7. Yadhu</t>
  </si>
  <si>
    <t>23. Vaibhav Batra</t>
  </si>
  <si>
    <t>Franchise League IPL All TEAMS</t>
  </si>
  <si>
    <t>1. Athif Basheer K (C-Ind)</t>
  </si>
  <si>
    <t>1. Rahul Seenu (C-Ind)</t>
  </si>
  <si>
    <t>1. Anshad (C-Ind)</t>
  </si>
  <si>
    <t>1. Jana CP(C-Ind)</t>
  </si>
  <si>
    <t>1. Ram Thakkar (C-NZ)</t>
  </si>
  <si>
    <t>1. Irshad Bekal (C-Scot)</t>
  </si>
  <si>
    <t>1. Harish Byndoor (C-Ind)</t>
  </si>
  <si>
    <t>1. Shivaji (C-Ind)</t>
  </si>
  <si>
    <t>1. Farhan (C-Ind)</t>
  </si>
  <si>
    <t>1. Rahul Roy (C-Ind)</t>
  </si>
  <si>
    <t>2. Kishore Gowda (M-NZ)</t>
  </si>
  <si>
    <t>2. Gopikrishnan SV(M-Ind)</t>
  </si>
  <si>
    <t>2. Aniket (M-NZ)</t>
  </si>
  <si>
    <t>2. Zarnish Saira(M-Pak)</t>
  </si>
  <si>
    <t>2. Gautam (M-NZ)</t>
  </si>
  <si>
    <t>2. Jishnu(M-Scot)</t>
  </si>
  <si>
    <t>2. Hasan (M-NZ)</t>
  </si>
  <si>
    <t>2. Arnab (M-Aus)</t>
  </si>
  <si>
    <t>2. Hashir (M-Scot)</t>
  </si>
  <si>
    <t>2. Toby Joseph(M-NZ)</t>
  </si>
  <si>
    <t>3. Mahesh Margol(DS-NZ)</t>
  </si>
  <si>
    <t>3. Suhyl(DS-Qatar)</t>
  </si>
  <si>
    <t>3. Yasin(DS-BD)</t>
  </si>
  <si>
    <t>3. Shamroz(DS-Pak)</t>
  </si>
  <si>
    <t>3. Ashutosh (DS-BD-NZ)</t>
  </si>
  <si>
    <t>3. Ashiqui(DS-Scot)</t>
  </si>
  <si>
    <t>3. Srajan (DS-NZ)</t>
  </si>
  <si>
    <t>3. Kebin(DS-Scot)</t>
  </si>
  <si>
    <t>3. Siddharth (DS-SA)</t>
  </si>
  <si>
    <t>3. Subaida Subi(DS-Italy)</t>
  </si>
  <si>
    <t>4. Abhishek(Ind) - 21000</t>
  </si>
  <si>
    <t>4. Robert John (Ind) - 9500</t>
  </si>
  <si>
    <t>4. Sanjith(Ind) - 5500</t>
  </si>
  <si>
    <t>4. Rajeev (Ind) - 6500</t>
  </si>
  <si>
    <t>4. Anik(Aus) - 1000</t>
  </si>
  <si>
    <t>4. Harsh (Aus) - 18000</t>
  </si>
  <si>
    <t>4. Anurag (Aus) - 9000</t>
  </si>
  <si>
    <t>4. Rahul(Aus) - 40000</t>
  </si>
  <si>
    <t>4. Sunaif(Eng) - 1000</t>
  </si>
  <si>
    <t>4. Peter John(Ind) - 20000</t>
  </si>
  <si>
    <t>5. Ankan(Aus) - 6000</t>
  </si>
  <si>
    <t>5. Abin(Ind) - 35000</t>
  </si>
  <si>
    <t>5. Manish(Aus) - 20000</t>
  </si>
  <si>
    <t>5. Asru(Ind) - 15000</t>
  </si>
  <si>
    <t>5. Rizwan (Aus) - 40000</t>
  </si>
  <si>
    <t>5. Afsal(Italy) - 1000</t>
  </si>
  <si>
    <t>5. Waqas(Aus) - 49000</t>
  </si>
  <si>
    <t>5. Abrar(Aus) - 35000</t>
  </si>
  <si>
    <t>5. Ajmal (WI) - 9000</t>
  </si>
  <si>
    <t>5. Safeer Babu(Eng) - 14000</t>
  </si>
  <si>
    <t>6. Achuz(Eng) - 11000</t>
  </si>
  <si>
    <t>6. Raheem (Ind) - 6000</t>
  </si>
  <si>
    <t>6. Sujith CS(Eng) - 22000</t>
  </si>
  <si>
    <t>6. Mahsoof(Ind) -17000</t>
  </si>
  <si>
    <t>6. Diljith(Eng) - 16000</t>
  </si>
  <si>
    <t>6. Amjith(Scot) - 27000</t>
  </si>
  <si>
    <t>6. Shibil (WI) - 10000</t>
  </si>
  <si>
    <t>6. Ashwini(Aus) - 4500</t>
  </si>
  <si>
    <t>6. Ahmed(Pak) - 3000</t>
  </si>
  <si>
    <t>6. Frijo(WI) - 3000</t>
  </si>
  <si>
    <t>7. Ameen(WI) - 29000</t>
  </si>
  <si>
    <t>7. Pradeesh (Ind) - 7000</t>
  </si>
  <si>
    <t>7. Abhijith(Eng) - 3500</t>
  </si>
  <si>
    <t>7. George(WI) - 4000</t>
  </si>
  <si>
    <t>7. Rahees(Eng) - 9000</t>
  </si>
  <si>
    <t>7. Ansar(Scot) - 15000</t>
  </si>
  <si>
    <t>7. Vishnu CV(Italy) - 6500</t>
  </si>
  <si>
    <t>7. Noor(Aus) - 5500</t>
  </si>
  <si>
    <t>7. Haniya(Pak) - 1000</t>
  </si>
  <si>
    <t>7. Vipin(WI) - 1000</t>
  </si>
  <si>
    <t>8. Kannan(WI) - 1000</t>
  </si>
  <si>
    <t>8. Arjun Akj(Aus) - 11000</t>
  </si>
  <si>
    <t>8. Rince (Italy) - 1000</t>
  </si>
  <si>
    <t>8. Mowglee(WI) - 37000</t>
  </si>
  <si>
    <t>8. Karthik(Eng) - 4000</t>
  </si>
  <si>
    <t>8. Jasheer(Scot) - 1000</t>
  </si>
  <si>
    <t>8. Biswajit(ND) - 4000</t>
  </si>
  <si>
    <t>8. Zeeshan(Aus) - 1000</t>
  </si>
  <si>
    <t>8. Shinu(Scot) - 18000</t>
  </si>
  <si>
    <t>8. Sreeraj(WI) - 13000</t>
  </si>
  <si>
    <t>9. Abhilash(WI) - 7000</t>
  </si>
  <si>
    <t>9. Malaram(Aus) - 26000</t>
  </si>
  <si>
    <t>9. Mian (Pak) - 1000</t>
  </si>
  <si>
    <t>9. Vishnu Vijay(Italy) - 25000</t>
  </si>
  <si>
    <t>9. Deepjyoti(ND) - 1000</t>
  </si>
  <si>
    <t>9. Amal(Scot) - 1000</t>
  </si>
  <si>
    <t>9. Debajit(ND) - 12000</t>
  </si>
  <si>
    <t>9. Anand(Aus) - 7500</t>
  </si>
  <si>
    <t>9. Asthu(Scot) - 35000</t>
  </si>
  <si>
    <t>9. Huzain(Italy) - 11000</t>
  </si>
  <si>
    <t>10. Marami(ND) - 25000</t>
  </si>
  <si>
    <t>10. Keshav (Aus) - 20000</t>
  </si>
  <si>
    <t>10. Ganesh(Pak) - 21000</t>
  </si>
  <si>
    <t>10. Sanazil(Italy) - 7000</t>
  </si>
  <si>
    <t>10. Rahul(ND) - 1000</t>
  </si>
  <si>
    <t>10. Hari(Scot) - 27000</t>
  </si>
  <si>
    <t>10. Hrushikesh(NZ) - 37000</t>
  </si>
  <si>
    <t>10. Shajahan(Eng) - 1000</t>
  </si>
  <si>
    <t>10. Zuhair(Scot) - 2000</t>
  </si>
  <si>
    <t>10. Arjun(Italy) - 1000</t>
  </si>
  <si>
    <t>11. Tukaram(NZ) - 47000</t>
  </si>
  <si>
    <t>11. Chiranjibi(Aus) - 27000</t>
  </si>
  <si>
    <t>11. Nasrullah(Pak) - 13000</t>
  </si>
  <si>
    <t>11. Hybi Anil(Italy) - 18000</t>
  </si>
  <si>
    <t>11. Hirak(ND) - 1000</t>
  </si>
  <si>
    <t>11. Blesson(Scot) - 36000</t>
  </si>
  <si>
    <t>11. Raksh(SA) - 5000</t>
  </si>
  <si>
    <t>11. Aash(Eng) - 31000</t>
  </si>
  <si>
    <t>11. Ashith(Scot) - 15000</t>
  </si>
  <si>
    <t>11. Akhil(Italy) - 9000</t>
  </si>
  <si>
    <t>12. Ashwini(NZ) - 1000</t>
  </si>
  <si>
    <t>12. Anand Kumar(Aus) - 8000</t>
  </si>
  <si>
    <t>12. Kaushik(SA) - 10000</t>
  </si>
  <si>
    <t>12. Iqra(Pak) - 1000</t>
  </si>
  <si>
    <t>12. Adithya(SA) - Trade (41k)</t>
  </si>
  <si>
    <t>12. Sufaid(Scot) - 1000</t>
  </si>
  <si>
    <t>12. Rakesh(SA) - 21000</t>
  </si>
  <si>
    <t>12. Sri Vishnu(Eng) - 1000</t>
  </si>
  <si>
    <t>12. Thebseer(Scot) - 19000</t>
  </si>
  <si>
    <t>12. Shuhaib(Italy) - 1000</t>
  </si>
  <si>
    <t>13. Karthik(NZ) - 1000</t>
  </si>
  <si>
    <t>13. Renjish(Eng) - 11000</t>
  </si>
  <si>
    <t>13. Rasith(SL) - 10000</t>
  </si>
  <si>
    <t>13. Sidra(Pak) - 1500</t>
  </si>
  <si>
    <t>13. Kamlesh(SA) - 12000</t>
  </si>
  <si>
    <t>13. Akshay(Scot) - 4000</t>
  </si>
  <si>
    <t>13. Hasindu(SL) - 6500</t>
  </si>
  <si>
    <t>13. Ashwin(WI) - 3500</t>
  </si>
  <si>
    <t>13. Mahi(SA) - 9000</t>
  </si>
  <si>
    <t>13. Ajith(NZ) - 20000</t>
  </si>
  <si>
    <t>14. Ayaan(Pak) - 1000</t>
  </si>
  <si>
    <t>14. Vignesh(WI) - 1000</t>
  </si>
  <si>
    <t>14. Huzaifa(Qatar) - 1000</t>
  </si>
  <si>
    <t>14. Shukoor(Scot) - 6500</t>
  </si>
  <si>
    <t>14. Shiva(SA) - 1000</t>
  </si>
  <si>
    <t>14. Shaheen(Scot) - 15000</t>
  </si>
  <si>
    <t>14. Vaibhav(BD) - 10000</t>
  </si>
  <si>
    <t>14. Rahul(WI) - 3000</t>
  </si>
  <si>
    <t>14. Saketh(SA) - 17000</t>
  </si>
  <si>
    <t>14. Yeshwanth(NZ) - 9000</t>
  </si>
  <si>
    <t>15. Saad (Qatar) - 15000</t>
  </si>
  <si>
    <t>15. Nihal(WI) - 9000</t>
  </si>
  <si>
    <t>15. Ashish(India) - 28500</t>
  </si>
  <si>
    <t>15. Damitha N (SL) - 21000</t>
  </si>
  <si>
    <t>15. Shibasis(SA) - 5000</t>
  </si>
  <si>
    <t>15. Adarsh(Scot) - 1000</t>
  </si>
  <si>
    <t>15. Huzaifa(BD) - 5000</t>
  </si>
  <si>
    <t>15. Hizbullah(Pak) - 25000</t>
  </si>
  <si>
    <t>15. Bhavin(SA) - 24000</t>
  </si>
  <si>
    <t>15. Nithin(NZ) - 19000</t>
  </si>
  <si>
    <t>16. Ahmed(Qatar) - 2000</t>
  </si>
  <si>
    <t>16. Azeem(NZ) - 1000</t>
  </si>
  <si>
    <t>16. Bhargab(BD) - 1000</t>
  </si>
  <si>
    <t>16. Rahman (IND) - 8500</t>
  </si>
  <si>
    <t>16. Thilanga(SL) - 12000</t>
  </si>
  <si>
    <t>16. Yadhu(Scot) - 1000</t>
  </si>
  <si>
    <t>16. Bibin (WI) - FA</t>
  </si>
  <si>
    <t>16. Aaiz(Pak) - 2000</t>
  </si>
  <si>
    <t>16. Srinidhi(SA) - 8500</t>
  </si>
  <si>
    <t>16. Hansana(SL) - 1000</t>
  </si>
  <si>
    <t>17. SV (Qatar) - 1000</t>
  </si>
  <si>
    <t>17. Ebad(Qatar) - 1000</t>
  </si>
  <si>
    <t>17. Ahsan(BD) - 29000</t>
  </si>
  <si>
    <t>17. Farhan(Pak) - 1000</t>
  </si>
  <si>
    <t>17. Gaurav(BD) - 1000</t>
  </si>
  <si>
    <t>17. Salimax(Scot) - 7000</t>
  </si>
  <si>
    <t>17. Shahzad(Aus) - FA</t>
  </si>
  <si>
    <t>17. Ans Sheikh(Qatar) - 14000</t>
  </si>
  <si>
    <t>17. Rahul(SA) - 8500</t>
  </si>
  <si>
    <t>17. Kavinda(SL) - 1000</t>
  </si>
  <si>
    <t>18. Ershad(Scot) - 1000</t>
  </si>
  <si>
    <t>18. Rohit Patel(Aus) - FA</t>
  </si>
  <si>
    <t>18. Princhi(BD) - 8500</t>
  </si>
  <si>
    <t>18. Mohd Ali(Pak) - 1000</t>
  </si>
  <si>
    <t>18. Sai(BD) - 30000</t>
  </si>
  <si>
    <t>18. Bhavesh(SA) - 20000</t>
  </si>
  <si>
    <t>18. Adarsh (NZ) - FA</t>
  </si>
  <si>
    <t>18. Rao Abul(Qatar) - 1000</t>
  </si>
  <si>
    <t>18. Meer(BD) - FA</t>
  </si>
  <si>
    <t>18. Sasith(SL) - 12000</t>
  </si>
  <si>
    <t>MI vs LSG</t>
  </si>
  <si>
    <t>5th July</t>
  </si>
  <si>
    <t>MI</t>
  </si>
  <si>
    <t>Bhavesh B (MI)</t>
  </si>
  <si>
    <t>Blesson Devassi (MI)</t>
  </si>
  <si>
    <t>CSK vs KKR</t>
  </si>
  <si>
    <t>KKR</t>
  </si>
  <si>
    <t>Jana CP (KKR)</t>
  </si>
  <si>
    <t>Karthik Devadiga (CSK)</t>
  </si>
  <si>
    <t>RCB vs DC</t>
  </si>
  <si>
    <t>DC</t>
  </si>
  <si>
    <t>Keshav Shah (DC)</t>
  </si>
  <si>
    <t>Abin (DC)</t>
  </si>
  <si>
    <t>PBKS vs RR</t>
  </si>
  <si>
    <t>Sher-e-Punjab</t>
  </si>
  <si>
    <t>RR</t>
  </si>
  <si>
    <t>Anand Ajikumar (RR)</t>
  </si>
  <si>
    <t>Harish Byndoor (PBKS)</t>
  </si>
  <si>
    <t>SRH vs GT</t>
  </si>
  <si>
    <t xml:space="preserve">Royal Deccan </t>
  </si>
  <si>
    <t>GT</t>
  </si>
  <si>
    <t>Kaushik Kalita (GT)</t>
  </si>
  <si>
    <t>Toby Joseph (SRH)</t>
  </si>
  <si>
    <t>MI vs KKR</t>
  </si>
  <si>
    <t>6th July</t>
  </si>
  <si>
    <t>Damitha N (KKR)</t>
  </si>
  <si>
    <t>Amal (MI)</t>
  </si>
  <si>
    <t>PBKS vs LSG</t>
  </si>
  <si>
    <t>LSG</t>
  </si>
  <si>
    <t>Sai Naveen (LSG)</t>
  </si>
  <si>
    <t>Shibil (PBKS)</t>
  </si>
  <si>
    <t>Waqas Mughal (PKBS)</t>
  </si>
  <si>
    <t>RCB vs GT</t>
  </si>
  <si>
    <t>Siddiqui Ahsan (GT)</t>
  </si>
  <si>
    <t>DC vs RR</t>
  </si>
  <si>
    <t>7th July</t>
  </si>
  <si>
    <t>Imperial Capital</t>
  </si>
  <si>
    <t>Ump: Jana, SC: Arnab</t>
  </si>
  <si>
    <t>Abrar Ali (RR)</t>
  </si>
  <si>
    <t>Ebad Malik (DC)</t>
  </si>
  <si>
    <t>Chiranjibi Samal (DC)</t>
  </si>
  <si>
    <t>CSK vs SRH</t>
  </si>
  <si>
    <t>CSK</t>
  </si>
  <si>
    <t>Ashwini Raam (CSK)</t>
  </si>
  <si>
    <t>Yeshwanth Chinni (SRH)</t>
  </si>
  <si>
    <t>Im Ameen (CSK)</t>
  </si>
  <si>
    <t>MI vs PBKS</t>
  </si>
  <si>
    <t>PBKS</t>
  </si>
  <si>
    <t>Hasan Musabbir (PBKS)</t>
  </si>
  <si>
    <t>Harsh Dubey (MI)</t>
  </si>
  <si>
    <t>CSK vs GT</t>
  </si>
  <si>
    <t>8th July</t>
  </si>
  <si>
    <t>Bhargab Kashyap (GT)</t>
  </si>
  <si>
    <t>Ahsan Siddiqui (GT)</t>
  </si>
  <si>
    <t>RCB vs RR</t>
  </si>
  <si>
    <t>Ashwini Verma (RR)</t>
  </si>
  <si>
    <t>Asthu Mohammed (RCB)</t>
  </si>
  <si>
    <t xml:space="preserve">KKR vs SRH </t>
  </si>
  <si>
    <t>SRH</t>
  </si>
  <si>
    <t>Rahul Roy (SRH)</t>
  </si>
  <si>
    <t>Sanazil (KKR)</t>
  </si>
  <si>
    <t>Shamroz (KKR)</t>
  </si>
  <si>
    <t>DC vs LSG</t>
  </si>
  <si>
    <t>9th July</t>
  </si>
  <si>
    <t>Rahul Seenu (DC)</t>
  </si>
  <si>
    <t>KKR vs PBKS</t>
  </si>
  <si>
    <t>Srajan Poojari (PBKS)</t>
  </si>
  <si>
    <t>Rahman SN (KKR)</t>
  </si>
  <si>
    <t xml:space="preserve">CSK vs RR </t>
  </si>
  <si>
    <t>Kishore Gowda (CSK)</t>
  </si>
  <si>
    <t xml:space="preserve">RCB vs LSG </t>
  </si>
  <si>
    <t>10th July</t>
  </si>
  <si>
    <t>Ashutosh Jha (LSG)</t>
  </si>
  <si>
    <t>Bhavin Kumar (RCB)</t>
  </si>
  <si>
    <t>MI vs DC</t>
  </si>
  <si>
    <t>Akshay Varnam (MI)</t>
  </si>
  <si>
    <t>Hari M (MI)</t>
  </si>
  <si>
    <t>SRH vs PBKS</t>
  </si>
  <si>
    <t>Subaida Subi (SRH)</t>
  </si>
  <si>
    <t>Debajit (PBKS)</t>
  </si>
  <si>
    <t>MI vs CSK</t>
  </si>
  <si>
    <t>11th July</t>
  </si>
  <si>
    <t>Achuz Sukumaran (CSK)</t>
  </si>
  <si>
    <t>Mahesh Margol (CSK)</t>
  </si>
  <si>
    <t>Irshad Bekal (MI)</t>
  </si>
  <si>
    <t>RCB vs KKR</t>
  </si>
  <si>
    <t>RCB</t>
  </si>
  <si>
    <t>Shukoor (KKR)</t>
  </si>
  <si>
    <t>DC vs PBKS</t>
  </si>
  <si>
    <t>Anurag Raj (PBKS)</t>
  </si>
  <si>
    <t>Nihal (DC)</t>
  </si>
  <si>
    <t>RR vs SRH</t>
  </si>
  <si>
    <t>Abhishek</t>
  </si>
  <si>
    <t>Hizbullah Sahito (RR)</t>
  </si>
  <si>
    <t>Aash Mohammad (RR)</t>
  </si>
  <si>
    <t>GT vs LSG</t>
  </si>
  <si>
    <t>Aniket Gavit (GT)</t>
  </si>
  <si>
    <t>Anshad P (GT)</t>
  </si>
  <si>
    <t>MI vs RCB</t>
  </si>
  <si>
    <t>12th July</t>
  </si>
  <si>
    <t>CSK vs PBKS</t>
  </si>
  <si>
    <t>Marami Ahmed (CSK)</t>
  </si>
  <si>
    <t>Abhishek (CSK)</t>
  </si>
  <si>
    <t>DC vs SRH</t>
  </si>
  <si>
    <t>Athif Basheer</t>
  </si>
  <si>
    <t>RR vs LSG</t>
  </si>
  <si>
    <t>Robert John</t>
  </si>
  <si>
    <t>Rahul Gadia (RR)</t>
  </si>
  <si>
    <t>Rao Abul (RR)</t>
  </si>
  <si>
    <t>DC vs GT</t>
  </si>
  <si>
    <t>13th July</t>
  </si>
  <si>
    <t>Ebad Malik (GT)</t>
  </si>
  <si>
    <t>CSK vs RCB</t>
  </si>
  <si>
    <t>Srinidhi K (RCB)</t>
  </si>
  <si>
    <t>KKR vs LSG</t>
  </si>
  <si>
    <t>Mowglee (KKR)</t>
  </si>
  <si>
    <t>MI vs SRH</t>
  </si>
  <si>
    <t>14th July</t>
  </si>
  <si>
    <t>GT vs RR</t>
  </si>
  <si>
    <t>Aash Muhammad (RR)</t>
  </si>
  <si>
    <t>Sujith CS Ctr (GT)</t>
  </si>
  <si>
    <t>Ashish Anandhu (GT)</t>
  </si>
  <si>
    <t>CSK vs LSG</t>
  </si>
  <si>
    <t>Ahmed Mughal (CSK)</t>
  </si>
  <si>
    <t>MI vs GT</t>
  </si>
  <si>
    <t>15th July</t>
  </si>
  <si>
    <t>Shaheen (MI)</t>
  </si>
  <si>
    <t>RCB vs PBKS</t>
  </si>
  <si>
    <t>Farhan (RCB)</t>
  </si>
  <si>
    <t>Saketh Balne (RCB)</t>
  </si>
  <si>
    <t>KKR vs DC</t>
  </si>
  <si>
    <t>Raheem Ek (DC)</t>
  </si>
  <si>
    <t>MI vs RR</t>
  </si>
  <si>
    <t>16th July</t>
  </si>
  <si>
    <t>Sri Vishnu (RR)</t>
  </si>
  <si>
    <t>Arnab Sarkar (RR)</t>
  </si>
  <si>
    <t>CSK vs DC</t>
  </si>
  <si>
    <t>Renjish Punalur (DC)</t>
  </si>
  <si>
    <t>SRH vs LSG</t>
  </si>
  <si>
    <t>Adithya Mahajan (LSG)</t>
  </si>
  <si>
    <t>KKR vs GT</t>
  </si>
  <si>
    <t>Yasin Iqbal (GT)</t>
  </si>
  <si>
    <t>RCB vs SRH</t>
  </si>
  <si>
    <t>17th July</t>
  </si>
  <si>
    <t>Srinidhi (RCB)</t>
  </si>
  <si>
    <t>Ahmed (RCB)</t>
  </si>
  <si>
    <t>KKR vs RR</t>
  </si>
  <si>
    <t>GT vs PBKS</t>
  </si>
  <si>
    <t>K Rakesh (PBKS)</t>
  </si>
  <si>
    <t>Q1: RR vs CSK</t>
  </si>
  <si>
    <t>18th July</t>
  </si>
  <si>
    <t>Sree Padmanabha</t>
  </si>
  <si>
    <t>Athif Basheer (CSK)</t>
  </si>
  <si>
    <t>E: GT vs KKR</t>
  </si>
  <si>
    <t>Ethernal Coliseum</t>
  </si>
  <si>
    <t>Q2: CSK vs KKR</t>
  </si>
  <si>
    <t>19th July</t>
  </si>
  <si>
    <t>Final: RR vs KKR</t>
  </si>
  <si>
    <t>20th July</t>
  </si>
  <si>
    <t>Jannat Wadi</t>
  </si>
  <si>
    <t>IOCF Indian Premier League 2026 AWARDS</t>
  </si>
  <si>
    <t>West Indies (Home)</t>
  </si>
  <si>
    <t>1. Asru Ksd</t>
  </si>
  <si>
    <t xml:space="preserve">1. Aditya Mahajan </t>
  </si>
  <si>
    <t xml:space="preserve">1. Ans Sheikh </t>
  </si>
  <si>
    <t>1. Shahzad</t>
  </si>
  <si>
    <t>1. Hasan Musabbir</t>
  </si>
  <si>
    <t>1. Anadhan</t>
  </si>
  <si>
    <t>2. Abhishek Anil</t>
  </si>
  <si>
    <t>2. Suhyl Muhammad</t>
  </si>
  <si>
    <t>2. Daniyal Sheikh</t>
  </si>
  <si>
    <t>2. Amith Kumar</t>
  </si>
  <si>
    <t>2. Falah</t>
  </si>
  <si>
    <t>3. Akhil Viratian</t>
  </si>
  <si>
    <t>3. Hizbullah Sahito</t>
  </si>
  <si>
    <t>3. Ashwini Raam</t>
  </si>
  <si>
    <t>2. Bishwajit Dutta</t>
  </si>
  <si>
    <t>3. Josin Roy</t>
  </si>
  <si>
    <t>4. Ajith</t>
  </si>
  <si>
    <t>4. Jibin Althaf</t>
  </si>
  <si>
    <t>4. Sachin P</t>
  </si>
  <si>
    <t>4. Huzaifa Kaukawala</t>
  </si>
  <si>
    <t>4. Amjith</t>
  </si>
  <si>
    <t>3. Rittik Upadhyay</t>
  </si>
  <si>
    <t>4. Nayan S Kurup</t>
  </si>
  <si>
    <t>5. Abdul Rahman</t>
  </si>
  <si>
    <t>5. Kaushik Kalita</t>
  </si>
  <si>
    <t xml:space="preserve">5. Sadik Ksd </t>
  </si>
  <si>
    <t>5. Gokul G</t>
  </si>
  <si>
    <t>4. Jahirul Hoque</t>
  </si>
  <si>
    <t>5. Bharath Narayana</t>
  </si>
  <si>
    <t>6. Abhishek</t>
  </si>
  <si>
    <t>6. K Rakesh</t>
  </si>
  <si>
    <t>6. Kashif Ramzan</t>
  </si>
  <si>
    <t>6. Ashiqui Ashi</t>
  </si>
  <si>
    <t>5. Deepjyoti Talukdar</t>
  </si>
  <si>
    <t>6. Akhil Vijayan</t>
  </si>
  <si>
    <t>7. Ahmed Mahsoof (Machu)</t>
  </si>
  <si>
    <t>7. Saketh Balne</t>
  </si>
  <si>
    <t>7. Ebad Malik</t>
  </si>
  <si>
    <t>7. Ganesh Chunduru</t>
  </si>
  <si>
    <t>7. Ashith S</t>
  </si>
  <si>
    <t>6. Bimal Baral</t>
  </si>
  <si>
    <t>7. Frijo Thomas</t>
  </si>
  <si>
    <t>8. Pradeesh P Nair</t>
  </si>
  <si>
    <t>8. Shibasis Nayak</t>
  </si>
  <si>
    <t>8. Muzammil Zafar</t>
  </si>
  <si>
    <t>8. Shamroz</t>
  </si>
  <si>
    <t>8. Aashutosh Jha</t>
  </si>
  <si>
    <t>8. Asthu Mohammad</t>
  </si>
  <si>
    <t>7. Khagen Saikia</t>
  </si>
  <si>
    <t>8. Ashwin Thomas</t>
  </si>
  <si>
    <t>9. Aravind</t>
  </si>
  <si>
    <t>9. Farhan</t>
  </si>
  <si>
    <t>9. Shiva Teja</t>
  </si>
  <si>
    <t>9. Veer Gupta</t>
  </si>
  <si>
    <t>9. Nasrullah</t>
  </si>
  <si>
    <t>9. Azeem Muhammad</t>
  </si>
  <si>
    <t>9. Blesson Devassi</t>
  </si>
  <si>
    <t>8. Marami Ahmed</t>
  </si>
  <si>
    <t>9. Hari Krishnan</t>
  </si>
  <si>
    <t>10. Arjun</t>
  </si>
  <si>
    <t>10. Anshad P</t>
  </si>
  <si>
    <t>10. Siddharth V Jain</t>
  </si>
  <si>
    <t>10. Mudassir Ali</t>
  </si>
  <si>
    <t>10. Zarnish Saira</t>
  </si>
  <si>
    <t>10. Chappy MK</t>
  </si>
  <si>
    <t>9. Hirakjyoti Deka</t>
  </si>
  <si>
    <t>11. Haseeb</t>
  </si>
  <si>
    <t>11. Harish Byndoor</t>
  </si>
  <si>
    <t>11. Srinidhi K</t>
  </si>
  <si>
    <t>11. Suleman</t>
  </si>
  <si>
    <t>11. Taniya</t>
  </si>
  <si>
    <t>11. Srajan Poojary</t>
  </si>
  <si>
    <t>11. Ershad</t>
  </si>
  <si>
    <t>11. Anish Babu Koni</t>
  </si>
  <si>
    <t>12. Huzain</t>
  </si>
  <si>
    <t>12. Gopikrishnan SV</t>
  </si>
  <si>
    <t>12. Susheel Teja</t>
  </si>
  <si>
    <t>12. Iqra Batool</t>
  </si>
  <si>
    <t>12. Gautam Shankara Ram</t>
  </si>
  <si>
    <t>12. Hari M</t>
  </si>
  <si>
    <t>12. Jaseel</t>
  </si>
  <si>
    <t>13. Hybi Anil</t>
  </si>
  <si>
    <t>13. Rahul Roy</t>
  </si>
  <si>
    <t>13. Rakshith Shetty</t>
  </si>
  <si>
    <t>13. Sidra</t>
  </si>
  <si>
    <t>13. Ramith Acharya</t>
  </si>
  <si>
    <t>13. Hashir</t>
  </si>
  <si>
    <t>13. Madhav</t>
  </si>
  <si>
    <t>14. Sanazil</t>
  </si>
  <si>
    <t>14. Peter</t>
  </si>
  <si>
    <t>14. Ali Abbas Bangash</t>
  </si>
  <si>
    <t>14. Tukaram Parabat</t>
  </si>
  <si>
    <t>14. Huzain Muhammed</t>
  </si>
  <si>
    <t>14. Nazi</t>
  </si>
  <si>
    <t>15. Shuhaib</t>
  </si>
  <si>
    <t>15. Athif Basheer K</t>
  </si>
  <si>
    <t>15. Wafa Baloch</t>
  </si>
  <si>
    <t>15. Sanan Abrar</t>
  </si>
  <si>
    <t>15. Irshad Bekal</t>
  </si>
  <si>
    <t>15. Sachin</t>
  </si>
  <si>
    <t>16. Subaida Subi</t>
  </si>
  <si>
    <t>16. Raheem SN</t>
  </si>
  <si>
    <t>16. Jasheer V</t>
  </si>
  <si>
    <t>16. Abhishek</t>
  </si>
  <si>
    <t>17. Vipin Venu</t>
  </si>
  <si>
    <t>17. Kebin</t>
  </si>
  <si>
    <t>18. Vishnu CV</t>
  </si>
  <si>
    <t>18. Salimax</t>
  </si>
  <si>
    <t>19. Vishnu Vijay</t>
  </si>
  <si>
    <t>19. Shaheen</t>
  </si>
  <si>
    <t>20. Shinu</t>
  </si>
  <si>
    <t>21. Shukoor</t>
  </si>
  <si>
    <t>22. Sufaid</t>
  </si>
  <si>
    <t>23. Thebseer</t>
  </si>
  <si>
    <t>24. Vivek</t>
  </si>
  <si>
    <t>25. Yadhu</t>
  </si>
  <si>
    <t>26. Zuhair Mohd</t>
  </si>
  <si>
    <t>27. Jishnu CV</t>
  </si>
  <si>
    <t>Franchise League CPL All TEAMS</t>
  </si>
  <si>
    <t>Antigua &amp; Barbuda Falcons 🇦🇬</t>
  </si>
  <si>
    <t>Barbados Royals 🇧🇧</t>
  </si>
  <si>
    <t>Guyana Amazon Warriors 🇬🇾</t>
  </si>
  <si>
    <t>St Kitts &amp; Nevis Patriots 🇰🇳</t>
  </si>
  <si>
    <t>St Lucia Kings 🇱🇨</t>
  </si>
  <si>
    <t>St Vincent Volcanoes 🇻🇨</t>
  </si>
  <si>
    <t>Trinbago Knight Riders 🇹🇹</t>
  </si>
  <si>
    <t>1. Shibil (WI-C)</t>
  </si>
  <si>
    <t>1. Abhilash PA (WI-C)</t>
  </si>
  <si>
    <t>1. Sreeraj R Kaimal (WI-C)</t>
  </si>
  <si>
    <t>1. Arjun Raj (WI-C)</t>
  </si>
  <si>
    <t>1. George (WI-C)</t>
  </si>
  <si>
    <t>1. Ajmal (WI-C)</t>
  </si>
  <si>
    <t>1. Mahesh Margol (NZ-C)</t>
  </si>
  <si>
    <t>1. Rahul Suresh (WI-C)</t>
  </si>
  <si>
    <t>2. Bibin (WI-M)</t>
  </si>
  <si>
    <t>2. Ananthu M (WI-M)</t>
  </si>
  <si>
    <t>2. Kannan Balakrishna (WI-M)</t>
  </si>
  <si>
    <t>2. Midhun (WI-M)</t>
  </si>
  <si>
    <t>2. Mowglee (WI-M)</t>
  </si>
  <si>
    <t>2. Nihal (WI-M)</t>
  </si>
  <si>
    <t>2. Waqas (Aus-M)</t>
  </si>
  <si>
    <t>2. Diyoof (WI-M)</t>
  </si>
  <si>
    <t>3. Vignesh Suresh (WI-DS)</t>
  </si>
  <si>
    <t>3. Ananthu RG (WI-DS)</t>
  </si>
  <si>
    <t>3. Ameen (WI-DS)</t>
  </si>
  <si>
    <t>3. Vipin R (WI-DS)</t>
  </si>
  <si>
    <t>3. Jana CP (Ind-DS)</t>
  </si>
  <si>
    <t>3. Ajay Paul (WI-DS)</t>
  </si>
  <si>
    <t>3. Saad (Qatar-DS)</t>
  </si>
  <si>
    <t>3. Sterin Joseph (WI-DS)</t>
  </si>
  <si>
    <t>4. Madhav (WI) - 3000</t>
  </si>
  <si>
    <t>4. Nayan (WI) - 9000</t>
  </si>
  <si>
    <t>4. Bharath (WI) - 6000</t>
  </si>
  <si>
    <t>4. Falah (WI) - 6000</t>
  </si>
  <si>
    <t>4. Sanazil (Italy) - 3000</t>
  </si>
  <si>
    <t>4. Josin (WI) - 25000</t>
  </si>
  <si>
    <t>4. Arjun (WI) - 8000</t>
  </si>
  <si>
    <t>4. Anandha (WI) - 7000</t>
  </si>
  <si>
    <t>5. Nazir (WI) - 1000</t>
  </si>
  <si>
    <t>5. Akhil (WI) - 40000</t>
  </si>
  <si>
    <t>5. Hari (WI) - 35000</t>
  </si>
  <si>
    <t>5. Frijo (WI) - 1000</t>
  </si>
  <si>
    <t>5. Abhishek (Ind) - 4000</t>
  </si>
  <si>
    <t>5. Sachin (WI) - 80000</t>
  </si>
  <si>
    <t>5. Jaseel (WI) - 6000</t>
  </si>
  <si>
    <t>5. Ashwin (WI) - 35000</t>
  </si>
  <si>
    <t>6. Rince (Italy) - 1000</t>
  </si>
  <si>
    <t>6. Abhishek (WI) - 40000</t>
  </si>
  <si>
    <t>6. Arjun (Italy) - 1000</t>
  </si>
  <si>
    <t>6. Anish (WI) - 70000</t>
  </si>
  <si>
    <t>6. Anshad (Ind) - 60000</t>
  </si>
  <si>
    <t>6. Afsal (Italy) - 1000</t>
  </si>
  <si>
    <t>6. K Rakesh (SA) - 18000</t>
  </si>
  <si>
    <t>6. Albin (Italy) - 3000</t>
  </si>
  <si>
    <t>7. Akhil (Italy) - 1000</t>
  </si>
  <si>
    <t>7. Anantha U (WI) - 45000</t>
  </si>
  <si>
    <t>7. Huzain (Italy) - 1000</t>
  </si>
  <si>
    <t>7. Kaushik(SA) - 1000</t>
  </si>
  <si>
    <t>7. Athif (Ind) - 18000</t>
  </si>
  <si>
    <t>7. Anandhu R (Italy) - 2000</t>
  </si>
  <si>
    <t>7. Srinidhi (SA) - 4000</t>
  </si>
  <si>
    <t>7. Aravind (Italy) - 6000</t>
  </si>
  <si>
    <t>8. Akshay (Italy) - 1000</t>
  </si>
  <si>
    <t>8. Abhishek (Italy) - 1000</t>
  </si>
  <si>
    <t>8. Vipin (Italy) - 7000</t>
  </si>
  <si>
    <t>8. Shibasis (SA) - 8000</t>
  </si>
  <si>
    <t>8. Bhavesh (SA) - 9000</t>
  </si>
  <si>
    <t>8. Vishnu V (Italy) - 1000</t>
  </si>
  <si>
    <t>8. Ans Sheikh (Qatar) - 35000</t>
  </si>
  <si>
    <t>8. Hybi Anil(Italy) - 30000</t>
  </si>
  <si>
    <t>9. Shuhaib (Italy) - 1000</t>
  </si>
  <si>
    <t>9. Haseen (Italy) - 3000</t>
  </si>
  <si>
    <t>9. Shivaji (Ind) - 75000</t>
  </si>
  <si>
    <t>9. Ganesh (Pak) - 9000</t>
  </si>
  <si>
    <t>9. Bhavin (SA) - 18000</t>
  </si>
  <si>
    <t>9. Rahul Seenu(Ind) - 15000</t>
  </si>
  <si>
    <t>9. Hizbullah (Pak) - 1000</t>
  </si>
  <si>
    <t>9. Subaida (Italy) - 40000</t>
  </si>
  <si>
    <t>10. Asru (Ind) - 45000</t>
  </si>
  <si>
    <t>10. Suhyl (Qatar) - 2000</t>
  </si>
  <si>
    <t>10. Rahman (Ind) - 10000</t>
  </si>
  <si>
    <t>10. Amith (Eng) - 1000</t>
  </si>
  <si>
    <t>10. A Mughal (Qatar) - 5000</t>
  </si>
  <si>
    <t>10. Jibin (SA) - 1000</t>
  </si>
  <si>
    <t>10. Zarnish (Pak) - 40000</t>
  </si>
  <si>
    <t>10. Gopi (Ind) - 4000</t>
  </si>
  <si>
    <t>11. Farhan (Ind) - 25000</t>
  </si>
  <si>
    <t>11. Achuz (Eng) - 1000</t>
  </si>
  <si>
    <t>11. Ahmed M (Ind) - 14000</t>
  </si>
  <si>
    <t>11. Ashi (Scot) - 25000</t>
  </si>
  <si>
    <t>11. Aaiz (Pak) - 1000</t>
  </si>
  <si>
    <t>11. Ebad (Qatar) - 3000</t>
  </si>
  <si>
    <t>11. Harsh (Aus) - 14000</t>
  </si>
  <si>
    <t>11. Arjun (Aus) - 7000</t>
  </si>
  <si>
    <t>12. Harish (Ind) - 1000</t>
  </si>
  <si>
    <t>12. Akshay(Scot) - 1000</t>
  </si>
  <si>
    <t>12. Pradeesh (Ind) - 1000</t>
  </si>
  <si>
    <t>12. Asthu (Scot) - 2000</t>
  </si>
  <si>
    <t>12. Shamroz(Pak) - 2000</t>
  </si>
  <si>
    <t>12. Noor (Aus) - 50000</t>
  </si>
  <si>
    <t>12. Hasan (NZ) - 18000</t>
  </si>
  <si>
    <t>12. Veer (Qatar) - 1000</t>
  </si>
  <si>
    <t>13. Peter (Ind) - 3000</t>
  </si>
  <si>
    <t>13. Ashith (Scot) - 2000</t>
  </si>
  <si>
    <t>13. Rahul Roy(Ind) - 5000</t>
  </si>
  <si>
    <t>13. Blesson (Scot) - 1000</t>
  </si>
  <si>
    <t>13. Iqra (Pak) - 1000</t>
  </si>
  <si>
    <t>13. Adarsh (Scot) - 1000</t>
  </si>
  <si>
    <t>13. Kishore (NZ) - 10000</t>
  </si>
  <si>
    <t>13. Zuhair (Scot) - 12000</t>
  </si>
  <si>
    <t>14. Rakshith S (SA) - 1000</t>
  </si>
  <si>
    <t>14. Jasheer (Scot) - 1000</t>
  </si>
  <si>
    <t>14. Raheem (Ind) - 3000</t>
  </si>
  <si>
    <t>14. Chappy (Scot) - 1000</t>
  </si>
  <si>
    <t>14. Shukoor (Scot) - 12000</t>
  </si>
  <si>
    <t>14. Shaheen (Scot) - 1000</t>
  </si>
  <si>
    <t>14. Nithin (NZ) - 1000</t>
  </si>
  <si>
    <t>14. Chalana (SL) - 1000</t>
  </si>
  <si>
    <t>15. Mudasir Ali (Qatar) - 1000</t>
  </si>
  <si>
    <t>15. Shinu (Scot) - 1000</t>
  </si>
  <si>
    <t>15. Adithya (SA) - 8000</t>
  </si>
  <si>
    <t>15. Hari (Scot) - 1000</t>
  </si>
  <si>
    <t>15. Thilanga (SL) - 5000</t>
  </si>
  <si>
    <t>15. Kashif (Aus) - 1000</t>
  </si>
  <si>
    <t>15. Toby (NZ) - 8000</t>
  </si>
  <si>
    <t>15. Ram (NZ) - 35000</t>
  </si>
  <si>
    <t>16. Nasrullah(Pak) - 16000</t>
  </si>
  <si>
    <t>16. Thebseer (Scot) - 14000</t>
  </si>
  <si>
    <t>16. Ansar (Scot) - 20000</t>
  </si>
  <si>
    <t>16. Irshad (Scot) - 1000</t>
  </si>
  <si>
    <t>16. Ashwini (NZ) - 30000</t>
  </si>
  <si>
    <t>16. Rubesh (SL) - 1000</t>
  </si>
  <si>
    <t>16. Srajan (NZ) - 1000</t>
  </si>
  <si>
    <t>16. Rahul Sharma (Ned) - 1000</t>
  </si>
  <si>
    <t>17. Amjith (Scot) - 20000</t>
  </si>
  <si>
    <t>17. Yadhu (Scot) - 1000</t>
  </si>
  <si>
    <t>17. Jishnu (Scot) - 6000</t>
  </si>
  <si>
    <t>17. Sufaid (Scot) - 60000</t>
  </si>
  <si>
    <t>17. Ashutosh (NZ) - 1000</t>
  </si>
  <si>
    <t>17. Rasith (SL) - 1000</t>
  </si>
  <si>
    <t>17. Gautam (NZ) - 1000</t>
  </si>
  <si>
    <t>17. Deepjyoti (Ned) - 1000</t>
  </si>
  <si>
    <t>18. Kebin (Scot) - 2000</t>
  </si>
  <si>
    <t>18. Azeem (NZ) - 1000</t>
  </si>
  <si>
    <t>18. Sasith (SL) - 1000</t>
  </si>
  <si>
    <t>18. Damitha (SL) - 10000</t>
  </si>
  <si>
    <t>18. Marami (Ned) - 1000</t>
  </si>
  <si>
    <t>18. Hrushikesh (NZ) - 12000</t>
  </si>
  <si>
    <t>18. Tukaram (NZ) - 3000</t>
  </si>
  <si>
    <t>18. Sagar (Ned) - 10000</t>
  </si>
  <si>
    <t>St Lucia Kings vs Trinbago Knight Riders</t>
  </si>
  <si>
    <t>21st July</t>
  </si>
  <si>
    <t>Malayalipuram</t>
  </si>
  <si>
    <t>Sachin (Lucia)</t>
  </si>
  <si>
    <t>Sagar (Trinbago)</t>
  </si>
  <si>
    <t>Rahul Sharma (Trinbago)</t>
  </si>
  <si>
    <t>Jamaica Kingsmen vs Guyana Amazon Warriors</t>
  </si>
  <si>
    <t>Kingston</t>
  </si>
  <si>
    <t>Ump: Achuz, SC: Abhilash</t>
  </si>
  <si>
    <t>Shivaji Prakash (Guyana)</t>
  </si>
  <si>
    <t>Hari (Guyana)</t>
  </si>
  <si>
    <t xml:space="preserve">St Vincent Volcanoes vs St Kitts &amp; Nevis Patriots </t>
  </si>
  <si>
    <t>22nd July</t>
  </si>
  <si>
    <t>Kingstown</t>
  </si>
  <si>
    <t>St Kitts Nevis &amp; Patriots</t>
  </si>
  <si>
    <t>Abhishek (Kitts)</t>
  </si>
  <si>
    <t>Mahesh Margol (Vincent)</t>
  </si>
  <si>
    <t xml:space="preserve">Barbados Royals vs Antigua &amp; Barbuda Falcons </t>
  </si>
  <si>
    <t>Bridgetown</t>
  </si>
  <si>
    <t>Antigua Barbuda Falcons</t>
  </si>
  <si>
    <t>Peter John (Antigua)</t>
  </si>
  <si>
    <t>Asru (Antigua)</t>
  </si>
  <si>
    <t>Trinbago Knight Riders vs Guyana Amazon Warriors</t>
  </si>
  <si>
    <t>23rd July</t>
  </si>
  <si>
    <t>Knights Arena</t>
  </si>
  <si>
    <t>Shibil</t>
  </si>
  <si>
    <t>Rahul Suresh (Trinbago)</t>
  </si>
  <si>
    <t>Sterin (Trinbago)</t>
  </si>
  <si>
    <t xml:space="preserve">St Lucia Kings vs St Kitts &amp; Nevis Patriots </t>
  </si>
  <si>
    <t>Rasith Wijethunga ( Lucia )</t>
  </si>
  <si>
    <t>Aaiz Khan (Kitts)</t>
  </si>
  <si>
    <t xml:space="preserve">Jamaica Kingsmen vs Antigua &amp; Barbuda Falcons </t>
  </si>
  <si>
    <t>24th July</t>
  </si>
  <si>
    <t>Vipin R (Jamaica)</t>
  </si>
  <si>
    <t>Asthu (Jamaica)</t>
  </si>
  <si>
    <t>St Vincent Volcanoes vs Barbados Royals</t>
  </si>
  <si>
    <t>Ump: Mowgle, SC: Abhilash</t>
  </si>
  <si>
    <t>Srinidhi (Vincent)</t>
  </si>
  <si>
    <t>Waqas Mughal (Vincent)</t>
  </si>
  <si>
    <t xml:space="preserve">Trinbago Knight Riders vs St Kitts &amp; Nevis Patriots </t>
  </si>
  <si>
    <t>25th July</t>
  </si>
  <si>
    <t>Ump: Chiru, SC: Waqas</t>
  </si>
  <si>
    <t>Gopi SV (Trinbago)</t>
  </si>
  <si>
    <t xml:space="preserve">Guyana Amazon Warriors vs Antigua &amp; Barbuda Falcons </t>
  </si>
  <si>
    <t>Ajmal Sunaif</t>
  </si>
  <si>
    <t>Ameen (Guyana)</t>
  </si>
  <si>
    <t>Shuhaib (Antigua)</t>
  </si>
  <si>
    <t>St Lucia Kings vs Barbados Royals</t>
  </si>
  <si>
    <t>26th July</t>
  </si>
  <si>
    <t>Ump: Sreeraj, SC: Shibil</t>
  </si>
  <si>
    <t>Ajay (Lucia)</t>
  </si>
  <si>
    <t>Abhishek (Barbados)</t>
  </si>
  <si>
    <t>Jamaica Kingsmen vs St Vincent Volcanoes</t>
  </si>
  <si>
    <t>Ump: Ameen, SC: Sreeraj</t>
  </si>
  <si>
    <t>K Rakesh (Vincent)</t>
  </si>
  <si>
    <t>Saad Rizwan (Vincent)</t>
  </si>
  <si>
    <t xml:space="preserve">Trinbago Knight Riders vs Antigua &amp; Barbuda Falcons </t>
  </si>
  <si>
    <t>27th July</t>
  </si>
  <si>
    <t>Kebin (Antigua)</t>
  </si>
  <si>
    <t>Madav (Antigua)</t>
  </si>
  <si>
    <t>St Kitts &amp; Nevis Patriots vs Barbados Royals</t>
  </si>
  <si>
    <t>Basseterre</t>
  </si>
  <si>
    <t>Mowglee (Kitts)</t>
  </si>
  <si>
    <t>Guyana Amazon Warriors vs St Vincent Volcanoes</t>
  </si>
  <si>
    <t>28th July</t>
  </si>
  <si>
    <t>Toby Joseph (Vincent)</t>
  </si>
  <si>
    <t>Ans Sheikh (Vincent)</t>
  </si>
  <si>
    <t>Sreeraj (Guyana)</t>
  </si>
  <si>
    <t>St Lucia Kings vs Jamaica Kingsmen</t>
  </si>
  <si>
    <t>Anish Babu (Jamaica)</t>
  </si>
  <si>
    <t>Shibasis (Jamaica)</t>
  </si>
  <si>
    <t>Trinbago Knight Riders vs Barbodas Royals</t>
  </si>
  <si>
    <t>29th July</t>
  </si>
  <si>
    <t>Sreeraj</t>
  </si>
  <si>
    <t>Antigua &amp; Barbuda Falcons vs St Vincent Volcanoes</t>
  </si>
  <si>
    <t>St John</t>
  </si>
  <si>
    <t>Ump: Noor, SC: Kishore</t>
  </si>
  <si>
    <t>Harsh Dubey (Vincent)</t>
  </si>
  <si>
    <t>Nasrullah (Antigua)</t>
  </si>
  <si>
    <t>St Kitts &amp; Nevis Patriots vs Jamaica Kings</t>
  </si>
  <si>
    <t>30th July</t>
  </si>
  <si>
    <t>Kaushik (Jamaica)</t>
  </si>
  <si>
    <t>Jana CP (Kitts)</t>
  </si>
  <si>
    <t>Guyana Amazon Warriors vs St Lucia Kings</t>
  </si>
  <si>
    <t>Ump: Rahul, SC: Midhun</t>
  </si>
  <si>
    <t>Ajmal (Lucia)</t>
  </si>
  <si>
    <t>Nihal (Lucia)</t>
  </si>
  <si>
    <t>Rahul Seenu (Lucia)</t>
  </si>
  <si>
    <t>Trinbago Knight Riders vs St Vincent Volcanoes</t>
  </si>
  <si>
    <t>31st July</t>
  </si>
  <si>
    <t>Srajan (Vincent)</t>
  </si>
  <si>
    <t>Barbados Royals vs Jamaica Kingsmen</t>
  </si>
  <si>
    <t>Sufaid (Jamaica)</t>
  </si>
  <si>
    <t>Abhishek Anil (Barbados)</t>
  </si>
  <si>
    <t>Antigua &amp; Barbuda Falcons vs St Lucia Kings</t>
  </si>
  <si>
    <t>1st Aug</t>
  </si>
  <si>
    <t>Ump: Achuz, SC: Azeem</t>
  </si>
  <si>
    <t>Asru ksd(Antigua)</t>
  </si>
  <si>
    <t>St Kitts &amp; Nevis Patriots vs Guyana Amazon Warriors</t>
  </si>
  <si>
    <t>Kannan (Guyana)</t>
  </si>
  <si>
    <t>George (Kitts)</t>
  </si>
  <si>
    <t>Trinbago Knight Riders vs Jamaica Kingsmen</t>
  </si>
  <si>
    <t>2nd Aug</t>
  </si>
  <si>
    <t>Subaida (Trinbago)</t>
  </si>
  <si>
    <t xml:space="preserve">St Vincent Volcanoes vs St Lucia Kings </t>
  </si>
  <si>
    <t>Noor (Lucia)</t>
  </si>
  <si>
    <t>Harsh (Vincent)</t>
  </si>
  <si>
    <t>Barbodas Royals vs Guyana Amazon Warriors</t>
  </si>
  <si>
    <t>3rd Aug</t>
  </si>
  <si>
    <t>Azeem (Barbados)</t>
  </si>
  <si>
    <t>Rahul Roy (Guyana)</t>
  </si>
  <si>
    <t>Antigua &amp; Barbuda Falcons vs St Kitts &amp; Nevis Patriots</t>
  </si>
  <si>
    <t>Ump: Ashwin, SC: Rahul</t>
  </si>
  <si>
    <t>Shibil (Antigua)</t>
  </si>
  <si>
    <t>Aaiz (Kitts)</t>
  </si>
  <si>
    <t>Semifinal 1: St Lucia Kings vs Trinbago Knights Riders</t>
  </si>
  <si>
    <t>5th Aug</t>
  </si>
  <si>
    <t>Aravind (Trinbago)</t>
  </si>
  <si>
    <t>Semifinal 2: St Vincent Volcanoes vs Jamaica Kingsmen</t>
  </si>
  <si>
    <t>Final: Trinbago Knight Riders vs Jamaica Kingsmen</t>
  </si>
  <si>
    <t>6th Aug</t>
  </si>
  <si>
    <t>Arjun Raj (Jamaica)</t>
  </si>
  <si>
    <t>Amith (Jamaica)</t>
  </si>
  <si>
    <t>IOCF Caribbean Premier League 2026 AWARDS</t>
  </si>
  <si>
    <t>Franchise League Scottish Premier League Registration &amp; all team Players 2026</t>
  </si>
  <si>
    <t>Scotland (Home)</t>
  </si>
  <si>
    <t>1. Abhilash P. A.</t>
  </si>
  <si>
    <t xml:space="preserve">1. K Rakesh </t>
  </si>
  <si>
    <t xml:space="preserve">1. Keshav Shah </t>
  </si>
  <si>
    <t xml:space="preserve">1. Muhammad Ahmad </t>
  </si>
  <si>
    <t xml:space="preserve">1. Asiri Oshanga </t>
  </si>
  <si>
    <t xml:space="preserve">1. Toby Jospeh </t>
  </si>
  <si>
    <t>2.  Ebad Malik</t>
  </si>
  <si>
    <t>2. Binara Udayanga</t>
  </si>
  <si>
    <t>2. Ram Thakkar</t>
  </si>
  <si>
    <t>3.  Anas Asim</t>
  </si>
  <si>
    <t>3. sunaif</t>
  </si>
  <si>
    <t>3. Aditya Mahajan</t>
  </si>
  <si>
    <t>3. Hizbullah</t>
  </si>
  <si>
    <t>3. Ahsan Siddique</t>
  </si>
  <si>
    <t>4. Anandha Krishnan (Anandhan)</t>
  </si>
  <si>
    <t>4. sachin</t>
  </si>
  <si>
    <t>4. Athif Basheer K</t>
  </si>
  <si>
    <t>4. Vaibhav Batra</t>
  </si>
  <si>
    <t>4. Kishore Gowda</t>
  </si>
  <si>
    <t>4. Amal</t>
  </si>
  <si>
    <t>5. Ajmal Sunaif BP</t>
  </si>
  <si>
    <t>5. amith</t>
  </si>
  <si>
    <t>5. Gopikrishnan</t>
  </si>
  <si>
    <t>5. Lal krishna</t>
  </si>
  <si>
    <t>5. Sajjad Kapri</t>
  </si>
  <si>
    <t>5. Srajan Poojari</t>
  </si>
  <si>
    <t>5. Arshad</t>
  </si>
  <si>
    <t>6. Rahul Suresh</t>
  </si>
  <si>
    <t>6. Saketh Balne</t>
  </si>
  <si>
    <t>6. Asru KSD</t>
  </si>
  <si>
    <t>6. Ashfak Hosain</t>
  </si>
  <si>
    <t>6. Arshad N</t>
  </si>
  <si>
    <t>7. Falah Mancheri</t>
  </si>
  <si>
    <t>7. Abdul Muqeeth</t>
  </si>
  <si>
    <t>7. Shibasis Nayak</t>
  </si>
  <si>
    <t>7. Rahul Roy</t>
  </si>
  <si>
    <t>7. Anik Dey Shanto</t>
  </si>
  <si>
    <t>7. Wajdan</t>
  </si>
  <si>
    <t>7. Partha Pratim Bora</t>
  </si>
  <si>
    <t>7. Azeem Muhammad</t>
  </si>
  <si>
    <t>8. Georgekutty Abraham</t>
  </si>
  <si>
    <t>8. Suleman Haider</t>
  </si>
  <si>
    <t>8. Rahees</t>
  </si>
  <si>
    <t>8. Siddharth V Jain</t>
  </si>
  <si>
    <t>8. Anshad P</t>
  </si>
  <si>
    <t>8. Ankan Biswas</t>
  </si>
  <si>
    <t>8. Gokul G</t>
  </si>
  <si>
    <t xml:space="preserve">8. Athul </t>
  </si>
  <si>
    <t>9. Al Ameen</t>
  </si>
  <si>
    <t>9.  Aman Raj Singh</t>
  </si>
  <si>
    <t>9. Rashid</t>
  </si>
  <si>
    <t>9. Srinidhi K</t>
  </si>
  <si>
    <t>9. Jana CP</t>
  </si>
  <si>
    <t>9. Bhagrab Kashyap</t>
  </si>
  <si>
    <t>9. Gautam Shankara Ram</t>
  </si>
  <si>
    <t>9. Bijoy</t>
  </si>
  <si>
    <t>10. Bibin Benny</t>
  </si>
  <si>
    <t>10. Raza Hassnsin</t>
  </si>
  <si>
    <t>10. Safeer</t>
  </si>
  <si>
    <t>10. Shiva Teja</t>
  </si>
  <si>
    <t>10. Peter</t>
  </si>
  <si>
    <t>10. Ali Abbas Bangash</t>
  </si>
  <si>
    <t>10. Aashutosh Jha</t>
  </si>
  <si>
    <t>10. Dingan</t>
  </si>
  <si>
    <t>11. Muhammed Shibili M</t>
  </si>
  <si>
    <t>11. Rahul Mohapatra</t>
  </si>
  <si>
    <t>11. Nithin Poojary</t>
  </si>
  <si>
    <t>12. Josin Roy</t>
  </si>
  <si>
    <t>12. Muzammil Zafar</t>
  </si>
  <si>
    <t>12. Karthik varma</t>
  </si>
  <si>
    <t>12. Mahi Mahendra</t>
  </si>
  <si>
    <t>12. Abhishek</t>
  </si>
  <si>
    <t xml:space="preserve">12. Iqra Batool </t>
  </si>
  <si>
    <t>12. Rajab baloch</t>
  </si>
  <si>
    <t>12. Harishankar</t>
  </si>
  <si>
    <t>13. Nayan S. Kurup</t>
  </si>
  <si>
    <t>13. Abdullah ishtiaq</t>
  </si>
  <si>
    <t>13. Sanoop</t>
  </si>
  <si>
    <t>13. Abin</t>
  </si>
  <si>
    <t>13. Ganesh Chunduru</t>
  </si>
  <si>
    <t>13. Roshan Singh Rathore</t>
  </si>
  <si>
    <t>13. Huzain Muhammad</t>
  </si>
  <si>
    <t>14. Arjun S. Kumar</t>
  </si>
  <si>
    <t>14. Shajahan</t>
  </si>
  <si>
    <t>14. Sidra</t>
  </si>
  <si>
    <t>14. Jasheer V</t>
  </si>
  <si>
    <t>15. Hadi Diyoof</t>
  </si>
  <si>
    <t>15. Achuz Sukumaran</t>
  </si>
  <si>
    <t>15. Haniya</t>
  </si>
  <si>
    <t>15. Kailas</t>
  </si>
  <si>
    <t>16. Bharath Narayanan</t>
  </si>
  <si>
    <t>16. Rahees Ashiq</t>
  </si>
  <si>
    <t>16. Libin Thomas</t>
  </si>
  <si>
    <t>17. Akhil Vijayan</t>
  </si>
  <si>
    <t>17. Ali Khan</t>
  </si>
  <si>
    <t>17. MS</t>
  </si>
  <si>
    <t>18. Nihal Maxk</t>
  </si>
  <si>
    <t>18. Sai Naveen Chowdary</t>
  </si>
  <si>
    <t>18. Sajith</t>
  </si>
  <si>
    <t>19. Sterin Joseph</t>
  </si>
  <si>
    <t>19. Salimax</t>
  </si>
  <si>
    <t>20. Frijo Thomas</t>
  </si>
  <si>
    <t>20. Krishnadev</t>
  </si>
  <si>
    <t>20. Shehinsha</t>
  </si>
  <si>
    <t>21. Ananthu Mohan</t>
  </si>
  <si>
    <t>21. Sufaid</t>
  </si>
  <si>
    <t>22. Ashwin Thomas</t>
  </si>
  <si>
    <t>22. Thanvin</t>
  </si>
  <si>
    <t>23. Hari Krishnan</t>
  </si>
  <si>
    <t>23. Vivek</t>
  </si>
  <si>
    <t>24. Arjun Raj R</t>
  </si>
  <si>
    <t>24. Ajoy</t>
  </si>
  <si>
    <t>25. Anish Babu Koni</t>
  </si>
  <si>
    <t>26. Vipin Rajashekaran</t>
  </si>
  <si>
    <t>27. Ajay Paul</t>
  </si>
  <si>
    <t>28. Ananthu R. G.</t>
  </si>
  <si>
    <t>29. Jaseel Vavad</t>
  </si>
  <si>
    <t>31. Mowglee</t>
  </si>
  <si>
    <t>32. Nazi Nazir</t>
  </si>
  <si>
    <t>33. Sachin</t>
  </si>
  <si>
    <t>34. Vignesh Suresh</t>
  </si>
  <si>
    <t>35. Abhishek Vava</t>
  </si>
  <si>
    <t>36. Anantha Krishnan U</t>
  </si>
  <si>
    <t>37. Midhun M</t>
  </si>
  <si>
    <t>Franchise League SPL All TEAMS</t>
  </si>
  <si>
    <t>1. Ashiqui Ashi (C - Scot) - 3L</t>
  </si>
  <si>
    <t>1. Ansar (C - Scot) - 3L</t>
  </si>
  <si>
    <t>1. Jishnu (C - Scot) - 3L</t>
  </si>
  <si>
    <t>1. Abhinand B (C - Scot) - 3L</t>
  </si>
  <si>
    <t>1. Kebin (C - Scot) - 3L</t>
  </si>
  <si>
    <t xml:space="preserve">1. Akshay Varnam (C - Scot) - 3L </t>
  </si>
  <si>
    <t>1. Hashir Fyrooz (C - Scot) - 3L</t>
  </si>
  <si>
    <t>1. Blesson (C - Scot) - 3L</t>
  </si>
  <si>
    <t>1. Rojo (C - Scot) - 3L</t>
  </si>
  <si>
    <t>1. Amjith (C - Scot) - 3L</t>
  </si>
  <si>
    <t>2. Shaheen (M - Scot) - 2L</t>
  </si>
  <si>
    <t>2. Asthu (M - Scot) - 2L</t>
  </si>
  <si>
    <t>2. Hari (M - Scot) - 2L</t>
  </si>
  <si>
    <t>2. Shafi Chappy (M - Scot) - 2L</t>
  </si>
  <si>
    <t>2. Shukoor (M - Scot) - 2L</t>
  </si>
  <si>
    <t>2. Ashith (M - Scot) - 2L</t>
  </si>
  <si>
    <t>2. Irshad Bekal (M - Scot) - 2L</t>
  </si>
  <si>
    <t>2. Zuhair (M - Scot) - 2L</t>
  </si>
  <si>
    <t>2. Thebseer (M - Scot) - 2L</t>
  </si>
  <si>
    <t>2. Shinu (M - Scot) - 2L</t>
  </si>
  <si>
    <t>3. Eng Ans (DS - Qatar) - 1L</t>
  </si>
  <si>
    <t>3. Mahsoof (DS - India) - 1L</t>
  </si>
  <si>
    <t>3. Diljith (DS - Eng) - 1L</t>
  </si>
  <si>
    <t>3. Huzain (Scot) - 1L</t>
  </si>
  <si>
    <t>3. Nasrullah (DS - Pak)  - 1L</t>
  </si>
  <si>
    <t>3. Subaida (DS- Italy) - 1L</t>
  </si>
  <si>
    <t>3. Yasin Iqbal (DS - BD)  - 1L</t>
  </si>
  <si>
    <t>3. Bhavesh (DS - SA)  - 1L</t>
  </si>
  <si>
    <t>3. Rahman (DS - India) - 1L</t>
  </si>
  <si>
    <t>3. Yadhu (DS - Scot) - 1L</t>
  </si>
  <si>
    <t>4. Sali (Scot) - 1.8L</t>
  </si>
  <si>
    <t>4. Vivek (Scot) - 1.3L</t>
  </si>
  <si>
    <t>4. Adarsh (Scot) - 1.8L</t>
  </si>
  <si>
    <t>4. Ajay (Scot) - 2.4L</t>
  </si>
  <si>
    <t>4. Harishankar(Scot) - 1.2L</t>
  </si>
  <si>
    <t>4. Amal (Scot) - 1.6L</t>
  </si>
  <si>
    <t>4. Afsal OCA(Scot) - 52K</t>
  </si>
  <si>
    <t>4. Ajoy (Scot) - 1.8L</t>
  </si>
  <si>
    <t>4. Sufaid (Scot) - 1.8L</t>
  </si>
  <si>
    <t>4. Libin (Scot) - 1.8L</t>
  </si>
  <si>
    <t>5. MS (Scot) - 90K</t>
  </si>
  <si>
    <t>5. Arshad (Scot) - 1.4L</t>
  </si>
  <si>
    <t>5. Ershad (Scot) - 1.1L</t>
  </si>
  <si>
    <t>5. Dingan (Scot) - 46K</t>
  </si>
  <si>
    <t>5. Shehinsha (Scot) - 1.2L</t>
  </si>
  <si>
    <t>5. Kailas (Scot) - 1.2L</t>
  </si>
  <si>
    <t>5. Thanvin (Scot) - 1.24L</t>
  </si>
  <si>
    <t>5. Bijoy (Scot) - 1.2L</t>
  </si>
  <si>
    <t>5. Jasheer (Scot) - 60K</t>
  </si>
  <si>
    <t>5. Anandhu (Scot) - 95K</t>
  </si>
  <si>
    <t>6. Muhammad Ali (Pak) - 2k</t>
  </si>
  <si>
    <t>6. Ayaan (Pak) - 2K</t>
  </si>
  <si>
    <t>6. Arjun (Aus) - 7K</t>
  </si>
  <si>
    <t>6. Ganesh C (Pak) - 28K</t>
  </si>
  <si>
    <t>6. Arshad N (Scot) - 67K</t>
  </si>
  <si>
    <t>6. Ajay (WI) - 2K</t>
  </si>
  <si>
    <t>6. Sajith (Scot) - 1.23L</t>
  </si>
  <si>
    <t>6. Vignesh(WI) - 2K</t>
  </si>
  <si>
    <t>6. Athul (Scot) - 71K</t>
  </si>
  <si>
    <t>6. Harsh (Aus) - 25K</t>
  </si>
  <si>
    <t>7. Vipin R (WI) - 17K</t>
  </si>
  <si>
    <t>7. Ameen (WI) - 25k</t>
  </si>
  <si>
    <t>7. Kannan(WI) - 30K</t>
  </si>
  <si>
    <t>7. Hizbullah (Pak) - 22K</t>
  </si>
  <si>
    <t>7. Lal Krishna (Aus) - 2K</t>
  </si>
  <si>
    <t>7. Sunaif (Eng) - 5K</t>
  </si>
  <si>
    <t>7. Chiranjibi (Aus) - 2K</t>
  </si>
  <si>
    <t>7. Achuz (Eng) - 15K</t>
  </si>
  <si>
    <t xml:space="preserve">7. Bharath(WI) - 25K </t>
  </si>
  <si>
    <t>7. Akhil (WI) - 2K</t>
  </si>
  <si>
    <t>8. Anandhan (WI) - 10K</t>
  </si>
  <si>
    <t>8. Midhun(WI) - 25K</t>
  </si>
  <si>
    <t>8. Sreeraj(WI) - 25K</t>
  </si>
  <si>
    <t>8. Ajmal (WI) - 2K</t>
  </si>
  <si>
    <t>8. Shamroz (Pak) - 25K</t>
  </si>
  <si>
    <t>8. Jyothish (Eng) - 22K</t>
  </si>
  <si>
    <t>8. Umar Abbas (Pak) - 2K</t>
  </si>
  <si>
    <t>8. Sujith Kumar(Eng) - 46K</t>
  </si>
  <si>
    <t>8. George (WI) - 16K</t>
  </si>
  <si>
    <t>8. Sterin (WI) - 2K</t>
  </si>
  <si>
    <t>9. Anantha Krishnan U(WI) - 2K</t>
  </si>
  <si>
    <t>9. Harikrishnan(WI) - 2K</t>
  </si>
  <si>
    <t>9. Shibil (WI) - 8K</t>
  </si>
  <si>
    <t>9. Hadi (WI) - 2K</t>
  </si>
  <si>
    <t>9. Ahmed (Pak) - 20K</t>
  </si>
  <si>
    <t>9. Renjish (Eng) - 8K</t>
  </si>
  <si>
    <t>9. Summan (Pak) - 2K</t>
  </si>
  <si>
    <t>9. Amith (Eng) - 36K</t>
  </si>
  <si>
    <t>9. Abhilash (WI) - 8K</t>
  </si>
  <si>
    <t>9. Madhav (WI) - 2K</t>
  </si>
  <si>
    <t>10. Karan (BD) - 2K</t>
  </si>
  <si>
    <t>10. Sachin (Eng) - 2K</t>
  </si>
  <si>
    <t>10. Nayan (WI) - 2K</t>
  </si>
  <si>
    <t>10. Falah (WI) - 9K</t>
  </si>
  <si>
    <t>10. Aaiz (Pak) - 40K</t>
  </si>
  <si>
    <t>10. Karthik (Eng) - 2k</t>
  </si>
  <si>
    <t>10. Haniya (Pak) - 2K</t>
  </si>
  <si>
    <t>10. Kishore (NZ) - 5K</t>
  </si>
  <si>
    <t>10. Josin (WI) - 2K</t>
  </si>
  <si>
    <t>10. Ananthu RG(WI) - 2K</t>
  </si>
  <si>
    <t>11. Manan (BD) - 2K</t>
  </si>
  <si>
    <t>11. Ajin (Eng) - 2K</t>
  </si>
  <si>
    <t>11. Rashid (Eng) - 2K</t>
  </si>
  <si>
    <t>11. Bibin (WI) - 2K</t>
  </si>
  <si>
    <t>11. Sidra (Pak) - 2K</t>
  </si>
  <si>
    <t>11. Rahees (Eng) - 16K</t>
  </si>
  <si>
    <t>11. Anish Babu(WI) - 25K</t>
  </si>
  <si>
    <t>11. Ashutosh (NZ) - 27K</t>
  </si>
  <si>
    <t>11. Frijo (WI) - 12K</t>
  </si>
  <si>
    <t>11. Sachin(WI) - 2K</t>
  </si>
  <si>
    <t>12. K Rakesh(SA) - 30K</t>
  </si>
  <si>
    <t>12. Sanoop (Eng) - 2K</t>
  </si>
  <si>
    <t>12. Safeer (Eng) - 90K</t>
  </si>
  <si>
    <t>12. Nihal (WI) - 2K</t>
  </si>
  <si>
    <t>12. Iqra (Pak) - 50K</t>
  </si>
  <si>
    <t>12. Shajahan (Eng) - 12K</t>
  </si>
  <si>
    <t>12. Ashwin (WI) - 2K</t>
  </si>
  <si>
    <t>12. Bhargab (BD) - 20K</t>
  </si>
  <si>
    <t>12. Ananthu M (WI) - 2K</t>
  </si>
  <si>
    <t>12. Toby (NZ) - 24K</t>
  </si>
  <si>
    <t>13. Mahi (SA) - 2K</t>
  </si>
  <si>
    <t>13. Athif(Ind) - 60K</t>
  </si>
  <si>
    <t>13. Aneesh (Eng) - 2K</t>
  </si>
  <si>
    <t>13. Arjun Raj (WI) - 21K</t>
  </si>
  <si>
    <t>13. Ali Abbas(Pak) - 2K</t>
  </si>
  <si>
    <t>13. Srajan (NZ) - 17K</t>
  </si>
  <si>
    <t>13. Ram (NZ) - 30K</t>
  </si>
  <si>
    <t>13. Bhavin(SA) - 25K</t>
  </si>
  <si>
    <t>13. Jaseel (WI) - 2K</t>
  </si>
  <si>
    <t>13. Sai Naveen(BD) - 32K</t>
  </si>
  <si>
    <t>14. Ahmed (Qatar) - 5k</t>
  </si>
  <si>
    <t>14. Abhishek(Ind) - 40k</t>
  </si>
  <si>
    <t>14. Nithin (NZ) - 2K</t>
  </si>
  <si>
    <t>14. Rahul Suresh(WI) - 60K</t>
  </si>
  <si>
    <t>14. Wafa(Pak) - 2K</t>
  </si>
  <si>
    <t>14. Ahsan (BD) - 5K</t>
  </si>
  <si>
    <t>14. Vaibhav (BD) - 2K</t>
  </si>
  <si>
    <t>14. Saketh(SA) - 76K</t>
  </si>
  <si>
    <t>14. Shivaji (Ind) - 55K</t>
  </si>
  <si>
    <t>14. Peter (Ind) - 1.55L</t>
  </si>
  <si>
    <t>15. Saad (Qatar) - 19K</t>
  </si>
  <si>
    <t>15. Appu(Italy) - 2k</t>
  </si>
  <si>
    <t>15. Partha (BD) - 2K</t>
  </si>
  <si>
    <t>15. Mowglee (WI) - 54K</t>
  </si>
  <si>
    <t>15. Abhishek (WI) - 50K</t>
  </si>
  <si>
    <t>15. Sajjad (BD) - 2K</t>
  </si>
  <si>
    <t>15. Farhan (Ind) - 42K</t>
  </si>
  <si>
    <t>15. Siddharth(SA) - 2K</t>
  </si>
  <si>
    <t>15. Rahul Seenu(Ind) - 21K</t>
  </si>
  <si>
    <t>15. Jibin (SA) - 2K</t>
  </si>
  <si>
    <t>16. Huzaifa (Qatar) - 2K</t>
  </si>
  <si>
    <t>16. Haseeb(Italy) - 2k</t>
  </si>
  <si>
    <t>16. Rahul Roy(Ind) - 90K</t>
  </si>
  <si>
    <t>16. Gautam(NZ) - 26K</t>
  </si>
  <si>
    <t>16. Aash (Eng) - 30K</t>
  </si>
  <si>
    <t>16. Princhi (BD) - 6K</t>
  </si>
  <si>
    <t>16. Srinidhi(SA) - 16K</t>
  </si>
  <si>
    <t>16. Shiva(SA) - 2K</t>
  </si>
  <si>
    <t>16. Asru (Ind) - 34K</t>
  </si>
  <si>
    <t>16. Hybi (Italy) - 24K</t>
  </si>
  <si>
    <t>17. A Muqeeth (Qatar) - 2k</t>
  </si>
  <si>
    <t>17. Akshay(Italy) - 2k</t>
  </si>
  <si>
    <t>17. Adithya(SA) - 15K</t>
  </si>
  <si>
    <t>17. Hasan (NZ) - 9K</t>
  </si>
  <si>
    <t>17. Gokul (NZ) - 2K</t>
  </si>
  <si>
    <t>17. Ashfak (BD) - 2K</t>
  </si>
  <si>
    <t>17. Rahul M(SA) - 2K</t>
  </si>
  <si>
    <t>17. Krishnadev(Italy) - 2k</t>
  </si>
  <si>
    <t>17. Shuhaib(Italy) - 2k</t>
  </si>
  <si>
    <t>17. Akhil Viratian(Italy) - 2k</t>
  </si>
  <si>
    <t>18. Aman (Qatar) - 2k</t>
  </si>
  <si>
    <t>18. Afsal (Italy) - 2k</t>
  </si>
  <si>
    <t>18. Vishnu Vijay(Italy) - 24K</t>
  </si>
  <si>
    <t>18. Mahesh (NZ) - 20K</t>
  </si>
  <si>
    <t>18. Abin (Ind) - 15K</t>
  </si>
  <si>
    <t>18. Gaurav (BD) - 2K</t>
  </si>
  <si>
    <t>18. Shibasis (SA) - 47K</t>
  </si>
  <si>
    <t>18. Suhyl (Qatar) - 27K</t>
  </si>
  <si>
    <t>18. Arjun(Italy) - 2k</t>
  </si>
  <si>
    <t>18. Anandhu(Italy) - 2k</t>
  </si>
  <si>
    <t>19. Huzain (Italy) - 2k</t>
  </si>
  <si>
    <t>19. Harish (Ind) - 8k</t>
  </si>
  <si>
    <t>19. Gopikrishnan (Ind) - 38K</t>
  </si>
  <si>
    <t>19. Ali Khan(BD) - 10K</t>
  </si>
  <si>
    <t>19. Kaushik(SA) - 47K</t>
  </si>
  <si>
    <t>19. Anas (Qatar) - 2k</t>
  </si>
  <si>
    <t>19. Albin (Italy) - 2k</t>
  </si>
  <si>
    <t>19. Vishnu CV(Italy) - 2k</t>
  </si>
  <si>
    <t>20. Rakshith S (SA) - 45K</t>
  </si>
  <si>
    <t>20. Vipin Venu (Italy) - 2k</t>
  </si>
  <si>
    <t>20. Anshad (Ind) - 55K</t>
  </si>
  <si>
    <t>20. Ebad (Qatar) - 16K</t>
  </si>
  <si>
    <t>20. Raza (Qatar) - 2k</t>
  </si>
  <si>
    <t>21. Abhishek Anil(Italy) - 2k</t>
  </si>
  <si>
    <t>21. Sanazil (Italy) - 16k</t>
  </si>
  <si>
    <t>21. Rince (Italy) - 15K</t>
  </si>
  <si>
    <t>21. Mudasir (Qatar) - 15k</t>
  </si>
  <si>
    <t>Edinburgh Royals vs Lothian Lions</t>
  </si>
  <si>
    <t>15th Aug</t>
  </si>
  <si>
    <t>Grange CS</t>
  </si>
  <si>
    <t>Edinburgh Royals</t>
  </si>
  <si>
    <t>Ajay &amp; Kebin</t>
  </si>
  <si>
    <t>Adarsh (Edinburgh)</t>
  </si>
  <si>
    <t>Hashir (Lothian)</t>
  </si>
  <si>
    <t>Tartan Strikers vs Sterling Knights</t>
  </si>
  <si>
    <t>Seven Oaks</t>
  </si>
  <si>
    <t>Harsh Dubey (Tartan)</t>
  </si>
  <si>
    <t>Toby Joseph (Tartan)</t>
  </si>
  <si>
    <t>Glasgow Giants vs Perth Panthers</t>
  </si>
  <si>
    <t>Scotba CG</t>
  </si>
  <si>
    <t>Arjun Raj (Glasgow)</t>
  </si>
  <si>
    <t>Gautam (Glasgow)</t>
  </si>
  <si>
    <t>Aberdeen Titans vs Inverness Eagles</t>
  </si>
  <si>
    <t>16th Aug</t>
  </si>
  <si>
    <t>Aberdeen Titans</t>
  </si>
  <si>
    <t>Abul Muqeeth (Aberdeen)</t>
  </si>
  <si>
    <t>Ans Sheikh (Aberdeen)</t>
  </si>
  <si>
    <t>Highland Hawks vs Dundee Warriors</t>
  </si>
  <si>
    <t>Dundee Warriors</t>
  </si>
  <si>
    <t>Ayaan Sheikh (Dundee)</t>
  </si>
  <si>
    <t>Lal Krishna (Highland)</t>
  </si>
  <si>
    <t>Glasgow Giants vs Edinburgh Royals</t>
  </si>
  <si>
    <t>17th Aug</t>
  </si>
  <si>
    <t>Rahul Roy (Edinburgh)</t>
  </si>
  <si>
    <t>Diljith Das (Edinburgh)</t>
  </si>
  <si>
    <t>Lothian Lions vs Tartan Strikers</t>
  </si>
  <si>
    <t>Lothian Lions</t>
  </si>
  <si>
    <t>Sterling Knights vs Perth Panthers</t>
  </si>
  <si>
    <t>Stirling Knights</t>
  </si>
  <si>
    <t>Akshay &amp; Sufaid</t>
  </si>
  <si>
    <t>Bharath Narayan (Stirling)</t>
  </si>
  <si>
    <t>Rahman SN (Stirling)</t>
  </si>
  <si>
    <t>Highland Hawks vs Aberdeen Titans</t>
  </si>
  <si>
    <t>18th Aug</t>
  </si>
  <si>
    <t>Ashiqui Ashi (Aberdeen)</t>
  </si>
  <si>
    <t>Iqra Batool (Highland)</t>
  </si>
  <si>
    <t>Aaiz Khan (Highland)</t>
  </si>
  <si>
    <t>Dundee Warriors vs Inverness Eagles</t>
  </si>
  <si>
    <t>Asthu Mohammed (Dundee)</t>
  </si>
  <si>
    <t>Abhishek (Dundee)</t>
  </si>
  <si>
    <t>Aberdeen Titans vs Tartan Strikers</t>
  </si>
  <si>
    <t>19th Aug</t>
  </si>
  <si>
    <t>Abdul Muqeeth (Aberdeen)</t>
  </si>
  <si>
    <t>Ahmed Mughal (Aberdeen)</t>
  </si>
  <si>
    <t>Edinburgh Royals vs Perth Panthers</t>
  </si>
  <si>
    <t>Irshad &amp; Kebin</t>
  </si>
  <si>
    <t>Sujith Kumar (Perth)</t>
  </si>
  <si>
    <t>Sreeraj R Kaimal (Edinburgh)</t>
  </si>
  <si>
    <t>Safeer Babu (Edinburgh)</t>
  </si>
  <si>
    <t>Highland Hawks vs Lothian Lions</t>
  </si>
  <si>
    <t>20th Aug</t>
  </si>
  <si>
    <t>Kebin (Highland)</t>
  </si>
  <si>
    <t>Inverness Eagles vs Glasgow Giants</t>
  </si>
  <si>
    <t>Mowglee (Glassgow)</t>
  </si>
  <si>
    <t>Ali Khan (Inverness)</t>
  </si>
  <si>
    <t>Aberdeen Titans vs Dundee Warriors</t>
  </si>
  <si>
    <t>21st Aug</t>
  </si>
  <si>
    <t>Ameen (Dundee)</t>
  </si>
  <si>
    <t>Ayaan (Dundee)</t>
  </si>
  <si>
    <t>Edinburgh Royals vs Stirling Knights</t>
  </si>
  <si>
    <t>Jaseel (Stirling)</t>
  </si>
  <si>
    <t>Tartan Strikers vs Perth Panthers</t>
  </si>
  <si>
    <t xml:space="preserve">Irshad  </t>
  </si>
  <si>
    <t>Amith Kumar (Perth)</t>
  </si>
  <si>
    <t>Sai Naveen (Tartan)</t>
  </si>
  <si>
    <t>Lothian Lions vs Inverness Eagles</t>
  </si>
  <si>
    <t>23rd Aug</t>
  </si>
  <si>
    <t>Inverness Eagles</t>
  </si>
  <si>
    <t>Kailas (Inverness)</t>
  </si>
  <si>
    <t>Yasin Iqbal (Lothian)</t>
  </si>
  <si>
    <t>Ram Thakkar (Lothian)</t>
  </si>
  <si>
    <t>Highland Hawks vs Glasgow Giants</t>
  </si>
  <si>
    <t>Ali Abbas Bangash (Highland)</t>
  </si>
  <si>
    <t>Lothian Lions vs Stirling Knights</t>
  </si>
  <si>
    <t>24th Aug</t>
  </si>
  <si>
    <t>Abhilash PA (Stirling)</t>
  </si>
  <si>
    <t>Rahul Seenu (Stirling)</t>
  </si>
  <si>
    <t>Ashwin Thomas (Lothian)</t>
  </si>
  <si>
    <t>Dundee Warriors vs Perth Panthers</t>
  </si>
  <si>
    <t xml:space="preserve">Akshay  </t>
  </si>
  <si>
    <t>Bhargab (Perth)</t>
  </si>
  <si>
    <t>Ansar (Dundee)</t>
  </si>
  <si>
    <t>Aberdeen Titans vs Glasgow Giants</t>
  </si>
  <si>
    <t>Inverness Eagles vs Tartan Strikers</t>
  </si>
  <si>
    <t>28th Aug</t>
  </si>
  <si>
    <t>Highland Hawks vs Edinburgh Royals</t>
  </si>
  <si>
    <t>Aberdeen Titans vs Perth Panthers</t>
  </si>
  <si>
    <t>29th Aug</t>
  </si>
  <si>
    <t xml:space="preserve">Ajay </t>
  </si>
  <si>
    <t>Achuz (Perth)</t>
  </si>
  <si>
    <t>Vignesh (Perth)</t>
  </si>
  <si>
    <t>Dundee Warriors vs Lothian Lions</t>
  </si>
  <si>
    <t>Anish Babu (Lothian)</t>
  </si>
  <si>
    <t>Glasgow Giants vs Stirling Knights</t>
  </si>
  <si>
    <t>Abhinand (Glasgow)</t>
  </si>
  <si>
    <t>George (Stirling)</t>
  </si>
  <si>
    <t>Arjun Raj R (Glasgow)</t>
  </si>
  <si>
    <t>Edinburgh Royals vs Tartan Strikers</t>
  </si>
  <si>
    <t>30th Aug</t>
  </si>
  <si>
    <t>Highland Hawks vs Inverness Eagles</t>
  </si>
  <si>
    <t>Muhammed Ahmed (Highland)</t>
  </si>
  <si>
    <t>Princhi (Inverness)</t>
  </si>
  <si>
    <t>Dundee Warriors vs Glasgow Giants</t>
  </si>
  <si>
    <t>31st Aug</t>
  </si>
  <si>
    <t>Lothian Lions vs Perth Panthers</t>
  </si>
  <si>
    <t>Shibasis (Lothian)</t>
  </si>
  <si>
    <t>Umar Abbas (Lothian)</t>
  </si>
  <si>
    <t>Aberdeen Titans vs Stirling Knights</t>
  </si>
  <si>
    <t>Asru (Stirling)</t>
  </si>
  <si>
    <t>Highland Hawks vs Tartan Strikers</t>
  </si>
  <si>
    <t>1st Sept</t>
  </si>
  <si>
    <t>Sterin (Tartan)</t>
  </si>
  <si>
    <t>Akhil (Tartan)</t>
  </si>
  <si>
    <t>Inverness Eagles vs Edinburgh Royals</t>
  </si>
  <si>
    <t>Aneesh (Edinburgh)</t>
  </si>
  <si>
    <t>Siddiqui Ahsan (Inverness)</t>
  </si>
  <si>
    <t>Qualifier 1: Aberdeen Titans vs Tartan Strikers</t>
  </si>
  <si>
    <t>2nd Sept</t>
  </si>
  <si>
    <t>Muhammad Ali (Aberdeen)</t>
  </si>
  <si>
    <t>Eliminator: Highland Hawks vs Glasgow Giants</t>
  </si>
  <si>
    <t>Gautam Shankara Ram (Glasgow)</t>
  </si>
  <si>
    <t>Ganesh Chunduru (Glasgow)</t>
  </si>
  <si>
    <t>Shamroz(Highland)</t>
  </si>
  <si>
    <t>Qualifier 2: Aberdeen Titans vs Glasgow Giants</t>
  </si>
  <si>
    <t>3rd Sept</t>
  </si>
  <si>
    <t>Shaheen (Aberdeen)</t>
  </si>
  <si>
    <t>Final: Tartan Strikers vs Glasgow Giants</t>
  </si>
  <si>
    <t>4th Sept</t>
  </si>
  <si>
    <t>Ajay Kumar Sajeev (Glasgow)</t>
  </si>
  <si>
    <t>Mahesh Margol (Glasgow)</t>
  </si>
  <si>
    <t>IOCF Scottish Premier League 2026 AWARDS</t>
  </si>
  <si>
    <t>1. Zarnish Saira (C)</t>
  </si>
  <si>
    <t>1. Churami</t>
  </si>
  <si>
    <t>1. Molly Stephan (C)</t>
  </si>
  <si>
    <t>1. Subaida Subi (C)</t>
  </si>
  <si>
    <t>1. Ishita (C)</t>
  </si>
  <si>
    <t>2. Rukkiya</t>
  </si>
  <si>
    <t>2. Lilly (VC)</t>
  </si>
  <si>
    <t>2. Greeshma</t>
  </si>
  <si>
    <t>2. Tanusri (VC)</t>
  </si>
  <si>
    <t>3. Iqra Batool</t>
  </si>
  <si>
    <t>3. Divya Sterin</t>
  </si>
  <si>
    <t>3. Eva Thomus</t>
  </si>
  <si>
    <t>3. Arathy</t>
  </si>
  <si>
    <t>3. Popi</t>
  </si>
  <si>
    <t>4. Summan Baig</t>
  </si>
  <si>
    <t>4. Divya Gupta</t>
  </si>
  <si>
    <t>4. Gowri Madhu</t>
  </si>
  <si>
    <t>4. Chinju</t>
  </si>
  <si>
    <t>4. Pinky</t>
  </si>
  <si>
    <t>5. Shanikutty</t>
  </si>
  <si>
    <t>5. Harsha</t>
  </si>
  <si>
    <t>5. Manju</t>
  </si>
  <si>
    <t>5. Mahira</t>
  </si>
  <si>
    <t>6. Marukh Khan</t>
  </si>
  <si>
    <t>6. Ajitha Thankachan</t>
  </si>
  <si>
    <t>6. Jisha Zain</t>
  </si>
  <si>
    <t>6. Jessi</t>
  </si>
  <si>
    <t>6. Tanushree</t>
  </si>
  <si>
    <t>7. Ayla Ali</t>
  </si>
  <si>
    <t>7. Shailamma Joseph</t>
  </si>
  <si>
    <t>7. Maya</t>
  </si>
  <si>
    <t>7. Appusree</t>
  </si>
  <si>
    <t>7. Kalpana</t>
  </si>
  <si>
    <t>8. Shumaila</t>
  </si>
  <si>
    <t>8. Thushara Hari</t>
  </si>
  <si>
    <t>8. Nasila</t>
  </si>
  <si>
    <t>8. Dimya</t>
  </si>
  <si>
    <t>8. Tasnim</t>
  </si>
  <si>
    <t>9. Sona Roy</t>
  </si>
  <si>
    <t>9. Shoba Joseph</t>
  </si>
  <si>
    <t>9. Nechuz</t>
  </si>
  <si>
    <t>9. Kannaki</t>
  </si>
  <si>
    <t>10. Malihaifaz Munni</t>
  </si>
  <si>
    <t>10. Neelambari</t>
  </si>
  <si>
    <t>10. Rijina Chinnu</t>
  </si>
  <si>
    <t>11. Aena Khan</t>
  </si>
  <si>
    <t>11. Jumana Thasni</t>
  </si>
  <si>
    <t>11. Sana</t>
  </si>
  <si>
    <t>12. Taniya</t>
  </si>
  <si>
    <t>12. Nazila</t>
  </si>
  <si>
    <t>12. Sneha Jyothis</t>
  </si>
  <si>
    <t>13. Manasa</t>
  </si>
  <si>
    <t>14. Mansuri</t>
  </si>
  <si>
    <t>15. Ayat</t>
  </si>
  <si>
    <t>Tanusri Dutta (Bangladesh)</t>
  </si>
  <si>
    <t xml:space="preserve">West Indies </t>
  </si>
  <si>
    <t>Divya Gupta (West Indies)</t>
  </si>
  <si>
    <t>Padma Meghna</t>
  </si>
  <si>
    <t>Zarnish Saira (Pakistan)</t>
  </si>
  <si>
    <t>Eva Thomas (England)</t>
  </si>
  <si>
    <t>22nd Aug</t>
  </si>
  <si>
    <t>Chinju (Italy)</t>
  </si>
  <si>
    <t>Popi Sultana (Bangladesh)</t>
  </si>
  <si>
    <t>Hayley Matthews</t>
  </si>
  <si>
    <t>Maheen Khan (Pakistan)</t>
  </si>
  <si>
    <t>WGG</t>
  </si>
  <si>
    <t>Rijina Chinnu (England)</t>
  </si>
  <si>
    <t>Vivian Richards</t>
  </si>
  <si>
    <t>Nisa Navas (Italy)</t>
  </si>
  <si>
    <t>27th Aug</t>
  </si>
  <si>
    <t>Mango Fortress</t>
  </si>
  <si>
    <t>Tasnim (Bangladesh)</t>
  </si>
  <si>
    <t>Churami (West Indies)</t>
  </si>
  <si>
    <t>The Rose Bowl</t>
  </si>
  <si>
    <t>Molly Stephan (England)</t>
  </si>
  <si>
    <t xml:space="preserve">Italy </t>
  </si>
  <si>
    <t>Sidra (Pakistan)</t>
  </si>
  <si>
    <t>Appushree (Italy)</t>
  </si>
  <si>
    <t>Trent Bridge</t>
  </si>
  <si>
    <t>Sneha Jyothish (England)</t>
  </si>
  <si>
    <t>Subaida Subi (Italy)</t>
  </si>
  <si>
    <t>Q1: Pakistan vs Bangladesh</t>
  </si>
  <si>
    <t>Q2: Pakistan vs Italy</t>
  </si>
  <si>
    <t>Hyder</t>
  </si>
  <si>
    <t>Final: Bangladesh vs Italy</t>
  </si>
  <si>
    <t>IOCF Women's Global League 2026 AWARDS</t>
  </si>
  <si>
    <t>PARTICIPATING TEAMS</t>
  </si>
  <si>
    <t>2. Pakistan</t>
  </si>
  <si>
    <t>4. Bangladesh (Host)</t>
  </si>
  <si>
    <t>6. UAE</t>
  </si>
  <si>
    <t>Schedule and All Match Updates</t>
  </si>
  <si>
    <t>Bangladesh vs UAE</t>
  </si>
  <si>
    <t>7th Aug</t>
  </si>
  <si>
    <t>Golden Sands</t>
  </si>
  <si>
    <t>Tom (UAE)</t>
  </si>
  <si>
    <t>Bhargab Kashyap (Bangladesh)</t>
  </si>
  <si>
    <t>Qatar vs India</t>
  </si>
  <si>
    <t>Miraj Cool (Srilanka)</t>
  </si>
  <si>
    <t>Hasindu Rashminda (Srilanka)</t>
  </si>
  <si>
    <t>Umar Shahzad (Qatar)</t>
  </si>
  <si>
    <t>Shivaji Prakash (India)</t>
  </si>
  <si>
    <t>Bangladesh vs Qatar</t>
  </si>
  <si>
    <t>8th Aug</t>
  </si>
  <si>
    <t>Sonar Bangla</t>
  </si>
  <si>
    <t>Siddiqui Ahsan (Bangladesh)</t>
  </si>
  <si>
    <t>Syed Raza (Qatar)</t>
  </si>
  <si>
    <t>Ahmed Mughal (Qatar)</t>
  </si>
  <si>
    <t>Asru KSD (India)</t>
  </si>
  <si>
    <t>Ruwanga (Srilanka)</t>
  </si>
  <si>
    <t>Pakistan vs UAE</t>
  </si>
  <si>
    <t>Hilsha Heritage</t>
  </si>
  <si>
    <t>Wajdan (Pakistan)</t>
  </si>
  <si>
    <t>Ayaan Sheikh (Pakistan)</t>
  </si>
  <si>
    <t>Bangladesh vs Pakistan</t>
  </si>
  <si>
    <t>9th Aug</t>
  </si>
  <si>
    <t>Sundarbans</t>
  </si>
  <si>
    <t>India vs UAE</t>
  </si>
  <si>
    <t>Anshad P (India)</t>
  </si>
  <si>
    <t>Srilanka vs Qatar</t>
  </si>
  <si>
    <t>Syhlet Jewel</t>
  </si>
  <si>
    <t>Damitha N (Srilanka)</t>
  </si>
  <si>
    <t>Bangladesh vs Srilanka</t>
  </si>
  <si>
    <t>10th Aug</t>
  </si>
  <si>
    <t>Yasin Iqbal (Bangladesh)</t>
  </si>
  <si>
    <t>Princhi</t>
  </si>
  <si>
    <t>Jana CP (India)</t>
  </si>
  <si>
    <t>UAE vs Qatar</t>
  </si>
  <si>
    <t>Ans Sheikh (Qatar)</t>
  </si>
  <si>
    <t>Vishnu (UAE)</t>
  </si>
  <si>
    <t>Sebin (UAE)</t>
  </si>
  <si>
    <t>Bangladesh vs India</t>
  </si>
  <si>
    <t>11th Aug</t>
  </si>
  <si>
    <t>Sai Naveen (Bangladesh)</t>
  </si>
  <si>
    <t>Srilanka vs UAE</t>
  </si>
  <si>
    <t>Jafnis (UAE)</t>
  </si>
  <si>
    <t>Thilanga Dumindu (Srilanka)</t>
  </si>
  <si>
    <t>Rahul Raj (UAE)</t>
  </si>
  <si>
    <t>Pakistan vs Qatar</t>
  </si>
  <si>
    <t>Shamroz (Pakistan)</t>
  </si>
  <si>
    <t>Muhammad Ahmed (Pakistan)</t>
  </si>
  <si>
    <t>Semifinal 1: Bangladesh vs UAE</t>
  </si>
  <si>
    <t>12th Aug</t>
  </si>
  <si>
    <t>Antony John (UAE)</t>
  </si>
  <si>
    <t>Semifinal 2: India vs Qatar</t>
  </si>
  <si>
    <t>Peter John (India)</t>
  </si>
  <si>
    <t>Final: Bangladesh vs Qatar</t>
  </si>
  <si>
    <t>13th Aug</t>
  </si>
  <si>
    <t>Asia Cup 2026 Awards</t>
  </si>
  <si>
    <t>Achivement</t>
  </si>
  <si>
    <t>Team of the tournament</t>
  </si>
  <si>
    <t>Updated Below</t>
  </si>
  <si>
    <t>-</t>
  </si>
  <si>
    <t>19 wickets</t>
  </si>
  <si>
    <t>571 runs</t>
  </si>
  <si>
    <t>Asia Cup 2026 Team of the tournament Players</t>
  </si>
  <si>
    <t>1. Ans Sheikh (C)</t>
  </si>
  <si>
    <t>5. Bhargab Kashyap</t>
  </si>
  <si>
    <t>6. Ahmed Mughal</t>
  </si>
  <si>
    <t>7. Siddiqui Ahsan</t>
  </si>
  <si>
    <t>9. Shivaji Prakash</t>
  </si>
  <si>
    <t>10. Antony John CTR</t>
  </si>
  <si>
    <t>11. Sebin Joy</t>
  </si>
  <si>
    <t>2. Scotland (Host)</t>
  </si>
  <si>
    <t>3. Netherlands</t>
  </si>
  <si>
    <t>4. Italy</t>
  </si>
  <si>
    <t>England vs Italy</t>
  </si>
  <si>
    <t>Safeer Babu (England)</t>
  </si>
  <si>
    <t>Akshay (Italy)</t>
  </si>
  <si>
    <t>Scotland vs Netherlands</t>
  </si>
  <si>
    <t>Jishnu (Scotland)</t>
  </si>
  <si>
    <t>Bimal Baral (Netherlands)</t>
  </si>
  <si>
    <t>Netherlands vs England</t>
  </si>
  <si>
    <t>Kebin &amp; Kailas</t>
  </si>
  <si>
    <t>Nirmal Baishya (Netherlands)</t>
  </si>
  <si>
    <t>Sunaif (England)</t>
  </si>
  <si>
    <t>Scotland vs Italy</t>
  </si>
  <si>
    <t>Huzain (Italy)</t>
  </si>
  <si>
    <t>Italy vs Netherlands</t>
  </si>
  <si>
    <t>Scotland vs England</t>
  </si>
  <si>
    <t>Netherlands vs Scotland</t>
  </si>
  <si>
    <t>Shukoor (Scotland)</t>
  </si>
  <si>
    <t>Pinku (Netherlands)</t>
  </si>
  <si>
    <t>Italy vs England</t>
  </si>
  <si>
    <t>Netherlands vs Italy</t>
  </si>
  <si>
    <t>Kebin (Scotland)</t>
  </si>
  <si>
    <t>Sanoop (England)</t>
  </si>
  <si>
    <t>Ashiqui Ashi (Scotland)</t>
  </si>
  <si>
    <t>Rahul Sharma (Netherlands)</t>
  </si>
  <si>
    <t>Italy vs Scotland</t>
  </si>
  <si>
    <t>Ganesh &amp; Midhun</t>
  </si>
  <si>
    <t>Rince Thomas (Italy)</t>
  </si>
  <si>
    <t>Finals: England vs Italy</t>
  </si>
  <si>
    <t>Rahees (England)</t>
  </si>
  <si>
    <t>Euro Cup 2026 Awards</t>
  </si>
  <si>
    <t>29 wickets</t>
  </si>
  <si>
    <t>460 Runs</t>
  </si>
  <si>
    <t>333 runs &amp; 14 wickets</t>
  </si>
  <si>
    <t>Euro Cup 2026 Team of the tournament Players</t>
  </si>
  <si>
    <t>1. Diljith Das (C)</t>
  </si>
  <si>
    <t>3. Safeer Babu</t>
  </si>
  <si>
    <t>4. Sunaif</t>
  </si>
  <si>
    <t xml:space="preserve">9. Nirmal </t>
  </si>
  <si>
    <t>10. Pinku</t>
  </si>
  <si>
    <t>11. Jihan</t>
  </si>
  <si>
    <t>1. Newzealand ( HOST )</t>
  </si>
  <si>
    <t>2. Australia</t>
  </si>
  <si>
    <t>3. West Indies</t>
  </si>
  <si>
    <t>4. South Africa</t>
  </si>
  <si>
    <t xml:space="preserve">Newzealand vs Australia </t>
  </si>
  <si>
    <t>Aniket Gavit (Newzealand)</t>
  </si>
  <si>
    <t>Hrushikesh HD (Newzealand)</t>
  </si>
  <si>
    <t>Eden Park</t>
  </si>
  <si>
    <t>Arjun S Kumar (West Indies)</t>
  </si>
  <si>
    <t>Ashwin Thomas (West Indies)</t>
  </si>
  <si>
    <t>Noor &amp; Malaram</t>
  </si>
  <si>
    <t>Vipin R (West Indies)</t>
  </si>
  <si>
    <t>Abrar Ali (Australia)</t>
  </si>
  <si>
    <t>Kannan (West Indies)</t>
  </si>
  <si>
    <t>Newzealand vs West Indies</t>
  </si>
  <si>
    <t>Malaram &amp; Waqas</t>
  </si>
  <si>
    <t>Srajan Poojari (Newzealand)</t>
  </si>
  <si>
    <t>Australia vs South Africa</t>
  </si>
  <si>
    <t>Keshav Shah (Australia)</t>
  </si>
  <si>
    <t>Kaushik Kalita (South Africa)</t>
  </si>
  <si>
    <t>Rakshith Shetty</t>
  </si>
  <si>
    <t>Gautam Shankara Ram (Newzealand)</t>
  </si>
  <si>
    <t>Waqas Mughal (Australia)</t>
  </si>
  <si>
    <t>West Indies vs South Africa</t>
  </si>
  <si>
    <t>Arnab &amp; Malaram</t>
  </si>
  <si>
    <t>Siddharth V Jain (South Africa)</t>
  </si>
  <si>
    <t>Nihal (West Indies)</t>
  </si>
  <si>
    <t xml:space="preserve">Sreeraj </t>
  </si>
  <si>
    <t>Shibasis (South Africa)</t>
  </si>
  <si>
    <t>West Indies vs Australia</t>
  </si>
  <si>
    <t>Arnab Sarkar (Australia)</t>
  </si>
  <si>
    <t>Harsh Dubey (Australia)</t>
  </si>
  <si>
    <t>Aseem (Newzealand)</t>
  </si>
  <si>
    <t>Vipin (West Indies)</t>
  </si>
  <si>
    <t>South Africa vs Australia</t>
  </si>
  <si>
    <t>Mohammad Noor (Australia)</t>
  </si>
  <si>
    <t>Final: Newzealand vs Australia</t>
  </si>
  <si>
    <t>Rahul Gadia (Australia)</t>
  </si>
  <si>
    <t>Oceania Cup 2026 Awards</t>
  </si>
  <si>
    <t>20 wickets</t>
  </si>
  <si>
    <t>284 runs</t>
  </si>
  <si>
    <t>131 runs &amp; 20 wickets</t>
  </si>
  <si>
    <t>Oceania Cup 2026 Team of the tournament Players</t>
  </si>
  <si>
    <t>1. Toby Joseph (C)</t>
  </si>
  <si>
    <t>Newzeland</t>
  </si>
  <si>
    <t xml:space="preserve">2. Arnab Sarkar </t>
  </si>
  <si>
    <t>4. Keshav Shah</t>
  </si>
  <si>
    <t>5. Shibasis</t>
  </si>
  <si>
    <t xml:space="preserve">7. Gautam Shankara Ram </t>
  </si>
  <si>
    <t>8. Srajan Poojari</t>
  </si>
  <si>
    <t>9. Harsh Dubey</t>
  </si>
  <si>
    <t>11. Ajay Joseph</t>
  </si>
  <si>
    <t>IOCF ASSOCIATE NATIONS CUP HOSTED BY USA</t>
  </si>
  <si>
    <t>IRELAND</t>
  </si>
  <si>
    <t>ZIMBABWE</t>
  </si>
  <si>
    <t>CANADA</t>
  </si>
  <si>
    <t>UGANDA</t>
  </si>
  <si>
    <t>1. Afaq Warraich</t>
  </si>
  <si>
    <t>2. Anurag Nath</t>
  </si>
  <si>
    <t>3. Bijoy D S</t>
  </si>
  <si>
    <t>3. Ali Abbas Bangash</t>
  </si>
  <si>
    <t>3. Akash Duwara</t>
  </si>
  <si>
    <t>3. Allahbux</t>
  </si>
  <si>
    <t>4. Febin</t>
  </si>
  <si>
    <t>4. Arsal Chaudry</t>
  </si>
  <si>
    <t>4. Chinthan Pujari</t>
  </si>
  <si>
    <t>5. Fijin Johnson</t>
  </si>
  <si>
    <t>5. Athulnath</t>
  </si>
  <si>
    <t>5. Drubo Rajbongshi</t>
  </si>
  <si>
    <t>6. Gaurav Mittal</t>
  </si>
  <si>
    <t>6. Bilal</t>
  </si>
  <si>
    <t>6. Jintu Duwara</t>
  </si>
  <si>
    <t>6. Faizan</t>
  </si>
  <si>
    <t>6. Alen</t>
  </si>
  <si>
    <t>7. Hafijul SK</t>
  </si>
  <si>
    <t>7. Huz aifa</t>
  </si>
  <si>
    <t>7. Jyotishman Das</t>
  </si>
  <si>
    <t>7. Faraz Kapri</t>
  </si>
  <si>
    <t>7. Althwaf</t>
  </si>
  <si>
    <t>8. Hasir Javed</t>
  </si>
  <si>
    <t>8. Karthik Varma</t>
  </si>
  <si>
    <t>8. Farhan</t>
  </si>
  <si>
    <t>8. Anoop</t>
  </si>
  <si>
    <t>9. Ibrahim Shihab</t>
  </si>
  <si>
    <t>9. Kranthi Smith</t>
  </si>
  <si>
    <t>9. Kartik Haloi</t>
  </si>
  <si>
    <t>9. Manjeet</t>
  </si>
  <si>
    <t>10. Jayesh Nikilje</t>
  </si>
  <si>
    <t>10. Noufal</t>
  </si>
  <si>
    <t>10. Krathik Mogavera</t>
  </si>
  <si>
    <t>10. Mansoor</t>
  </si>
  <si>
    <t>10. Anusha</t>
  </si>
  <si>
    <t>11. Khatu Jeswani</t>
  </si>
  <si>
    <t>11. Poorn a</t>
  </si>
  <si>
    <t>11. Muneef Mnoz</t>
  </si>
  <si>
    <t>11. Najibullah</t>
  </si>
  <si>
    <t>11. Aravind</t>
  </si>
  <si>
    <t>12. Manindra Payal</t>
  </si>
  <si>
    <t>12. Rahim Ullah</t>
  </si>
  <si>
    <t>12. Muzahidul Alom</t>
  </si>
  <si>
    <t>12. Naveen</t>
  </si>
  <si>
    <t>12. Asaf</t>
  </si>
  <si>
    <t>13. Mohsin Latif</t>
  </si>
  <si>
    <t>13. Sami</t>
  </si>
  <si>
    <t>13. Nikita Das</t>
  </si>
  <si>
    <t>13. Neak Mohammad</t>
  </si>
  <si>
    <t>13. Ayaz</t>
  </si>
  <si>
    <t>14. Moiz Gujjar</t>
  </si>
  <si>
    <t>14. Sayandeep Ghosh</t>
  </si>
  <si>
    <t>14. Pintu Dey</t>
  </si>
  <si>
    <t>14. Rehan</t>
  </si>
  <si>
    <t>14. Haseeb</t>
  </si>
  <si>
    <t>15. Mubashir Khan (C)</t>
  </si>
  <si>
    <t>15. Seru Yuvi</t>
  </si>
  <si>
    <t>15. Prayas Parasar</t>
  </si>
  <si>
    <t>15. Romeo</t>
  </si>
  <si>
    <t>15. Hubalnas</t>
  </si>
  <si>
    <t>16. Rao Abul (VC)</t>
  </si>
  <si>
    <t>16. Sunny</t>
  </si>
  <si>
    <t>16. Rishabh Sarkar</t>
  </si>
  <si>
    <t>16. Joyal</t>
  </si>
  <si>
    <t>17. Rohan Singh Rathore</t>
  </si>
  <si>
    <t>17. Talal Choudhary</t>
  </si>
  <si>
    <t>17. Rittik Upadhayay</t>
  </si>
  <si>
    <t>17. Shafa</t>
  </si>
  <si>
    <t>17. Jubi</t>
  </si>
  <si>
    <t>18. Saad Ahsam</t>
  </si>
  <si>
    <t>18. Zain Gujjar</t>
  </si>
  <si>
    <t>18. Ringkan Bayan</t>
  </si>
  <si>
    <t>18. Shebin</t>
  </si>
  <si>
    <t>18. Mallayya</t>
  </si>
  <si>
    <t>19. Shad Mehar</t>
  </si>
  <si>
    <t>19. Zain Ul Hassan</t>
  </si>
  <si>
    <t>19. Rony Chouhan</t>
  </si>
  <si>
    <t>19. Vishesh</t>
  </si>
  <si>
    <t>19. Midlaj</t>
  </si>
  <si>
    <t>20. Talha Gujjar</t>
  </si>
  <si>
    <t>20. Susanta Kalita</t>
  </si>
  <si>
    <t>20. Noufal</t>
  </si>
  <si>
    <t>21. Vignesh Das</t>
  </si>
  <si>
    <t>21. Uttam Bharali</t>
  </si>
  <si>
    <t>21. Rijoyes</t>
  </si>
  <si>
    <t>22. Zamam Usmani</t>
  </si>
  <si>
    <t>22. Sahad</t>
  </si>
  <si>
    <t>23. Savad</t>
  </si>
  <si>
    <t>24. Sreeraj</t>
  </si>
  <si>
    <t>25. Sreeraj K</t>
  </si>
  <si>
    <t>26. Vaishnav</t>
  </si>
  <si>
    <t>27. Vineeth</t>
  </si>
  <si>
    <t>28. Vineeth C</t>
  </si>
  <si>
    <t>29. Vishnu G</t>
  </si>
  <si>
    <t>USA vs Uganda</t>
  </si>
  <si>
    <t>13th Sept</t>
  </si>
  <si>
    <t>New York</t>
  </si>
  <si>
    <t>Princhi Bora</t>
  </si>
  <si>
    <t>Noufal (Uganda)</t>
  </si>
  <si>
    <t>Vineeth Chandhu (Uganda)</t>
  </si>
  <si>
    <t>Ireland vs Zimbabwe</t>
  </si>
  <si>
    <t>Capital Crown</t>
  </si>
  <si>
    <t>Dhurbo Rajbongshi (Zimbabwe)</t>
  </si>
  <si>
    <t>Rony Chouhan (Zimbabwe)</t>
  </si>
  <si>
    <t>USA vs Zimbabwe</t>
  </si>
  <si>
    <t>16th Sept</t>
  </si>
  <si>
    <t>Eagle</t>
  </si>
  <si>
    <t>Mohsin Lathif (USA)</t>
  </si>
  <si>
    <t>Ritik Upadhyay(Zimbabwe)</t>
  </si>
  <si>
    <t>Ireland vs Canada</t>
  </si>
  <si>
    <t>Rohan Singh</t>
  </si>
  <si>
    <t>Ali Abbas Bangash(Ireland)</t>
  </si>
  <si>
    <t>Naveen Gupta(Canada)</t>
  </si>
  <si>
    <t>USA vs Canada</t>
  </si>
  <si>
    <t>19th Sept</t>
  </si>
  <si>
    <t>Naveen Gupta (Canada)</t>
  </si>
  <si>
    <t>Rehan (Canada)</t>
  </si>
  <si>
    <t>Zimbabwe vs Uganda</t>
  </si>
  <si>
    <t>Ali Abbas</t>
  </si>
  <si>
    <t>Ayaz (Uganda)</t>
  </si>
  <si>
    <t>USA vs Ireland</t>
  </si>
  <si>
    <t>22nd Sept</t>
  </si>
  <si>
    <t>Rahim Ullah (Ireland)</t>
  </si>
  <si>
    <t>Noufal (Ireland)</t>
  </si>
  <si>
    <t>Canada vs Uganda</t>
  </si>
  <si>
    <t>Akash Pol (Canada)</t>
  </si>
  <si>
    <t>Ireland vs Uganda</t>
  </si>
  <si>
    <t>25th Sept</t>
  </si>
  <si>
    <t>Karthik Varma (Ireland)</t>
  </si>
  <si>
    <t>Canada vs Zimbabwe</t>
  </si>
  <si>
    <t>Dhurbo (Zimbabwe)</t>
  </si>
  <si>
    <t>Finals: Canada vs Ireland</t>
  </si>
  <si>
    <t>28th Sept</t>
  </si>
  <si>
    <t>Akshay Dileep (Ireland)</t>
  </si>
  <si>
    <t>Associate Nations Cup 2026 Awards</t>
  </si>
  <si>
    <t>114.1 Mvp Points</t>
  </si>
  <si>
    <t>330 Runs</t>
  </si>
  <si>
    <t>37 Wickets</t>
  </si>
  <si>
    <t>120 Score</t>
  </si>
  <si>
    <t>8-48 Best Bowl</t>
  </si>
  <si>
    <t>43.0 Bat Average</t>
  </si>
  <si>
    <t>IOCF ODI WORLD CUP HOSTED BY PAKISTAN</t>
  </si>
  <si>
    <t>AUSTRALIA</t>
  </si>
  <si>
    <t>BANGLADESH</t>
  </si>
  <si>
    <t>ENGLAND</t>
  </si>
  <si>
    <t>INDIA</t>
  </si>
  <si>
    <t>ITALY</t>
  </si>
  <si>
    <t>NETHERLANDS</t>
  </si>
  <si>
    <t>NEWZEALAND</t>
  </si>
  <si>
    <t>PAKISTAN</t>
  </si>
  <si>
    <t>QATAR</t>
  </si>
  <si>
    <t>SCOTLAND</t>
  </si>
  <si>
    <t>SOUTH AFRICA</t>
  </si>
  <si>
    <t>SRILANKA</t>
  </si>
  <si>
    <t>WEST INDIES</t>
  </si>
  <si>
    <t>1. Abdul Rahman</t>
  </si>
  <si>
    <t>1. Abdul Muqeeth</t>
  </si>
  <si>
    <t>1. Binara Udayanga</t>
  </si>
  <si>
    <t>1. Abhilash PA (Vice-Captain)</t>
  </si>
  <si>
    <t>2. Anand Ajikumar</t>
  </si>
  <si>
    <t>2. Adil</t>
  </si>
  <si>
    <t>2. Biki Basishtha</t>
  </si>
  <si>
    <t>2. Ajay (Captain)</t>
  </si>
  <si>
    <t>2. Chalana Rukshan</t>
  </si>
  <si>
    <t>2. Ajay Paul</t>
  </si>
  <si>
    <t>3. Achuz</t>
  </si>
  <si>
    <t>3. Abin</t>
  </si>
  <si>
    <t>3. Albin</t>
  </si>
  <si>
    <t>3. Bikram Saikia</t>
  </si>
  <si>
    <t>3. Daniyal Sheikh</t>
  </si>
  <si>
    <t>3. Aman Raj Singh</t>
  </si>
  <si>
    <t>3. Bhavin Kumar (Captain)</t>
  </si>
  <si>
    <t>3. Al Ameen</t>
  </si>
  <si>
    <t>4. Arnab Sarkar (Captain)</t>
  </si>
  <si>
    <t>4. Ali Khan</t>
  </si>
  <si>
    <t>4. Ajin P</t>
  </si>
  <si>
    <t>4. Aseem Abd</t>
  </si>
  <si>
    <t>4. Anas Asim</t>
  </si>
  <si>
    <t>4. Anoop mk</t>
  </si>
  <si>
    <t>4. Donald Baghwar</t>
  </si>
  <si>
    <t>4. Damitha Naranpanawa (Captain)</t>
  </si>
  <si>
    <t>4. Antony (Vice-Captain)</t>
  </si>
  <si>
    <t>5. Ashfak Hosain</t>
  </si>
  <si>
    <t>5. Debajit Borthakur (Captain)</t>
  </si>
  <si>
    <t>5. Ashwini Raam</t>
  </si>
  <si>
    <t>5. Haseeb Shaka</t>
  </si>
  <si>
    <t>5. Ans Sheikh (Captain)</t>
  </si>
  <si>
    <t>5. Jibin Althaf</t>
  </si>
  <si>
    <t>5. Aneesh Kannur</t>
  </si>
  <si>
    <t>6. Farhan Malick</t>
  </si>
  <si>
    <t>6. Diljith Das (Captain)</t>
  </si>
  <si>
    <t>6. Asru Ibrahim</t>
  </si>
  <si>
    <t>6. Huzain</t>
  </si>
  <si>
    <t>6. Debasish Borgohain</t>
  </si>
  <si>
    <t>6. Gautam Shankara Ram</t>
  </si>
  <si>
    <t>6. Hizbullah Sahito</t>
  </si>
  <si>
    <t>6. Arslan Ali Shani</t>
  </si>
  <si>
    <t>6. Arjun Raj R</t>
  </si>
  <si>
    <t>6. K Srinidhi (Vice-Captain)</t>
  </si>
  <si>
    <t>6. Athul</t>
  </si>
  <si>
    <t>6. Anish Babu Konni</t>
  </si>
  <si>
    <t>7. Harsh Dubey</t>
  </si>
  <si>
    <t>7. Rashid</t>
  </si>
  <si>
    <t>7. Aswin Biju</t>
  </si>
  <si>
    <t>7. Hybi</t>
  </si>
  <si>
    <t>7. Deepjyoti Talukdar</t>
  </si>
  <si>
    <t>7. Hasan Musabbir</t>
  </si>
  <si>
    <t>7. Iqra Batool</t>
  </si>
  <si>
    <t>7. Ashi</t>
  </si>
  <si>
    <t>7. Kaushik Kalita</t>
  </si>
  <si>
    <t>7. Ayas</t>
  </si>
  <si>
    <t>7. Arjun S Kumar</t>
  </si>
  <si>
    <t>8. Keshav Shah</t>
  </si>
  <si>
    <t>8. Ishita Sharma</t>
  </si>
  <si>
    <t>8. Jinson</t>
  </si>
  <si>
    <t>8. Dipankar Roy</t>
  </si>
  <si>
    <t>8. Hrushikesh Dinkar</t>
  </si>
  <si>
    <t xml:space="preserve">8. Jalal Jalu </t>
  </si>
  <si>
    <t>8. Mahi Mahendra</t>
  </si>
  <si>
    <t>8. Jabir</t>
  </si>
  <si>
    <t>8. Bharath Narayan</t>
  </si>
  <si>
    <t>9. Malik Zubair</t>
  </si>
  <si>
    <t>9. Molley Stephan</t>
  </si>
  <si>
    <t>9. Lal</t>
  </si>
  <si>
    <t>9. Hirak Jyoti Deka</t>
  </si>
  <si>
    <t>9. Maheen Khan</t>
  </si>
  <si>
    <t>9. Mudasir Ali</t>
  </si>
  <si>
    <t>9. Rahul Mahapatra</t>
  </si>
  <si>
    <t>9. Jafnis (Captain)</t>
  </si>
  <si>
    <t>9. Frijo Thomas</t>
  </si>
  <si>
    <t>10. Malaram Patel</t>
  </si>
  <si>
    <t>10. Manan Irfan</t>
  </si>
  <si>
    <t>10. Nisham</t>
  </si>
  <si>
    <t>10. Manju</t>
  </si>
  <si>
    <t>10. Jahirul Hoque (Vice-Captain)</t>
  </si>
  <si>
    <t>10. Muhammad Ahmad (Captain)</t>
  </si>
  <si>
    <t>10. Muhammad Ahmed Mughal (Vice-Captain)</t>
  </si>
  <si>
    <t>11. Manish Indoria</t>
  </si>
  <si>
    <t>11. Partha Pratim Bora</t>
  </si>
  <si>
    <t>11. Rahees</t>
  </si>
  <si>
    <t>11. Rince Thomas (Captain)</t>
  </si>
  <si>
    <t>11. Jihan Omar Fakir</t>
  </si>
  <si>
    <t>11. Mahesh Margol (Vice-Captain)</t>
  </si>
  <si>
    <t>11. Muhammad Ali</t>
  </si>
  <si>
    <t>11. Muhammad Touqeer</t>
  </si>
  <si>
    <t>11. Rakshith Shetty</t>
  </si>
  <si>
    <t>11. Rasith Wijethunga</t>
  </si>
  <si>
    <t>11. Nikhil</t>
  </si>
  <si>
    <t>11. Jaseel Vavad</t>
  </si>
  <si>
    <t>12. Muhammad Noor</t>
  </si>
  <si>
    <t>12. Popi Sultana</t>
  </si>
  <si>
    <t>12. Renjish</t>
  </si>
  <si>
    <t>12. Harish</t>
  </si>
  <si>
    <t>12. Sanzil</t>
  </si>
  <si>
    <t>12. Nithin Poojari</t>
  </si>
  <si>
    <t>12. Nasrullah</t>
  </si>
  <si>
    <t>12. Muhammad Waleed Khan</t>
  </si>
  <si>
    <t>12. Irshad</t>
  </si>
  <si>
    <t>12. Rubesh Jude Daniel</t>
  </si>
  <si>
    <t>12. Rahul</t>
  </si>
  <si>
    <t>13. Muhammad Shahzad</t>
  </si>
  <si>
    <t>13. Princhi Pratim Bora</t>
  </si>
  <si>
    <t>13. Safeer Babu</t>
  </si>
  <si>
    <t>13. Janardhanan C P (Vice-Captain)</t>
  </si>
  <si>
    <t>13. Shuhaib</t>
  </si>
  <si>
    <t>13. Marami Ahmed</t>
  </si>
  <si>
    <t>13. Shamroz (Vice-Captain)</t>
  </si>
  <si>
    <t>13. Muzammil Zafar</t>
  </si>
  <si>
    <t>13. Jishnu (Vice Captain)</t>
  </si>
  <si>
    <t>13. Ruwanga Bandarawaththa</t>
  </si>
  <si>
    <t>13. Sebin</t>
  </si>
  <si>
    <t>13. Midhun Manilal (Captain)</t>
  </si>
  <si>
    <t>14. Rahul Gadia</t>
  </si>
  <si>
    <t>14. Raees Ashiq</t>
  </si>
  <si>
    <t>14. Sanoop</t>
  </si>
  <si>
    <t>14. Mowglee</t>
  </si>
  <si>
    <t>14. Subi (Vice-Captain)</t>
  </si>
  <si>
    <t>14. Nirmal Baishya</t>
  </si>
  <si>
    <t>14. Srajan Poojari</t>
  </si>
  <si>
    <t>14. Raza Hassnain</t>
  </si>
  <si>
    <t>14. Kebin</t>
  </si>
  <si>
    <t>14. Sasith Jayawardena</t>
  </si>
  <si>
    <t>14. Thrived</t>
  </si>
  <si>
    <t>15. Rizwan Mansoori</t>
  </si>
  <si>
    <t>15. Sai Naveen Chowdary (Captain)</t>
  </si>
  <si>
    <t>15. Peter John</t>
  </si>
  <si>
    <t>15. Tom</t>
  </si>
  <si>
    <t>15. Niyor J Kashyap</t>
  </si>
  <si>
    <t>15. Tejasvin Av</t>
  </si>
  <si>
    <t>15. Talha D'crew</t>
  </si>
  <si>
    <t>15. Saad Rizwan</t>
  </si>
  <si>
    <t>15. Shaheen</t>
  </si>
  <si>
    <t>15. Thilanga Dumindu (Vice-Captain)</t>
  </si>
  <si>
    <t>15. Rahul Suresh</t>
  </si>
  <si>
    <t>16. Umar Khan</t>
  </si>
  <si>
    <t>16. Tanusri Dutta</t>
  </si>
  <si>
    <t>16. Sri Vishnu</t>
  </si>
  <si>
    <t>16. Rahul Roy</t>
  </si>
  <si>
    <t>16. Vignesh</t>
  </si>
  <si>
    <t>16. Pinku Bordoloi</t>
  </si>
  <si>
    <t>16. Toby Joseph (Captain)</t>
  </si>
  <si>
    <t>16. Umar Abbas</t>
  </si>
  <si>
    <t>16. Sufyan Gujjar</t>
  </si>
  <si>
    <t>16. Shukoor</t>
  </si>
  <si>
    <t>16. Shiva Teja</t>
  </si>
  <si>
    <t>16. Vaishnav</t>
  </si>
  <si>
    <t>16. Shibili M</t>
  </si>
  <si>
    <t>17. Rima Sona</t>
  </si>
  <si>
    <t>17. Ishaq Farid</t>
  </si>
  <si>
    <t>17. Sujith CS Ctr (Vice-Captain)</t>
  </si>
  <si>
    <t>17. Rahul Seenu</t>
  </si>
  <si>
    <t>17. Vipin Sai</t>
  </si>
  <si>
    <t>17. Rahul Sharma</t>
  </si>
  <si>
    <t>17. Wajdan</t>
  </si>
  <si>
    <t>17. Suleman Haider</t>
  </si>
  <si>
    <t>17. Sufaid</t>
  </si>
  <si>
    <t>17. Siddharth Jain</t>
  </si>
  <si>
    <t>17. Uresh Gnanananga</t>
  </si>
  <si>
    <t>17. Varun</t>
  </si>
  <si>
    <t>17. Sreeraj R Kaimal</t>
  </si>
  <si>
    <t>18. Zeeshan Yakub Gujjar</t>
  </si>
  <si>
    <t>18. Yasin Iqbal (Vice-Captain)</t>
  </si>
  <si>
    <t>18. Sunaif</t>
  </si>
  <si>
    <t>18. Shivaji Prakash (Captain)</t>
  </si>
  <si>
    <t>18. Vishnu Vijay</t>
  </si>
  <si>
    <t>18. Rishi Raj</t>
  </si>
  <si>
    <t>18. Yeshwanth Chinni</t>
  </si>
  <si>
    <t>18. Zarnish Saira</t>
  </si>
  <si>
    <t>18. Umar Shahzad</t>
  </si>
  <si>
    <t>18. Thebseer</t>
  </si>
  <si>
    <t>18. Susheel Teja</t>
  </si>
  <si>
    <t>18. Virendra Pieris</t>
  </si>
  <si>
    <t>18. Vishnu</t>
  </si>
  <si>
    <t>18. Sterin Joseph</t>
  </si>
  <si>
    <t>Replacement</t>
  </si>
  <si>
    <t>1. Ashwini -&gt; Out &amp; Zubair -&gt; In</t>
  </si>
  <si>
    <t>1. Karan -&gt; Out &amp; Waqas -&gt; In</t>
  </si>
  <si>
    <t>1. Gowri -&gt; Out &amp; Rashid -&gt; In</t>
  </si>
  <si>
    <t>1. Huzaifa -&gt; Out &amp; Tejasvin -&gt; In</t>
  </si>
  <si>
    <t>1. Marukh -&gt; Out &amp; Jalal -&gt; In</t>
  </si>
  <si>
    <t>1. Ishtiaq -&gt; Out &amp; Arslan -&gt; In</t>
  </si>
  <si>
    <t>1. Akshay -&gt; Out &amp; Arjun -&gt; In</t>
  </si>
  <si>
    <t>1. Justin -&gt; Out &amp; Hanish -&gt; In</t>
  </si>
  <si>
    <t>2. Ankan -&gt; Out &amp; Umar -&gt; In</t>
  </si>
  <si>
    <t>2. Vaibhav -&gt; Out &amp; Ishaq -&gt; In</t>
  </si>
  <si>
    <t>3. Waqas -&gt; Out &amp; Rima -&gt; In</t>
  </si>
  <si>
    <t>POOLS</t>
  </si>
  <si>
    <t>POOL A</t>
  </si>
  <si>
    <t>POOL B</t>
  </si>
  <si>
    <t>1. Qatar</t>
  </si>
  <si>
    <t>2. Italy</t>
  </si>
  <si>
    <t>Nasrullah &amp; Ganesh</t>
  </si>
  <si>
    <t>Siddharth V Jain (South Africa) - 65(58)</t>
  </si>
  <si>
    <t>Arnab Sarkar (Australia) - 5/67</t>
  </si>
  <si>
    <t>Rahul Gadia (Australia) - 5</t>
  </si>
  <si>
    <t>Arnab Sarkar (Australia) - 28</t>
  </si>
  <si>
    <t>Princhi Pritam Bora</t>
  </si>
  <si>
    <t>Hizbullah Sahito (Pakistan)</t>
  </si>
  <si>
    <t>Suleman Haider (Qatar) - 101(79)</t>
  </si>
  <si>
    <t>Shamroz (Pakistan) - 5/54</t>
  </si>
  <si>
    <t>Suleman Haider (Qatar) - 6</t>
  </si>
  <si>
    <t>Muhammad Touqeer (Qatar) - 19</t>
  </si>
  <si>
    <t>3. Bangladesh</t>
  </si>
  <si>
    <t>3. Newzealand</t>
  </si>
  <si>
    <t>Scotland vs Sri Lanka</t>
  </si>
  <si>
    <t>Umar &amp; Ganesh</t>
  </si>
  <si>
    <t>Sasith Jayawardane (Srilanka)</t>
  </si>
  <si>
    <t>Hari M (Scotland) - 108(90)</t>
  </si>
  <si>
    <t>Sasith Jayawardane (Srilanka) - 5/56</t>
  </si>
  <si>
    <t>Hari M (Scotland) - 6</t>
  </si>
  <si>
    <t>Sasith Jayawardane (Srilanka) - 28</t>
  </si>
  <si>
    <t>Italy vs New Zealand</t>
  </si>
  <si>
    <t>Hizbullah &amp; Ahmed</t>
  </si>
  <si>
    <t>Toby Joseph (Newzealand)</t>
  </si>
  <si>
    <t>Lal krishna (Italy) - 43(49)</t>
  </si>
  <si>
    <t>Shuhaib (Italy) - 4/37</t>
  </si>
  <si>
    <t>Hasan Musabbir (Newzealand) - 3</t>
  </si>
  <si>
    <t>Subaida Subi (Italy) - 30</t>
  </si>
  <si>
    <t>4. UAE</t>
  </si>
  <si>
    <t>4. India</t>
  </si>
  <si>
    <t>Umar &amp; Hizbullah</t>
  </si>
  <si>
    <t>Ali Khan (Bangladesh)</t>
  </si>
  <si>
    <t>Antony John Ctr (UAE) - 83(67)</t>
  </si>
  <si>
    <t>Sai Naveen (Bangladesh) - 3/36</t>
  </si>
  <si>
    <t>Ali Khan (Bangladesh) - 7</t>
  </si>
  <si>
    <t>Yasin Iqbal (Bangladesh) - 32</t>
  </si>
  <si>
    <t>Farhan (India) - 56(41)</t>
  </si>
  <si>
    <t>Shivaji Prakash (India) - 5/58</t>
  </si>
  <si>
    <t xml:space="preserve">Farhan (India) - 5 </t>
  </si>
  <si>
    <t xml:space="preserve">Shivaji Prakash(India) - 45 </t>
  </si>
  <si>
    <t>5. Scotland</t>
  </si>
  <si>
    <t>5. West Indies</t>
  </si>
  <si>
    <t>Shajahan (South Africa)</t>
  </si>
  <si>
    <t xml:space="preserve"> Shajahan (South Africa) - 96(80)</t>
  </si>
  <si>
    <t>Saubhagya Gupta( South Africa ) - 4/31</t>
  </si>
  <si>
    <t xml:space="preserve">Shajahan (South Africa) - 5 </t>
  </si>
  <si>
    <t>K Rakesh (South Africa) - 26</t>
  </si>
  <si>
    <t>Qatar vs Italy</t>
  </si>
  <si>
    <t>Sanazil (Italy)</t>
  </si>
  <si>
    <t>Sanazil (Italy) - 99(85)</t>
  </si>
  <si>
    <t>Subaida Subi(Italy) - 4/37</t>
  </si>
  <si>
    <t>Sanazil (Italy) - 6</t>
  </si>
  <si>
    <t>Ahmed Mughal (Qatar) - 23</t>
  </si>
  <si>
    <t>6. South Africa</t>
  </si>
  <si>
    <t>6. Netherlands</t>
  </si>
  <si>
    <t>Australia vs UAE</t>
  </si>
  <si>
    <t>Skardu</t>
  </si>
  <si>
    <t>Malik Zubair (Australia)</t>
  </si>
  <si>
    <t>Rahul Raj (UAE) - 72(66)</t>
  </si>
  <si>
    <t>Malik Zubair (Australia) - 6/44</t>
  </si>
  <si>
    <t>Rahul Gadia (Australia) - 3</t>
  </si>
  <si>
    <t>Arnab Sarkar (Australia) - 32</t>
  </si>
  <si>
    <t>Netherlands vs New Zealand</t>
  </si>
  <si>
    <t>Umar Abbas</t>
  </si>
  <si>
    <t>Nirmal (Netherlands)</t>
  </si>
  <si>
    <t>Dipankar (Netherlands) - 107(85)</t>
  </si>
  <si>
    <t>Biki (Netherlands) - 5/30</t>
  </si>
  <si>
    <t>Nirmal (Netherlands) - 6</t>
  </si>
  <si>
    <t>Marami Ahmed (Netherlands) - 21</t>
  </si>
  <si>
    <t>7. Srilanka</t>
  </si>
  <si>
    <t>7. Pakistan</t>
  </si>
  <si>
    <t>Peshawar</t>
  </si>
  <si>
    <t>Hari M (Scotland)</t>
  </si>
  <si>
    <t>Hari M (Scotland) - 76(62)</t>
  </si>
  <si>
    <t>Safeer Babu(England) - 4/45</t>
  </si>
  <si>
    <t>Sujith CS Ctr(England) - 5</t>
  </si>
  <si>
    <t>Arjun Raj R(Scotland) - 22</t>
  </si>
  <si>
    <t>Pakistan vs West Indies</t>
  </si>
  <si>
    <t>Kishore &amp; Tejasvin</t>
  </si>
  <si>
    <t>Muhammad Ahmed(Pakistan)</t>
  </si>
  <si>
    <t>Ajay (West Indies) - 80(49)</t>
  </si>
  <si>
    <t>Abhilash PA(West Indies) - 4/16</t>
  </si>
  <si>
    <t>Ajay (West Indies) - 7</t>
  </si>
  <si>
    <t>Muhammad Ahmed(Pakistan) - 31</t>
  </si>
  <si>
    <t>Bangladesh vs Sri Lanka</t>
  </si>
  <si>
    <t>Ruwanga B(Sri Lanka) - 58(49)</t>
  </si>
  <si>
    <t>Rasith Wijethunga(Sri Lanka) - 4/51</t>
  </si>
  <si>
    <t>Ali Khan (Bangladesh) - 5</t>
  </si>
  <si>
    <t>Rasith Wijethunga(Sri Lanka) - 33</t>
  </si>
  <si>
    <t>Qatar vs New Zealand</t>
  </si>
  <si>
    <t>Abdul Muqeeth (Qatar)</t>
  </si>
  <si>
    <t>Suleman Haider (Qatar) - 64(43)</t>
  </si>
  <si>
    <t>Muhammad Touqeer(Qatar) - 5/39</t>
  </si>
  <si>
    <t>Gautam Shankara Ram(Newzealand) - 4</t>
  </si>
  <si>
    <t>Muhammad Touqeer(Qatar) - 27</t>
  </si>
  <si>
    <t>England vs Australia</t>
  </si>
  <si>
    <t>Muhammad Noor(Australia) - 72(42)</t>
  </si>
  <si>
    <t>Safeer Babu(England) - 5/25</t>
  </si>
  <si>
    <t>Muhammad Noor(Australia) - 9</t>
  </si>
  <si>
    <t>Arnab Sarkar(Australia) - 37</t>
  </si>
  <si>
    <t>West Indies vs Netherlands</t>
  </si>
  <si>
    <t>Muhammad Ahmed</t>
  </si>
  <si>
    <t>Anish Babu Koni(West Indies)</t>
  </si>
  <si>
    <t>Midhun Manilal(West Indies) - 111(49)</t>
  </si>
  <si>
    <t>Anish Babu Koni(West Indies) - 4/50</t>
  </si>
  <si>
    <t>Anish Babu Koni(West Indies) - 7</t>
  </si>
  <si>
    <t>Anish Babu Koni(West Indies) - 33</t>
  </si>
  <si>
    <t>UAE vs Scotland</t>
  </si>
  <si>
    <t>Jafnis(UAE)</t>
  </si>
  <si>
    <t>Antony John Ctr (UAE) - 89(79)</t>
  </si>
  <si>
    <t>Ajay Kumar Sajeev(Scotland) - 6/61</t>
  </si>
  <si>
    <t>Hari M (Scotland) - 4</t>
  </si>
  <si>
    <t>Ajay Kumar Sajeev(Scotland) - 41</t>
  </si>
  <si>
    <t>India vs Italy</t>
  </si>
  <si>
    <t>Greeshma(Italy) - 56(41)</t>
  </si>
  <si>
    <t>Hybi Anil(Italy) - 3/38</t>
  </si>
  <si>
    <t>Shivaji Prakash(India) - 4</t>
  </si>
  <si>
    <t>Shivaji Prakash(India) - 29</t>
  </si>
  <si>
    <t>Bangladesh vs South Africa</t>
  </si>
  <si>
    <t>Shajahan (South Africa) - 91(67)</t>
  </si>
  <si>
    <t>Bhavin Kumar(South Africa) - 4/33</t>
  </si>
  <si>
    <t>Manan Irfan(Bangladesh) - 5</t>
  </si>
  <si>
    <t>Bhavin Kumar(South Africa) - 22</t>
  </si>
  <si>
    <t>Qatar vs West Indies</t>
  </si>
  <si>
    <t>Midhun Manilal(West Indies)</t>
  </si>
  <si>
    <t>Umar Shahzad(Qatar) - 135(86)</t>
  </si>
  <si>
    <t>Midhun Manilal(West Indies) - 4/41</t>
  </si>
  <si>
    <t>Umar Shahzad(Qatar) - 9</t>
  </si>
  <si>
    <t>Midhun Manilal(West Indies) - 30</t>
  </si>
  <si>
    <t>Australia vs Sri Lanka</t>
  </si>
  <si>
    <t>Damitha Naranpanawa (Srilanka)</t>
  </si>
  <si>
    <t>Rasith Wijethunga(Srilanka) - 70(70)</t>
  </si>
  <si>
    <t>Arnab Sarkar (Australia) - 4/58</t>
  </si>
  <si>
    <t>Muhammad Noor(Australia) - 5</t>
  </si>
  <si>
    <t>Arnab Sarkar(Australia) - 27</t>
  </si>
  <si>
    <t>Italy vs Pakistan</t>
  </si>
  <si>
    <t>Vignesh (Italy)</t>
  </si>
  <si>
    <t>Vignesh(Italy) - 98(76)</t>
  </si>
  <si>
    <t>Subaida Subi(Italy) - 4/44</t>
  </si>
  <si>
    <t>Vignesh(Italy) - 6</t>
  </si>
  <si>
    <t>Subaida Subi(Italy) - 27</t>
  </si>
  <si>
    <t>England vs UAE</t>
  </si>
  <si>
    <t>Sunaif (England) - 87(56)</t>
  </si>
  <si>
    <t>Safeer Babu(England) - 5/48</t>
  </si>
  <si>
    <t>Sunaif (England) - 8</t>
  </si>
  <si>
    <t>Safeer Babu (England) - 35</t>
  </si>
  <si>
    <t>Netherlands vs India</t>
  </si>
  <si>
    <t>Anshad Parakkadan(India)</t>
  </si>
  <si>
    <t>Dipankar (Netherlands) - 80(67)</t>
  </si>
  <si>
    <t>Anshad Parakkadan(India) - 5/65</t>
  </si>
  <si>
    <t>Anshad Parakkadan(India) - 5</t>
  </si>
  <si>
    <t>Jana CP(India) - 21</t>
  </si>
  <si>
    <t>Bangladesh vs Scotland</t>
  </si>
  <si>
    <t>Shukoor (Scotland) - 127(52)</t>
  </si>
  <si>
    <t>Amal (Scotland) - 6/42</t>
  </si>
  <si>
    <t xml:space="preserve"> Shukoor (Scotland) - 7</t>
  </si>
  <si>
    <t>Princhi Bora (Bangladesh) - 34</t>
  </si>
  <si>
    <t>New Zealand vs West Indies</t>
  </si>
  <si>
    <t>Sterin Joseph (West Indies)</t>
  </si>
  <si>
    <t>Ananthu RG (West Indies) - 75(53)</t>
  </si>
  <si>
    <t>Abhilash PA(West Indies) - 3/22</t>
  </si>
  <si>
    <t>Ananthu RG (West Indies) - 5</t>
  </si>
  <si>
    <t>Abhilash PA(West Indies) - 23</t>
  </si>
  <si>
    <t>South Africa vs Sri Lanka</t>
  </si>
  <si>
    <t>Donald Baghwar Dhkar (South Africa)</t>
  </si>
  <si>
    <t>Damith Nandana(Srilanka) - 91(73)</t>
  </si>
  <si>
    <t>Donald Baghwar Dhkar (South Africa) - 6/17</t>
  </si>
  <si>
    <t>Damith Nandana(Srilanka) - 6</t>
  </si>
  <si>
    <t>Sasith Jayawardane (Srilanka) - 33</t>
  </si>
  <si>
    <t>Qatar vs Netherlands</t>
  </si>
  <si>
    <t>Debajit (Netherlands)</t>
  </si>
  <si>
    <t>Debajit (Netherlands) - 130(110)</t>
  </si>
  <si>
    <t>Marami Ahmed(Netherlands) - 4/57</t>
  </si>
  <si>
    <t>Debajit (Netherlands) - 4</t>
  </si>
  <si>
    <t>Marami Ahmed(Netherlands) - 25</t>
  </si>
  <si>
    <t>England vs Sri Lanka</t>
  </si>
  <si>
    <t>Renjish Punalur (England)</t>
  </si>
  <si>
    <t xml:space="preserve"> Renjish Punalur (England) - 91*(51)</t>
  </si>
  <si>
    <t>Rahees (England) - 4/72</t>
  </si>
  <si>
    <t>Kosala (Srilanka) - 5</t>
  </si>
  <si>
    <t>Damitha Naranpanawa(Srilanka) - 26</t>
  </si>
  <si>
    <t>Pratim &amp; Yasin</t>
  </si>
  <si>
    <t>Umar Abbas (Pakistan)</t>
  </si>
  <si>
    <t>Umar Abbas (Pakistan) - 94(78)</t>
  </si>
  <si>
    <t>Shivaji Prakash (India) - 4/68</t>
  </si>
  <si>
    <t>Umar Abbas (Pakistan) - 7</t>
  </si>
  <si>
    <t>Shivaji Prakash (India) - 31</t>
  </si>
  <si>
    <t>Australia vs Bangladesh</t>
  </si>
  <si>
    <t>Abrar Ali (Australia) - 59(19)</t>
  </si>
  <si>
    <t>Arnab Sarkar(Australia) - 5/25</t>
  </si>
  <si>
    <t>Sai Naveen(Bangladesh) - 4</t>
  </si>
  <si>
    <t>Yasin Iqbal (Bangladesh) - 27</t>
  </si>
  <si>
    <t>Shuhaib (Italy)</t>
  </si>
  <si>
    <t>Dipankar Roy(Netherlands) - 94(93)</t>
  </si>
  <si>
    <t>Lal Krishna(Italy) - 3/38</t>
  </si>
  <si>
    <t>Shuhaib (Italy) - 8</t>
  </si>
  <si>
    <t>Lal Krishna(Italy) - 22</t>
  </si>
  <si>
    <t>UAE vs South Africa</t>
  </si>
  <si>
    <t>Adithya Mahajan(South Africa) - 73(64)</t>
  </si>
  <si>
    <t>Jafnis(UAE) - 3/36</t>
  </si>
  <si>
    <t>Arjun(UAE) - 4</t>
  </si>
  <si>
    <t>Jafnis(UAE) - 27</t>
  </si>
  <si>
    <t>Sufyan Gujjar(Qatar) - 77*(38)</t>
  </si>
  <si>
    <t>Ahmed Mughal (Qatar) - 5/29</t>
  </si>
  <si>
    <t>Shivaji Prakash (India) - 3</t>
  </si>
  <si>
    <t>Shivaji Prakash (India) - 21</t>
  </si>
  <si>
    <t>Ansar (Scotland)</t>
  </si>
  <si>
    <t>Chiranjibi Samal(Australia) - 123(63)</t>
  </si>
  <si>
    <t>Arnab Sarkar(Australia) - 6/67</t>
  </si>
  <si>
    <t>Chiranjibi Samal(Australia) - 5</t>
  </si>
  <si>
    <t>Arnab Sarkar(Australia) - 40</t>
  </si>
  <si>
    <t>Pakistan vs New Zealand</t>
  </si>
  <si>
    <t>Maheen Khan(Pakistan) - 96(43)</t>
  </si>
  <si>
    <t>Aniket Gavit (Newzealand) - 4/26</t>
  </si>
  <si>
    <t>Umar abbas (Pakistan) - 5</t>
  </si>
  <si>
    <t>Shamroz(Pakistan) - 22</t>
  </si>
  <si>
    <t>UAE vs Sri Lanka</t>
  </si>
  <si>
    <t>Rasith Wijethunga(Srilanka) - 83(77)</t>
  </si>
  <si>
    <t>Thrived(UAE) - 3/18</t>
  </si>
  <si>
    <t>Rasith Wijethunga(Srilanka) - 4</t>
  </si>
  <si>
    <t>Jafnis(UAE) - 25</t>
  </si>
  <si>
    <t>Italy vs West Indies</t>
  </si>
  <si>
    <t>Ananthu RG (West Indies)</t>
  </si>
  <si>
    <t>Ananthu RG (West Indies) - 73(55)</t>
  </si>
  <si>
    <t>Shibil(West Indies) - 4/53</t>
  </si>
  <si>
    <t>Ananthu RG (West Indies) - 6</t>
  </si>
  <si>
    <t>Shibil(West Indies) - 24</t>
  </si>
  <si>
    <t>England vs Bangladesh</t>
  </si>
  <si>
    <t>Waqas Mughal (Bangladesh)</t>
  </si>
  <si>
    <t>Waqas Mughal (Bangladesh) - 118(95)</t>
  </si>
  <si>
    <t>Waqas Mughal (Bangladesh) - 3/42</t>
  </si>
  <si>
    <t>Waqas Mughal (Bangladesh) - 7</t>
  </si>
  <si>
    <t>Safeer Babu (England) - 26</t>
  </si>
  <si>
    <t>New Zealand vs India</t>
  </si>
  <si>
    <t>Hizbullah &amp; Aaiz</t>
  </si>
  <si>
    <t>Hasan Musabbir(Newzealand) - 156(79)</t>
  </si>
  <si>
    <t>Asru Msd(India) - 5/50</t>
  </si>
  <si>
    <t>Hasan Musabbir(Newzealand) - 16</t>
  </si>
  <si>
    <t>Shivaji Prakash(India) - 22</t>
  </si>
  <si>
    <t>Arjun Raj (Scotland)</t>
  </si>
  <si>
    <t>Hari M (Scotland) - 84(60)</t>
  </si>
  <si>
    <t>Arjun Raj (Scotland) - 4/45</t>
  </si>
  <si>
    <t>K Rakesh (South Africa) - 27</t>
  </si>
  <si>
    <t>Netherlands vs Pakistan</t>
  </si>
  <si>
    <t>Aaiz Khan(Pakistan)</t>
  </si>
  <si>
    <t>Aaiz Khan(Pakistan) - 201*(132)</t>
  </si>
  <si>
    <t>Sidra(Pakistan) - 8/68</t>
  </si>
  <si>
    <t>Aaiz Khan(Pakistan) - 12</t>
  </si>
  <si>
    <t>Sidra (Pakistan) - 33</t>
  </si>
  <si>
    <t>QUARTER FINALS</t>
  </si>
  <si>
    <t>27th Sept</t>
  </si>
  <si>
    <t>Hari M (Scotland) - 127(93)</t>
  </si>
  <si>
    <t>Ajay Kumar Sajeev(Scotland) - 5/26</t>
  </si>
  <si>
    <t>Hari M (Scotland) - 9</t>
  </si>
  <si>
    <t>Rince Thomas(Italy) - 36</t>
  </si>
  <si>
    <t>Adithya Mahajan(South Africa)</t>
  </si>
  <si>
    <t>Shajahan(South Africa) - 96(75)</t>
  </si>
  <si>
    <t>Adithya Mahajan(South Africa) - 6/62</t>
  </si>
  <si>
    <t>Muhammad Ahmed(Pakistan) - 6</t>
  </si>
  <si>
    <t>Zarnish Saira(Pakistan) - 31</t>
  </si>
  <si>
    <t>Diljith Das (England)</t>
  </si>
  <si>
    <t>Ajin P Anil(England) - 49(41)</t>
  </si>
  <si>
    <t>Diljith Das (England) - 5/64</t>
  </si>
  <si>
    <t>Sanoop (England) - 3</t>
  </si>
  <si>
    <t>Anish Babu(West Indies) - 40</t>
  </si>
  <si>
    <t>Tanusri Dutta(Bangladesh) - 80(74)</t>
  </si>
  <si>
    <t>Waqas Mughal (Bangladesh) - 3/47</t>
  </si>
  <si>
    <t>Tanusri Dutta(Bangladesh) - 4</t>
  </si>
  <si>
    <t>Shivaji Prakash(India) - 27</t>
  </si>
  <si>
    <t>SEMI FINALS</t>
  </si>
  <si>
    <t>29th Oct</t>
  </si>
  <si>
    <t>Hashir (Scotland)</t>
  </si>
  <si>
    <t>Safeer Babu (England) - 67(49)</t>
  </si>
  <si>
    <t>Hashir (Scotland) - 5/26</t>
  </si>
  <si>
    <t>Safeer Babu (England) - 4</t>
  </si>
  <si>
    <t>Hashir (Scotland) - 37</t>
  </si>
  <si>
    <t>South Africa vs Bangladesh</t>
  </si>
  <si>
    <t>K Rakesh (South Africa)</t>
  </si>
  <si>
    <t>Kaushik Kalita (South Africa) - 83(52)</t>
  </si>
  <si>
    <t>K Rakesh (South Africa) - 5/50</t>
  </si>
  <si>
    <t>Kaushik Kalita (South Africa) - 8</t>
  </si>
  <si>
    <t>Sai Naveen (Bangladesh) - 25</t>
  </si>
  <si>
    <t>FINALS</t>
  </si>
  <si>
    <t>1st Oct</t>
  </si>
  <si>
    <t>Shajahan (South Africa) - 89(67)</t>
  </si>
  <si>
    <t>Shukoor (Scotland) - 3/16</t>
  </si>
  <si>
    <t>Shajahan (South Africa) - 5</t>
  </si>
  <si>
    <t>Arjun Raj (Scotland) - 24</t>
  </si>
  <si>
    <t>ODI World Cup 2026 Awards</t>
  </si>
  <si>
    <t>154 runs &amp; 7 wickets</t>
  </si>
  <si>
    <t>292 Strike Rate ( Min 200 runs )</t>
  </si>
  <si>
    <t>72.0 ( Based on Innings )</t>
  </si>
  <si>
    <t>6.6 Economy with 21 wickets</t>
  </si>
  <si>
    <t>8-68 Bowling figure</t>
  </si>
  <si>
    <t>191 Dot Balls</t>
  </si>
  <si>
    <t xml:space="preserve">31 balls </t>
  </si>
  <si>
    <t>10 balls</t>
  </si>
  <si>
    <t>201* vs Netherlands</t>
  </si>
  <si>
    <t>3 Maidens</t>
  </si>
  <si>
    <t>37 Sixes</t>
  </si>
  <si>
    <t>25 Wickets</t>
  </si>
  <si>
    <t>641 Runs</t>
  </si>
  <si>
    <t>70.8 Mvp Points</t>
  </si>
  <si>
    <t>Bangladesh &amp; South Africa</t>
  </si>
  <si>
    <t>World Test Championship Completed Matches</t>
  </si>
  <si>
    <t>Test Name</t>
  </si>
  <si>
    <t>Opponents</t>
  </si>
  <si>
    <t>Dates</t>
  </si>
  <si>
    <t xml:space="preserve">Winners </t>
  </si>
  <si>
    <t>Bet Amount</t>
  </si>
  <si>
    <t>Guyana Cup</t>
  </si>
  <si>
    <t>18th - 20th March</t>
  </si>
  <si>
    <t>Arjun ( WI )</t>
  </si>
  <si>
    <t>Yasin ( BD )</t>
  </si>
  <si>
    <t>Ashwin ( WI )</t>
  </si>
  <si>
    <t>Forest Cup</t>
  </si>
  <si>
    <t>21st - 23rd March</t>
  </si>
  <si>
    <t>Midhun ( WI )</t>
  </si>
  <si>
    <t>Karan ( BD )</t>
  </si>
  <si>
    <t>Saltire Trophy</t>
  </si>
  <si>
    <t>24th - 26th March</t>
  </si>
  <si>
    <t>Harikrishnan (WI)</t>
  </si>
  <si>
    <t>Irshad (Scot)</t>
  </si>
  <si>
    <t>Thesbeer (Scot)</t>
  </si>
  <si>
    <t>Palmyra Trophy</t>
  </si>
  <si>
    <t>27th - 29th March</t>
  </si>
  <si>
    <t>Hashir (Scot)</t>
  </si>
  <si>
    <t>Ershad (Scot)</t>
  </si>
  <si>
    <t>Mediterranean Saltire</t>
  </si>
  <si>
    <t>31st - 2nd April</t>
  </si>
  <si>
    <t>Ashith (Scot)</t>
  </si>
  <si>
    <t>Afghan Indo Cup</t>
  </si>
  <si>
    <t>1st - 3rd April</t>
  </si>
  <si>
    <t>Waleed (Afg)</t>
  </si>
  <si>
    <t>Anas (Afg)</t>
  </si>
  <si>
    <t>Seenu (Ind)</t>
  </si>
  <si>
    <t>Royal Caribbean</t>
  </si>
  <si>
    <t>7th - 9th April</t>
  </si>
  <si>
    <t>Ashwin (WI)</t>
  </si>
  <si>
    <t>Aneesh (Eng)</t>
  </si>
  <si>
    <t>Royal Test</t>
  </si>
  <si>
    <t>13th - 15th April</t>
  </si>
  <si>
    <t>Jyothish(Eng)</t>
  </si>
  <si>
    <t>Toby (Eng)</t>
  </si>
  <si>
    <t>Benaud-Qadir</t>
  </si>
  <si>
    <t>21st - 23rd April</t>
  </si>
  <si>
    <t>Rizwan(Aus)</t>
  </si>
  <si>
    <t>Keshav(Aus)</t>
  </si>
  <si>
    <t>Kiwi Thistle</t>
  </si>
  <si>
    <t>Asthu (Scotland)</t>
  </si>
  <si>
    <t>Shibasis (NZ)</t>
  </si>
  <si>
    <t>Zubeen Garg Rhine A</t>
  </si>
  <si>
    <t>Farhan(Ind)</t>
  </si>
  <si>
    <t>Marami(ND)</t>
  </si>
  <si>
    <t>Redball War</t>
  </si>
  <si>
    <t>23rd - 25th April</t>
  </si>
  <si>
    <t>Yasin (BD)</t>
  </si>
  <si>
    <t>Harsh(BD)</t>
  </si>
  <si>
    <t>Valley Trophy A</t>
  </si>
  <si>
    <t>Huzaifa (Afg)</t>
  </si>
  <si>
    <t>Adithya (Afg)</t>
  </si>
  <si>
    <t>Celtic Kiwi</t>
  </si>
  <si>
    <t>24th - 26th April</t>
  </si>
  <si>
    <t>Nithin (NZ)</t>
  </si>
  <si>
    <t>Ram (NZ)</t>
  </si>
  <si>
    <t>Zubeen Gard Rhine B</t>
  </si>
  <si>
    <t>Nirmal (ND)</t>
  </si>
  <si>
    <t>Rahul (ND)</t>
  </si>
  <si>
    <t>War of Wills</t>
  </si>
  <si>
    <t>25th - 27th April</t>
  </si>
  <si>
    <t>Saubhagya (Aus)</t>
  </si>
  <si>
    <t>Arnab (Aus)</t>
  </si>
  <si>
    <t>North Sea-Bay Challenge</t>
  </si>
  <si>
    <t>27th - 29th April</t>
  </si>
  <si>
    <t>Siddiqui Ahsan (BD)</t>
  </si>
  <si>
    <t>Salimax (Scot)</t>
  </si>
  <si>
    <t>Valley Trophy B</t>
  </si>
  <si>
    <t>Adithya Mahajan(Afg)</t>
  </si>
  <si>
    <t>Damitha N (SL)</t>
  </si>
  <si>
    <t>Royal Lion</t>
  </si>
  <si>
    <t>28th - 30th April</t>
  </si>
  <si>
    <t>Safeer Babu (Eng)</t>
  </si>
  <si>
    <t>Rahees (Eng)</t>
  </si>
  <si>
    <t>Highland Tigers</t>
  </si>
  <si>
    <t>1st - 3rd May</t>
  </si>
  <si>
    <t>Manan (BD)</t>
  </si>
  <si>
    <t>Hague Colombo</t>
  </si>
  <si>
    <t>Rasith (SL)</t>
  </si>
  <si>
    <t>Hirak (ND)</t>
  </si>
  <si>
    <t>Great Subcontinent Clash</t>
  </si>
  <si>
    <t>Kabul Trophy</t>
  </si>
  <si>
    <t>Farhan (Afg)</t>
  </si>
  <si>
    <t>Mallu Pak</t>
  </si>
  <si>
    <t>Nasrullah (Pak)</t>
  </si>
  <si>
    <t>Abhilash (WI)</t>
  </si>
  <si>
    <t>Northern Heritage</t>
  </si>
  <si>
    <t>18th - 20th May</t>
  </si>
  <si>
    <t>Debajit(ND)</t>
  </si>
  <si>
    <t xml:space="preserve">Island Trophy </t>
  </si>
  <si>
    <t>21st - 23rd May</t>
  </si>
  <si>
    <t>Sasith (SL)</t>
  </si>
  <si>
    <t>Nihal (WI)</t>
  </si>
  <si>
    <t>Soverign Crown</t>
  </si>
  <si>
    <t>Hasan (NZ)</t>
  </si>
  <si>
    <t>Molly (Eng)</t>
  </si>
  <si>
    <t>Bangladesh Shaheen</t>
  </si>
  <si>
    <t>Zarnish (Pak)</t>
  </si>
  <si>
    <t>Madsen Berrington</t>
  </si>
  <si>
    <t>22nd - 24th May</t>
  </si>
  <si>
    <t>Ajay (Scot)</t>
  </si>
  <si>
    <t>Asthu (Scot)</t>
  </si>
  <si>
    <t>Calypso Kabul Trophy</t>
  </si>
  <si>
    <t>10th - 12th June</t>
  </si>
  <si>
    <t>Scottish Wall</t>
  </si>
  <si>
    <t>Anand (Aus)</t>
  </si>
  <si>
    <t>Tiger Tulip</t>
  </si>
  <si>
    <t>11th - 13th June</t>
  </si>
  <si>
    <t>Adithya Mahajan(BD)</t>
  </si>
  <si>
    <t>Srilanka in England</t>
  </si>
  <si>
    <t>Ruwanga(SL)</t>
  </si>
  <si>
    <t>Rasith(SL)</t>
  </si>
  <si>
    <t>Kiwi Elephant</t>
  </si>
  <si>
    <t>Toby (NZ)</t>
  </si>
  <si>
    <t>Jana (Ind)</t>
  </si>
  <si>
    <t>Unity Nations Trophy</t>
  </si>
  <si>
    <t>Rince (Italy)</t>
  </si>
  <si>
    <t>K Rakesh(SA)</t>
  </si>
  <si>
    <t>Aussie Wall</t>
  </si>
  <si>
    <t>12th - 14th June</t>
  </si>
  <si>
    <t>Rahul (Aus)</t>
  </si>
  <si>
    <t>Kiwi Tiger</t>
  </si>
  <si>
    <t>13th - 15th June</t>
  </si>
  <si>
    <t>Srajan (NZ)</t>
  </si>
  <si>
    <t>Fortress Cup</t>
  </si>
  <si>
    <t>22nd - 24th June</t>
  </si>
  <si>
    <t>Sujith Kumar (Eng)</t>
  </si>
  <si>
    <t>Desert Tulip</t>
  </si>
  <si>
    <t>23rd - 25th June</t>
  </si>
  <si>
    <t>Mudasir Ali (Qatar)</t>
  </si>
  <si>
    <t>Tide Turners</t>
  </si>
  <si>
    <t>Sky Bound</t>
  </si>
  <si>
    <t>K Rakesh (RSA)</t>
  </si>
  <si>
    <t>Kaushik (RSA)</t>
  </si>
  <si>
    <t>Legacy Trophy</t>
  </si>
  <si>
    <t>Jana CP (Ind)</t>
  </si>
  <si>
    <t>Iqra (Pak)</t>
  </si>
  <si>
    <t>London Trophy</t>
  </si>
  <si>
    <t>24th - 26th June</t>
  </si>
  <si>
    <t>Karthik Verma (Eng)</t>
  </si>
  <si>
    <t>The Ravana Cup</t>
  </si>
  <si>
    <t>25th - 27th June</t>
  </si>
  <si>
    <t>Jishnu (Scot)</t>
  </si>
  <si>
    <t>Hari M (Scot)</t>
  </si>
  <si>
    <t>Italio Kiwi</t>
  </si>
  <si>
    <t>Gautam (NZ)</t>
  </si>
  <si>
    <t>Shuhaib(Italy)</t>
  </si>
  <si>
    <t>Earth Bound</t>
  </si>
  <si>
    <t>Bhavin Kumar (RSA)</t>
  </si>
  <si>
    <t>Ameen (WI)</t>
  </si>
  <si>
    <t>Solidarity Cup</t>
  </si>
  <si>
    <t>26th - 28th June</t>
  </si>
  <si>
    <t>Bhargab (BD)</t>
  </si>
  <si>
    <t>Tulip Desert</t>
  </si>
  <si>
    <t>Devasish (ND)</t>
  </si>
  <si>
    <t>Bimal (ND)</t>
  </si>
  <si>
    <t>Latitude Clash</t>
  </si>
  <si>
    <t>28th - 30th June</t>
  </si>
  <si>
    <t>Akhil(UAE)</t>
  </si>
  <si>
    <t>Heritage Trophy</t>
  </si>
  <si>
    <t>29th - 1st July</t>
  </si>
  <si>
    <t>Asru (Ind)</t>
  </si>
  <si>
    <t>Shivaji(Ind)</t>
  </si>
  <si>
    <t>Keshav (Aus)</t>
  </si>
  <si>
    <t>Tasman Indus</t>
  </si>
  <si>
    <t>Kishore (NZ)</t>
  </si>
  <si>
    <t>Ahmed (Pak)</t>
  </si>
  <si>
    <t>Dunes Cup</t>
  </si>
  <si>
    <t>Ahmed (Qatar)</t>
  </si>
  <si>
    <t>Ajin (Eng)</t>
  </si>
  <si>
    <t>Highland Falcons</t>
  </si>
  <si>
    <t>1st - 3rd July</t>
  </si>
  <si>
    <t>Abhijith (UAE)</t>
  </si>
  <si>
    <t>2nd - 4th July</t>
  </si>
  <si>
    <t>Ali Khan (BD)</t>
  </si>
  <si>
    <t>Island Meets Island</t>
  </si>
  <si>
    <t>Mowglee (WI)</t>
  </si>
  <si>
    <t>Desert Kiwis</t>
  </si>
  <si>
    <t>Imperial Lords</t>
  </si>
  <si>
    <t>Aash (Eng)</t>
  </si>
  <si>
    <t>Diljith (Eng)</t>
  </si>
  <si>
    <t>Bungle in The Jungle</t>
  </si>
  <si>
    <t>Farhan (Ind)</t>
  </si>
  <si>
    <t>Yellow - Orange Trophy</t>
  </si>
  <si>
    <t>26th - 28th July</t>
  </si>
  <si>
    <t>RishiRaj (ND)</t>
  </si>
  <si>
    <t>Royal WTC Clash</t>
  </si>
  <si>
    <t>27th - 29th July</t>
  </si>
  <si>
    <t>29th - 31st July</t>
  </si>
  <si>
    <t>Dipankar (ND)</t>
  </si>
  <si>
    <t>22nd - 24th Aug</t>
  </si>
  <si>
    <t>Rizwan (Aus)</t>
  </si>
  <si>
    <t>25th - 27th Aug</t>
  </si>
  <si>
    <t>Anand Ajikumar (Aus)</t>
  </si>
  <si>
    <t>Green &amp; Orange Test</t>
  </si>
  <si>
    <t>Hizbullah (Pak)</t>
  </si>
  <si>
    <t>Muhammad Ali (Pak)</t>
  </si>
  <si>
    <t>Jahirul (ND)</t>
  </si>
  <si>
    <t>Arabia-Bengal Test</t>
  </si>
  <si>
    <t>Arabian Crown Trophy</t>
  </si>
  <si>
    <t>Legends of the Lion Test</t>
  </si>
  <si>
    <t>Bhavin Kumar (SA)</t>
  </si>
  <si>
    <t>Damith Nandana (SL)</t>
  </si>
  <si>
    <t>Uresh (SL)</t>
  </si>
  <si>
    <t>28th - 30th Aug</t>
  </si>
  <si>
    <t>Abrar Ali (Aus)</t>
  </si>
  <si>
    <t>Butterfly Cup</t>
  </si>
  <si>
    <t>31st - 2nd Sept</t>
  </si>
  <si>
    <t>2nd - 4th Oct</t>
  </si>
  <si>
    <t>The Clash of Blues</t>
  </si>
  <si>
    <t>Mohammed Ali(Italy)</t>
  </si>
  <si>
    <t>Subaida (Italy)</t>
  </si>
  <si>
    <t>THE KIWI–AZZURRI CROWN</t>
  </si>
  <si>
    <t>17th - 19th Oct</t>
  </si>
  <si>
    <t>Hrushikesh(Newzealand)</t>
  </si>
  <si>
    <t>Desert–Caribbean Test</t>
  </si>
  <si>
    <t>22nd - 24th Oct</t>
  </si>
  <si>
    <t>Ananthu Mohan(West Indies)</t>
  </si>
  <si>
    <t>Harikrishnan (West Indies)</t>
  </si>
  <si>
    <t>Amith (West Indies)</t>
  </si>
  <si>
    <t>Border-Gavaskar Test</t>
  </si>
  <si>
    <t>Asru (India)</t>
  </si>
  <si>
    <t>Anurag (Australia)</t>
  </si>
  <si>
    <t>Pradeesh (India)</t>
  </si>
  <si>
    <t>Lowlands–Lions Test</t>
  </si>
  <si>
    <t>Rahees(Eng)</t>
  </si>
  <si>
    <t>Kiwis–Shaheens Test</t>
  </si>
  <si>
    <t>Tejasvin (NZ)</t>
  </si>
  <si>
    <t>Daniyal (Pak)</t>
  </si>
  <si>
    <t>Falcons–Thistles Test</t>
  </si>
  <si>
    <t>Sufaid (Scotland)</t>
  </si>
  <si>
    <t>Proteas–Lions Test</t>
  </si>
  <si>
    <t>Chalana (Srilanka)</t>
  </si>
  <si>
    <t>Bengal-Italia Test</t>
  </si>
  <si>
    <t>Rejini (Italy)</t>
  </si>
  <si>
    <t>Proteas–Desert Test</t>
  </si>
  <si>
    <t>24th - 26th Oct</t>
  </si>
  <si>
    <t>Saketh (RSA)</t>
  </si>
  <si>
    <t>Naman (RSA)</t>
  </si>
  <si>
    <t>Dutch–Caribbean Test</t>
  </si>
  <si>
    <t>Dipak Das (ND)</t>
  </si>
  <si>
    <t>Kiwis–Falcons Test</t>
  </si>
  <si>
    <t>Lions–Shaheens Test</t>
  </si>
  <si>
    <t>Thilanga (SL)</t>
  </si>
  <si>
    <t>Lions–Thistles Test</t>
  </si>
  <si>
    <t>25th - 27th Oct</t>
  </si>
  <si>
    <t>Arjun Raj(Scot)</t>
  </si>
  <si>
    <t>Arjun Raj (Scot)</t>
  </si>
  <si>
    <t>Italia–Bharat Test</t>
  </si>
  <si>
    <t>The Rainbow Bengal</t>
  </si>
  <si>
    <t>Bhavesh B (RSA)</t>
  </si>
  <si>
    <t>Siddharth (BD)</t>
  </si>
  <si>
    <t>Upcoming IOCF World Test Championship Matches</t>
  </si>
  <si>
    <t>Dutch–Kiwis Test</t>
  </si>
  <si>
    <t>26th - 28th Oct</t>
  </si>
  <si>
    <t>Desert Clash</t>
  </si>
  <si>
    <t>Winter is Coming</t>
  </si>
  <si>
    <t>Bharat–Lions Test</t>
  </si>
  <si>
    <t>28th - 30th Oct</t>
  </si>
  <si>
    <t>Italia–Shaheens Test</t>
  </si>
  <si>
    <t>Thistles–Lions Test</t>
  </si>
  <si>
    <t>Desert–Proteas Test</t>
  </si>
  <si>
    <t>Caribbean–Falcons Test</t>
  </si>
  <si>
    <t>The Royal Sands Test</t>
  </si>
  <si>
    <t>31st - 2nd Nov</t>
  </si>
  <si>
    <t>The Pride &amp; Prestige Test</t>
  </si>
  <si>
    <t>The Island &amp; Isles Test</t>
  </si>
  <si>
    <t>The Golden Heritage Test</t>
  </si>
  <si>
    <t>The Caribbean–Orange Test</t>
  </si>
  <si>
    <t>The Bengal–Desert Trophy</t>
  </si>
  <si>
    <t>3rd - 5th Nov</t>
  </si>
  <si>
    <t>The Azzurri–Emirates Trophy</t>
  </si>
  <si>
    <t>The Fern &amp; Maroon Trophy</t>
  </si>
  <si>
    <t>The Unity Shield</t>
  </si>
  <si>
    <t>The Thistle &amp; Orange Trophy</t>
  </si>
  <si>
    <t>The Lions &amp; Elephants Trophy</t>
  </si>
  <si>
    <t>The Kangaroo &amp; Maroon Trophy</t>
  </si>
  <si>
    <t>6th - 8th Nov</t>
  </si>
  <si>
    <t>The Crown &amp; Fern Trophy</t>
  </si>
  <si>
    <t>The Maharaja &amp; Emirates Trophy</t>
  </si>
  <si>
    <t>The Azzurri–Protea Trophy</t>
  </si>
  <si>
    <t>The Crescent &amp; Pearl Trophy</t>
  </si>
  <si>
    <t>The Lions of the Bay Trophy</t>
  </si>
  <si>
    <t>The Tiger &amp; Elephant Trophy</t>
  </si>
  <si>
    <t>9th - 11th Nov</t>
  </si>
  <si>
    <t>The Azzurri–Lion Trophy</t>
  </si>
  <si>
    <t>The Fern &amp; Orange Trophy</t>
  </si>
  <si>
    <t>The Desert &amp; Diamond Trophy</t>
  </si>
  <si>
    <t>The Crescent Cup</t>
  </si>
  <si>
    <t>The Crown &amp; Caribbean Trophy</t>
  </si>
  <si>
    <t>The Kangaroo &amp; Azzurri Trophy</t>
  </si>
  <si>
    <t>12th - 14th Nov</t>
  </si>
  <si>
    <t>The Elephant &amp; Maroon Trophy</t>
  </si>
  <si>
    <t>The Crescent &amp; Falcon Trophy</t>
  </si>
  <si>
    <t>The Thistle &amp; Pearl Trophy</t>
  </si>
  <si>
    <t>The Protea &amp; Orange Trophy</t>
  </si>
  <si>
    <t>The Lion &amp; Crown Trophy</t>
  </si>
  <si>
    <t>The Bengal Tiger &amp; Lion Trophy</t>
  </si>
  <si>
    <t>15th - 17th Nov</t>
  </si>
  <si>
    <t>The Crescent &amp; Azzurri Trophy</t>
  </si>
  <si>
    <t>The Protea &amp; Pearl Trophy</t>
  </si>
  <si>
    <t>The Falcon &amp; Elephant Trophy</t>
  </si>
  <si>
    <t>The Maroon &amp; Gold Trophy</t>
  </si>
  <si>
    <t>WTC PENDING SCHEDULE</t>
  </si>
  <si>
    <t>Status</t>
  </si>
  <si>
    <t>Start Date</t>
  </si>
  <si>
    <t>Completed</t>
  </si>
  <si>
    <t>24th Oct</t>
  </si>
  <si>
    <t>Pending</t>
  </si>
  <si>
    <t>27th April</t>
  </si>
  <si>
    <t>3rd Oct</t>
  </si>
  <si>
    <t>Scheduled</t>
  </si>
  <si>
    <t>21st Nov</t>
  </si>
  <si>
    <t>10th June</t>
  </si>
  <si>
    <t>22nd Oct</t>
  </si>
  <si>
    <t>1st April</t>
  </si>
  <si>
    <t>3rd Nov</t>
  </si>
  <si>
    <t>11th June</t>
  </si>
  <si>
    <t>21st April</t>
  </si>
  <si>
    <t>9th Nov</t>
  </si>
  <si>
    <t>1st May</t>
  </si>
  <si>
    <t>17th Oct</t>
  </si>
  <si>
    <t>26th Aug</t>
  </si>
  <si>
    <t>13th June</t>
  </si>
  <si>
    <t>26th Oct</t>
  </si>
  <si>
    <t>18th Nov</t>
  </si>
  <si>
    <t>12th Nov</t>
  </si>
  <si>
    <t>28th Oct</t>
  </si>
  <si>
    <t xml:space="preserve">11th June  </t>
  </si>
  <si>
    <t>28th April</t>
  </si>
  <si>
    <t>6th Nov</t>
  </si>
  <si>
    <t>25th Oct</t>
  </si>
  <si>
    <t>24th April</t>
  </si>
  <si>
    <t>23rd April</t>
  </si>
  <si>
    <t>12th June</t>
  </si>
  <si>
    <t>31st Oct</t>
  </si>
  <si>
    <t>25th Aug</t>
  </si>
  <si>
    <t>25th April</t>
  </si>
  <si>
    <t>15th Nov</t>
  </si>
  <si>
    <t>2nd July</t>
  </si>
  <si>
    <t>2nd Oct</t>
  </si>
  <si>
    <t>Completed Series</t>
  </si>
  <si>
    <t>Series Name</t>
  </si>
  <si>
    <t>Runners</t>
  </si>
  <si>
    <t>Series Result</t>
  </si>
  <si>
    <t>Format</t>
  </si>
  <si>
    <t>January</t>
  </si>
  <si>
    <t xml:space="preserve">Pointing - Inzamam </t>
  </si>
  <si>
    <t>6th - 10th Jan</t>
  </si>
  <si>
    <t>Colombo Cup</t>
  </si>
  <si>
    <t>10th - 12th Jan</t>
  </si>
  <si>
    <t>Kangaroo - Protea Cup</t>
  </si>
  <si>
    <t>11th - 13th Jan</t>
  </si>
  <si>
    <t>3-0</t>
  </si>
  <si>
    <t>Crowe - Nabi Cup</t>
  </si>
  <si>
    <t>The Sir Vivian Richards Trophy</t>
  </si>
  <si>
    <t>Silk - Steel Trophy</t>
  </si>
  <si>
    <t>13th - 15th Jan</t>
  </si>
  <si>
    <t>Anderson - Tendulkar Trophy</t>
  </si>
  <si>
    <t>14th - 19th Jan</t>
  </si>
  <si>
    <t>0-3</t>
  </si>
  <si>
    <t>Carribian Tri Nation Cup</t>
  </si>
  <si>
    <t>Australia, Scotland</t>
  </si>
  <si>
    <t>14th - 17th Jan</t>
  </si>
  <si>
    <t>WI vs Aus | WI won
WI vs Scot | WI won
Aus vs Scot | Aus Won
Finals | WI vs Aus | Aus Champions</t>
  </si>
  <si>
    <t>Fleming Lara Cup</t>
  </si>
  <si>
    <t>15th - 17th Jan</t>
  </si>
  <si>
    <t>Revival Cup</t>
  </si>
  <si>
    <t>14th - 18th Jan</t>
  </si>
  <si>
    <t>Trans Tasman trophy</t>
  </si>
  <si>
    <t>18th - 20th Jan</t>
  </si>
  <si>
    <t>Gayle Devilliers Trophy</t>
  </si>
  <si>
    <t>The Blue Rivalry Cup</t>
  </si>
  <si>
    <t>19th - 21st Jan</t>
  </si>
  <si>
    <t>Anglo - Scotish Cup</t>
  </si>
  <si>
    <t>Freedom Trophy</t>
  </si>
  <si>
    <t>20th - 23rd Jan</t>
  </si>
  <si>
    <t>Akram Curtly Challenge</t>
  </si>
  <si>
    <t>20th - 22nd Jan</t>
  </si>
  <si>
    <t>Hadle Kallis Trophy</t>
  </si>
  <si>
    <t>21st - 23rd Jan</t>
  </si>
  <si>
    <t>Frank Worrell Trophy</t>
  </si>
  <si>
    <t>22nd - 24th Jan</t>
  </si>
  <si>
    <t>Mccullum Graveney Trophy</t>
  </si>
  <si>
    <t>Thistle Shaheen Trophy</t>
  </si>
  <si>
    <t>Emerald Isle Cup</t>
  </si>
  <si>
    <t>Kallis Rashid Trophy</t>
  </si>
  <si>
    <t>24th - 27th Jan</t>
  </si>
  <si>
    <t>Mcleod Bradman Trophy</t>
  </si>
  <si>
    <t xml:space="preserve">Australia </t>
  </si>
  <si>
    <t>25th - 27th Jan</t>
  </si>
  <si>
    <t>Commonwealth Crown</t>
  </si>
  <si>
    <t>25th - 29th Jan</t>
  </si>
  <si>
    <t>Coca Cola trophy</t>
  </si>
  <si>
    <t>Scotland, Pakistan &amp; West Indies</t>
  </si>
  <si>
    <t>26th - 29th Jan</t>
  </si>
  <si>
    <t>1. SL vs Pak 26th | Pak Won
2. Scot vs WI 26th | WI Won
3. SL vs Scot 27th | Scot Won
4. Pak vs WI 27th | Pak Won
5. SL vs WI 28th | WI Won
6. Pak vs Scot 28th | Scot Won
Final. Pak vs Scot 29th | Scot Won</t>
  </si>
  <si>
    <t>Power Punch Series</t>
  </si>
  <si>
    <t>28th - 1st Feb</t>
  </si>
  <si>
    <t>Aus-Afg power series</t>
  </si>
  <si>
    <t>29th - 1st Feb</t>
  </si>
  <si>
    <t>Crown series</t>
  </si>
  <si>
    <t>30th - 1st Feb</t>
  </si>
  <si>
    <t>March</t>
  </si>
  <si>
    <t>Van Ghani Trophy</t>
  </si>
  <si>
    <t>1st - 3rd March</t>
  </si>
  <si>
    <t>Carribbean Thunder Cup</t>
  </si>
  <si>
    <t>4th - 6th March</t>
  </si>
  <si>
    <t>Dutch - Gulf Trophy</t>
  </si>
  <si>
    <t>Eagles Trophy</t>
  </si>
  <si>
    <t>5th - 7th March</t>
  </si>
  <si>
    <t>The Ashes ( Test )</t>
  </si>
  <si>
    <t>2nd - 10th March</t>
  </si>
  <si>
    <t>Atlantic Arab Cup</t>
  </si>
  <si>
    <t>7th - 9th March</t>
  </si>
  <si>
    <t>Crescent Carnage Trophy</t>
  </si>
  <si>
    <t>5th - 9th March</t>
  </si>
  <si>
    <t>0-5</t>
  </si>
  <si>
    <t>Orange Black Clash</t>
  </si>
  <si>
    <t>Silver Emerald Trophy</t>
  </si>
  <si>
    <t>9th - 11th March</t>
  </si>
  <si>
    <t>American Challenge</t>
  </si>
  <si>
    <t>Yuvraj Flintoff</t>
  </si>
  <si>
    <t>10th - 12th March</t>
  </si>
  <si>
    <t>Dutch Carribbean Cup</t>
  </si>
  <si>
    <t>Desert Indus</t>
  </si>
  <si>
    <t>10th - 14th March</t>
  </si>
  <si>
    <t>Greater Asia Cup</t>
  </si>
  <si>
    <t>11th - 15th March</t>
  </si>
  <si>
    <t>Highland Lions Cup</t>
  </si>
  <si>
    <t>13th - 15th March</t>
  </si>
  <si>
    <t>Atlantic Smash</t>
  </si>
  <si>
    <t>Ashes Blitz</t>
  </si>
  <si>
    <t>Romo Carribbean Clash</t>
  </si>
  <si>
    <t>13th - 17th March</t>
  </si>
  <si>
    <t>Ali Mccullum Trophy</t>
  </si>
  <si>
    <t>16th - 18th March</t>
  </si>
  <si>
    <t>Pak Afghan Cup</t>
  </si>
  <si>
    <t>17th - 19th March</t>
  </si>
  <si>
    <t>Falcon Kangaroo Cup</t>
  </si>
  <si>
    <t>16th - 20th March</t>
  </si>
  <si>
    <t>Euro Cricket Cup</t>
  </si>
  <si>
    <t>18th - 22nd March</t>
  </si>
  <si>
    <t>Rhine Indus</t>
  </si>
  <si>
    <t>Boult Taskin</t>
  </si>
  <si>
    <t>Taylor Nabi Trophy</t>
  </si>
  <si>
    <t>Southee Cummins Trophy</t>
  </si>
  <si>
    <t>April</t>
  </si>
  <si>
    <t>The Southern Challenge</t>
  </si>
  <si>
    <t>Roaring Island Trophy</t>
  </si>
  <si>
    <t>Zeus Trophy</t>
  </si>
  <si>
    <t xml:space="preserve">2nd - 3rd April </t>
  </si>
  <si>
    <t>Dutch Anglo</t>
  </si>
  <si>
    <t>Atlantic Shield</t>
  </si>
  <si>
    <t>4th - 6th April</t>
  </si>
  <si>
    <t>Roman Crown</t>
  </si>
  <si>
    <t>10th - 12th April</t>
  </si>
  <si>
    <t>Battle of Giants</t>
  </si>
  <si>
    <t>20th - 22nd April</t>
  </si>
  <si>
    <t>Zubeen Garg Rhine ODI</t>
  </si>
  <si>
    <t>Netherland</t>
  </si>
  <si>
    <t>1 Match only</t>
  </si>
  <si>
    <t>Archipelago Series</t>
  </si>
  <si>
    <t>May</t>
  </si>
  <si>
    <t>Kiwi Kangaroo</t>
  </si>
  <si>
    <t>Khyber Cup</t>
  </si>
  <si>
    <t>4th - 6th May</t>
  </si>
  <si>
    <t>Pollard Akhter</t>
  </si>
  <si>
    <t>7th - 11th May</t>
  </si>
  <si>
    <t>1- 4</t>
  </si>
  <si>
    <t>Khyber Dutch</t>
  </si>
  <si>
    <t>8th - 12th May</t>
  </si>
  <si>
    <t xml:space="preserve">Clash of the Neighbours </t>
  </si>
  <si>
    <t>13th - 15th May</t>
  </si>
  <si>
    <t>Dutch Caribbean</t>
  </si>
  <si>
    <t>1 Match Only</t>
  </si>
  <si>
    <t>Karachi London</t>
  </si>
  <si>
    <t>25th -27th May</t>
  </si>
  <si>
    <t>28th - 30th May</t>
  </si>
  <si>
    <t>Dutch Bangla Battle</t>
  </si>
  <si>
    <t>26th - 30th May</t>
  </si>
  <si>
    <t>June</t>
  </si>
  <si>
    <t>Sons &amp; Daughters of Mother Trophy</t>
  </si>
  <si>
    <t>1st - 3rd June</t>
  </si>
  <si>
    <t>Northwave Trophy</t>
  </si>
  <si>
    <t>1st - 5th June</t>
  </si>
  <si>
    <t>Island Meets Desert Trophy</t>
  </si>
  <si>
    <t>4th - 8th June</t>
  </si>
  <si>
    <t>7o 5w</t>
  </si>
  <si>
    <t>Lords Clash</t>
  </si>
  <si>
    <t>7th - 9th June</t>
  </si>
  <si>
    <t>10o 8w</t>
  </si>
  <si>
    <t>Freedom Jalebi Trophy</t>
  </si>
  <si>
    <t>10o 10w</t>
  </si>
  <si>
    <t>Pookie-Pookie Cup</t>
  </si>
  <si>
    <t>ODI</t>
  </si>
  <si>
    <t>Kingfisher Cup</t>
  </si>
  <si>
    <t>Vellas Trophy</t>
  </si>
  <si>
    <t>8th - 10th June</t>
  </si>
  <si>
    <t>7o 6w</t>
  </si>
  <si>
    <t>European Beaver-Hedgehog Trophy</t>
  </si>
  <si>
    <t>Desert Derby</t>
  </si>
  <si>
    <t>T20</t>
  </si>
  <si>
    <t>The London Cup</t>
  </si>
  <si>
    <t>The Arabian Challenge</t>
  </si>
  <si>
    <t>14th June</t>
  </si>
  <si>
    <t>Sky Bound ODI Series</t>
  </si>
  <si>
    <t>27th June</t>
  </si>
  <si>
    <t>KFC T20 Cup</t>
  </si>
  <si>
    <t>BANK AL-HABIB</t>
  </si>
  <si>
    <t>28th June</t>
  </si>
  <si>
    <t>Kingdom Trophy</t>
  </si>
  <si>
    <t>Paradise Trophy</t>
  </si>
  <si>
    <t>30th June</t>
  </si>
  <si>
    <t>July</t>
  </si>
  <si>
    <t>Anz ODI Clash</t>
  </si>
  <si>
    <t>1st July</t>
  </si>
  <si>
    <t>Coca Cola Cup</t>
  </si>
  <si>
    <t>The Royal Protea Trophy</t>
  </si>
  <si>
    <t>Summer Series</t>
  </si>
  <si>
    <t>Royal Anglo Trophy</t>
  </si>
  <si>
    <t>4th July</t>
  </si>
  <si>
    <t>ABD Trophy</t>
  </si>
  <si>
    <t>T10</t>
  </si>
  <si>
    <t>IPL Challenger Trophy</t>
  </si>
  <si>
    <t>The Global Four</t>
  </si>
  <si>
    <t>West Indies &amp; Netherlands</t>
  </si>
  <si>
    <t>BD vs Ned 8th | Ned Won
BD vs WI 9th | WI Won
Ned vs WI 10th | Ned Won
BD vs WI 11th | WI Won
BD vs Ned 12th | Ned Won
WI vs Ned 13th | WI Won
BD vs Ned 14th | BD Won
BD vs WI 15th | WI Won
Ned vs WI 16th | WI Won
Finals 18th | WI vs NED | WI Won</t>
  </si>
  <si>
    <t>7o 7w</t>
  </si>
  <si>
    <t>Unity T20 Cup</t>
  </si>
  <si>
    <t>21st - 23rd July</t>
  </si>
  <si>
    <t>Great Southern Dutch</t>
  </si>
  <si>
    <t>21st - 25th July</t>
  </si>
  <si>
    <t>Anglo Bengal ODI Trophy</t>
  </si>
  <si>
    <t>24th - 26th July</t>
  </si>
  <si>
    <t>Crescent Cup</t>
  </si>
  <si>
    <t>Highland Trophy</t>
  </si>
  <si>
    <t>August</t>
  </si>
  <si>
    <t>Caribbean &amp; Emirates Challenge Cup</t>
  </si>
  <si>
    <t>4th Aug</t>
  </si>
  <si>
    <t>Sir Gary Sobers Remembrance Trophy</t>
  </si>
  <si>
    <t>Tiger Orange Cup</t>
  </si>
  <si>
    <t>1st - 5th Aug</t>
  </si>
  <si>
    <t>Legacy Cup</t>
  </si>
  <si>
    <t>Falcon Cup</t>
  </si>
  <si>
    <t>Croco-Owl Series</t>
  </si>
  <si>
    <t>8th - 10th Aug</t>
  </si>
  <si>
    <t>8o 8w</t>
  </si>
  <si>
    <t>Breaking Boundaries Cup</t>
  </si>
  <si>
    <t>Farewell to Legends Trophy</t>
  </si>
  <si>
    <t>14th Aug</t>
  </si>
  <si>
    <t>Royal Rivalry Cup</t>
  </si>
  <si>
    <t xml:space="preserve">India </t>
  </si>
  <si>
    <t>UAE - SA Elite Series</t>
  </si>
  <si>
    <t>Red Leaf Cup</t>
  </si>
  <si>
    <t>USA &amp; Uganda</t>
  </si>
  <si>
    <t>13th - 16th Aug</t>
  </si>
  <si>
    <t>Canada vs Uganda 13th Aug | Canada won
USA vs Uganda 14th Aug | USA Won
USA vs Canada 15th Aug | USA Won
Finals 16th Aug | Canada Won</t>
  </si>
  <si>
    <t>King of water</t>
  </si>
  <si>
    <t>15th - 17th</t>
  </si>
  <si>
    <t>Hayley Matthews Cup</t>
  </si>
  <si>
    <t>5o 5w</t>
  </si>
  <si>
    <t>USA - Canada Trophy</t>
  </si>
  <si>
    <t>The Green &amp; Gold Derby</t>
  </si>
  <si>
    <t>18th - 20th Aug</t>
  </si>
  <si>
    <t>Freedom Shield</t>
  </si>
  <si>
    <t>20th - 22nd Aug</t>
  </si>
  <si>
    <t>Test</t>
  </si>
  <si>
    <t>Austral-Asia Tri Series</t>
  </si>
  <si>
    <t>UAE &amp; Srilanka</t>
  </si>
  <si>
    <t>15th - 21st Aug</t>
  </si>
  <si>
    <t>Aus vs SL 15th Aug | SL Won
Aus vs UAE 16th Aug | UAE Won
SL vs UAE 17th Aug | UAE Won
Aus vs SL 18th Aug | SL Won
Aus vs UAE 19th Aug | Aus Won
SL vs UAE 20th Aug | SL Won
Finals SL vs UAE 21st Aug | SL Won</t>
  </si>
  <si>
    <t>Happy Onam Trophy</t>
  </si>
  <si>
    <t>20th - 24th Aug</t>
  </si>
  <si>
    <t>5overs 5wickets</t>
  </si>
  <si>
    <t>American - Irish Series</t>
  </si>
  <si>
    <t>7overs 7wickets</t>
  </si>
  <si>
    <t>The Southern ODI</t>
  </si>
  <si>
    <t>Onakkali</t>
  </si>
  <si>
    <t>Island &amp; Stars</t>
  </si>
  <si>
    <t>Clash of Calypso vs Chevrons</t>
  </si>
  <si>
    <t>Royal Trophy</t>
  </si>
  <si>
    <t>United Front Trophy</t>
  </si>
  <si>
    <t>Sukumara Kurup Memorial Trophy</t>
  </si>
  <si>
    <t>Falcon Eagle Clash</t>
  </si>
  <si>
    <t>28th - 1st Sept</t>
  </si>
  <si>
    <t>September</t>
  </si>
  <si>
    <t>The Dublin Showdown</t>
  </si>
  <si>
    <t>The Falcon Eagle Clash 2.0</t>
  </si>
  <si>
    <t>Kollam - Dibrugarh Trophy</t>
  </si>
  <si>
    <t>ODI WC Warmup 1</t>
  </si>
  <si>
    <t>ODI WC Warmup 2</t>
  </si>
  <si>
    <t>The Emirates royal Cup</t>
  </si>
  <si>
    <t>Rhino - Lion Cup</t>
  </si>
  <si>
    <t>ODI WC Warmup 4</t>
  </si>
  <si>
    <t>Bangaldesh</t>
  </si>
  <si>
    <t>The Indo-Emirates Cup</t>
  </si>
  <si>
    <t xml:space="preserve">Waugh Lara </t>
  </si>
  <si>
    <t>Ire-Zim Clash</t>
  </si>
  <si>
    <t>Crown &amp; Pearl</t>
  </si>
  <si>
    <t xml:space="preserve">Uganda </t>
  </si>
  <si>
    <t>ODI WC Warmup 3</t>
  </si>
  <si>
    <t>Rhino - Owl Cup</t>
  </si>
  <si>
    <t>ODI WC Warmup 5</t>
  </si>
  <si>
    <t>ODI WC Warmup 6</t>
  </si>
  <si>
    <t>Sammy Warne</t>
  </si>
  <si>
    <t>Rhino - Bear Cup</t>
  </si>
  <si>
    <t>The Gulf Cup</t>
  </si>
  <si>
    <t>ODI WC Warmup 8</t>
  </si>
  <si>
    <t>5th Sept</t>
  </si>
  <si>
    <t>ODI WC Warmup 7</t>
  </si>
  <si>
    <t>ODI WC Warmup 9</t>
  </si>
  <si>
    <t>The Stars &amp; Tigers series</t>
  </si>
  <si>
    <t>2nd, 4th &amp; 5th Sept</t>
  </si>
  <si>
    <t xml:space="preserve"> Last Of the Summer</t>
  </si>
  <si>
    <t>Kingstown Cup</t>
  </si>
  <si>
    <t>Zubeen Garg Tribute Trophy</t>
  </si>
  <si>
    <t>Emerald &amp; Stars Trophy</t>
  </si>
  <si>
    <t>7th - 9th Sept</t>
  </si>
  <si>
    <t>L4i</t>
  </si>
  <si>
    <t>Lloyd–Streak Trophy</t>
  </si>
  <si>
    <t>8th Sept</t>
  </si>
  <si>
    <t>Irish Canadian Cup</t>
  </si>
  <si>
    <t>10th Sept</t>
  </si>
  <si>
    <t>American Caribbean Cup</t>
  </si>
  <si>
    <t>Elite Series</t>
  </si>
  <si>
    <t>14th - 16th Sept</t>
  </si>
  <si>
    <t>Mayabani Cup</t>
  </si>
  <si>
    <t>18th Sept</t>
  </si>
  <si>
    <t>Green Flag Trophy</t>
  </si>
  <si>
    <t>22nd - 24th Sept</t>
  </si>
  <si>
    <t>Waves &amp; the Islands Trophy</t>
  </si>
  <si>
    <t>25th,26th Sept &amp; 2nd Oct</t>
  </si>
  <si>
    <t>October</t>
  </si>
  <si>
    <t>Friends Cup</t>
  </si>
  <si>
    <t>Irish-Caribbean Challenge</t>
  </si>
  <si>
    <t>The American-Dutch Trophy</t>
  </si>
  <si>
    <t>Everest–Pacific Cup</t>
  </si>
  <si>
    <t>Emerald - Dutch Trophy</t>
  </si>
  <si>
    <t>4th Oct</t>
  </si>
  <si>
    <t>American-Bangla Trophy</t>
  </si>
  <si>
    <t>Islo-Astro Trophy</t>
  </si>
  <si>
    <t xml:space="preserve">West Indies  </t>
  </si>
  <si>
    <t>Aurora Cup</t>
  </si>
  <si>
    <t>The Goat Cup</t>
  </si>
  <si>
    <t>2nd - 6th Oct</t>
  </si>
  <si>
    <t>6o 6w</t>
  </si>
  <si>
    <t>Italia vs Himalaya</t>
  </si>
  <si>
    <t>5th - 7th Oct</t>
  </si>
  <si>
    <t>Chai - Biscuit trophy</t>
  </si>
  <si>
    <t>India - Carribbean Showdown Series</t>
  </si>
  <si>
    <t>8th - 10th Oct</t>
  </si>
  <si>
    <t>Royal Trinity Cup</t>
  </si>
  <si>
    <t>Italy &amp; Newzealand</t>
  </si>
  <si>
    <t>5th - 11th Oct</t>
  </si>
  <si>
    <t>7 Match Series</t>
  </si>
  <si>
    <t xml:space="preserve">India - Caribbean ODI Showdown Series </t>
  </si>
  <si>
    <t>11th Oct</t>
  </si>
  <si>
    <t>United Nations Cricket Summit</t>
  </si>
  <si>
    <t>West Indies, Canada, Papua New Guinea</t>
  </si>
  <si>
    <t>10 Match Series</t>
  </si>
  <si>
    <t>Copa Del Umoja</t>
  </si>
  <si>
    <t>8th - 12th Oct</t>
  </si>
  <si>
    <t>Google trophy</t>
  </si>
  <si>
    <t xml:space="preserve">Italy  </t>
  </si>
  <si>
    <t>9th - 13th Oct</t>
  </si>
  <si>
    <t>Emerald - Spanish Debut Cup</t>
  </si>
  <si>
    <t>Spain</t>
  </si>
  <si>
    <t>11th - 13th Oct</t>
  </si>
  <si>
    <t>The Dutch–Nippon Heritage Cup</t>
  </si>
  <si>
    <t>Japan</t>
  </si>
  <si>
    <t>13th Oct</t>
  </si>
  <si>
    <t>Anderson-Tendulker t20 trophy</t>
  </si>
  <si>
    <t>12th - 14th Oct</t>
  </si>
  <si>
    <t xml:space="preserve">The Ultimate Arena Cup </t>
  </si>
  <si>
    <t>14th Oct</t>
  </si>
  <si>
    <t>Dutch - Himalayan Trophy</t>
  </si>
  <si>
    <t>13th - 15th Oct</t>
  </si>
  <si>
    <t>Samurai Falcons Cup</t>
  </si>
  <si>
    <t>15th Oct</t>
  </si>
  <si>
    <t>THE OCEANIC SHOWDOWN</t>
  </si>
  <si>
    <t>12th - 16th Oct</t>
  </si>
  <si>
    <t>5-0</t>
  </si>
  <si>
    <t>Millstone-Jamieson Gold Trophy</t>
  </si>
  <si>
    <t>16th Oct</t>
  </si>
  <si>
    <t>Japan UAE Friendship Series</t>
  </si>
  <si>
    <t>The Gaucho-Samurai Trophy</t>
  </si>
  <si>
    <t>14th - 16th Oct</t>
  </si>
  <si>
    <t xml:space="preserve">APEX TRINITY SERIES </t>
  </si>
  <si>
    <t>Kenya &amp; Spain</t>
  </si>
  <si>
    <t>15th - 18th Oct</t>
  </si>
  <si>
    <t>4 Match Series</t>
  </si>
  <si>
    <t>THE ISLAND T10 SHOWDOWN</t>
  </si>
  <si>
    <t xml:space="preserve">TITANS Cup </t>
  </si>
  <si>
    <t>Tigers - Lions Forest Trophy</t>
  </si>
  <si>
    <t xml:space="preserve">England  </t>
  </si>
  <si>
    <t>Charming Cup</t>
  </si>
  <si>
    <t>19th Oct</t>
  </si>
  <si>
    <t>THE THUNDER CROWN</t>
  </si>
  <si>
    <t>Power Trio series</t>
  </si>
  <si>
    <t>Canada &amp; West Indies</t>
  </si>
  <si>
    <t>14th - 20th Oct</t>
  </si>
  <si>
    <t>7 Match Only</t>
  </si>
  <si>
    <t>THE EDEN PARK RUMBLE</t>
  </si>
  <si>
    <t>20th Oct</t>
  </si>
  <si>
    <t>UAE PNG Friendship Series</t>
  </si>
  <si>
    <t>The Latitude Clash</t>
  </si>
  <si>
    <t xml:space="preserve">Canada  </t>
  </si>
  <si>
    <t>BATTLE OF STORMS</t>
  </si>
  <si>
    <t>21st Oct</t>
  </si>
  <si>
    <t>THE INFERNO CLASH</t>
  </si>
  <si>
    <t>The Golden Horizon Cup</t>
  </si>
  <si>
    <t>The Mount Fuji &amp; Mount Kenya Cup</t>
  </si>
  <si>
    <t>RED &amp; GREEN RIVALRY I</t>
  </si>
  <si>
    <t>Himalayan Dreams</t>
  </si>
  <si>
    <t>England &amp; Portugal</t>
  </si>
  <si>
    <t>15th - 21st</t>
  </si>
  <si>
    <t xml:space="preserve"> RED &amp; GREEN RIVALRY II</t>
  </si>
  <si>
    <t xml:space="preserve">La Roja Clash </t>
  </si>
  <si>
    <t>20th - 22nd Oct</t>
  </si>
  <si>
    <t>The Sakura &amp; Shujaa Trophy</t>
  </si>
  <si>
    <t>The Sun &amp; Olive Cup</t>
  </si>
  <si>
    <t>Golden Raggiana Trophy</t>
  </si>
  <si>
    <t>23rd - 25th</t>
  </si>
  <si>
    <t>The Golden Cup</t>
  </si>
  <si>
    <t>21st - 25th Oct</t>
  </si>
  <si>
    <t>Crimson Samurai Clash</t>
  </si>
  <si>
    <t xml:space="preserve">Japan </t>
  </si>
  <si>
    <t>Upcoming Series</t>
  </si>
  <si>
    <t>Royal Frontier T20</t>
  </si>
  <si>
    <t>2nd - ( 2 Matches yet to decide schedule)</t>
  </si>
  <si>
    <t>1-0</t>
  </si>
  <si>
    <t>Global T20 Cup 2026</t>
  </si>
  <si>
    <t>Japan, Canada, USA, Nepal &amp; Portugal</t>
  </si>
  <si>
    <t>23rd - 30th Oct</t>
  </si>
  <si>
    <t>VYLAX T10 SERIES</t>
  </si>
  <si>
    <t>27th - 29th Oct</t>
  </si>
  <si>
    <t>The Friendly Cup</t>
  </si>
  <si>
    <t>WINKEN CUP</t>
  </si>
  <si>
    <t>Ireland -PNG Friendship Cup</t>
  </si>
  <si>
    <t>Major Tournaments</t>
  </si>
  <si>
    <t>Name</t>
  </si>
  <si>
    <t>Month</t>
  </si>
  <si>
    <t>End Date</t>
  </si>
  <si>
    <t>WTC Remaining Matches</t>
  </si>
  <si>
    <t>November &amp; December</t>
  </si>
  <si>
    <t>Franchise Leagues</t>
  </si>
  <si>
    <t xml:space="preserve"> Qatar’s Elite Cricket League</t>
  </si>
  <si>
    <t>5th October</t>
  </si>
  <si>
    <t>20th October</t>
  </si>
  <si>
    <t>Champions League 2026</t>
  </si>
  <si>
    <t>25th November</t>
  </si>
  <si>
    <t>11th December</t>
  </si>
  <si>
    <t>WINKEN CUP [ West Indies (Home) vs Kenya ]</t>
  </si>
  <si>
    <t>West Indies Squad</t>
  </si>
  <si>
    <t>Kenya Squad</t>
  </si>
  <si>
    <t>Match Details</t>
  </si>
  <si>
    <t>1. Ajeesh Vahab</t>
  </si>
  <si>
    <t>Match List</t>
  </si>
  <si>
    <t>2. Anantha Krishnan U</t>
  </si>
  <si>
    <t>2. Anas Khan</t>
  </si>
  <si>
    <t>3. Ananthu Mohan</t>
  </si>
  <si>
    <t>3. H uzaifa</t>
  </si>
  <si>
    <t>4. Arjun S Kumar</t>
  </si>
  <si>
    <t>4. Malik Ahmed</t>
  </si>
  <si>
    <t>5. MD Abdulla</t>
  </si>
  <si>
    <t>6. Bibin Benny</t>
  </si>
  <si>
    <t>6. Rehan Ali</t>
  </si>
  <si>
    <t>7. Jaseel Vavad</t>
  </si>
  <si>
    <t>7. Sooraj Sial</t>
  </si>
  <si>
    <t>8. Jumana Thasni (C)</t>
  </si>
  <si>
    <t>8. Suraj Shah</t>
  </si>
  <si>
    <t>9. Rahul Suresh</t>
  </si>
  <si>
    <t>9. Yohan Daruwalla (C)</t>
  </si>
  <si>
    <t>10. Zayn Bhayun (VC)</t>
  </si>
  <si>
    <t>The Friendly Cup [ Afghanistan (Home) vs Spain ]</t>
  </si>
  <si>
    <t>Afghanistan Squad</t>
  </si>
  <si>
    <t>Spain Squad</t>
  </si>
  <si>
    <t>1. Adarsh S</t>
  </si>
  <si>
    <t>2. Arslan Ali</t>
  </si>
  <si>
    <t>3. Abdullah Usmani</t>
  </si>
  <si>
    <t>3. Furqan Rasheed</t>
  </si>
  <si>
    <t>4. Anoop</t>
  </si>
  <si>
    <t>4. Irfan Ali Soomro</t>
  </si>
  <si>
    <t>5. Faran Arfi</t>
  </si>
  <si>
    <t>5. Ishaq Ahmed</t>
  </si>
  <si>
    <t>6. Farhan Malik (C)</t>
  </si>
  <si>
    <t>6. Jalal Jalu</t>
  </si>
  <si>
    <t>7. Gl in son Babu</t>
  </si>
  <si>
    <t>7. Javed Alam</t>
  </si>
  <si>
    <t>8. Gokul Saji</t>
  </si>
  <si>
    <t>8. Muhammad Shahzad</t>
  </si>
  <si>
    <t>9. Irfan Sohail</t>
  </si>
  <si>
    <t>9. Muhammad Talha (C)</t>
  </si>
  <si>
    <t>10. Manindra Payal</t>
  </si>
  <si>
    <t>10. Muhammad Touqeer</t>
  </si>
  <si>
    <t>11. Saleem Rana</t>
  </si>
  <si>
    <t>11. Muzamil Zaffar</t>
  </si>
  <si>
    <t>12. Sobha Joseph</t>
  </si>
  <si>
    <t>12. Prince Azeem</t>
  </si>
  <si>
    <t>13. Talha Arain</t>
  </si>
  <si>
    <t>13. Safeer Chepzy</t>
  </si>
  <si>
    <t>14. Umer Khan (VC)</t>
  </si>
  <si>
    <t>14. Salman Saeed</t>
  </si>
  <si>
    <t>15. Waleed Khan</t>
  </si>
  <si>
    <t>15. SK Haseeb Ali (VC)</t>
  </si>
  <si>
    <t>VYLAX T10 SERIES [ Ireland (Home) vs Papua New Guinea ]</t>
  </si>
  <si>
    <t>Ireland Squad</t>
  </si>
  <si>
    <t>Papua New Guinea Squad</t>
  </si>
  <si>
    <t>1. Ali Abbas Bangash (C)</t>
  </si>
  <si>
    <t>1. Aman Raj Singh (C)</t>
  </si>
  <si>
    <t>2. Samm ar Rehman (VC)</t>
  </si>
  <si>
    <t>4. Zain Gujjar</t>
  </si>
  <si>
    <t>4. Harry Gujjar</t>
  </si>
  <si>
    <t>5. Talal Ch.</t>
  </si>
  <si>
    <t>5. Kalash</t>
  </si>
  <si>
    <t>6. Jos iya</t>
  </si>
  <si>
    <t>7. Rahim Ullah</t>
  </si>
  <si>
    <t>7. Meraj Ansari</t>
  </si>
  <si>
    <t>8. Zain Ul Hassan</t>
  </si>
  <si>
    <t>8. Mughalz Bilal</t>
  </si>
  <si>
    <t>9. Karthik Varma</t>
  </si>
  <si>
    <t>9. Naveen Gupta</t>
  </si>
  <si>
    <t>10. Shahmeer Baloch</t>
  </si>
  <si>
    <t>10. Pawan</t>
  </si>
  <si>
    <t>11. Poorna</t>
  </si>
  <si>
    <t>11. Sayed Babu</t>
  </si>
  <si>
    <t>12. Alan Aji</t>
  </si>
  <si>
    <t>12. Salik Hassan</t>
  </si>
  <si>
    <t>The Sun &amp; Olive Cup [ Italy (Home) vs Spain ]</t>
  </si>
  <si>
    <t>Italy Squad</t>
  </si>
  <si>
    <t>1. Chinju</t>
  </si>
  <si>
    <t>1. AB Rehman Yaseen</t>
  </si>
  <si>
    <t>2. Firoze</t>
  </si>
  <si>
    <t>Match 1</t>
  </si>
  <si>
    <t>5 overs 5 wickets</t>
  </si>
  <si>
    <t>Vivian</t>
  </si>
  <si>
    <t>Nisa (Italy)</t>
  </si>
  <si>
    <t>Firoze Babu (Italy)</t>
  </si>
  <si>
    <t>3. Greeshma</t>
  </si>
  <si>
    <t>3. Fraz Ali</t>
  </si>
  <si>
    <t>Italy Won Series</t>
  </si>
  <si>
    <t>4. Huzain (VC)</t>
  </si>
  <si>
    <t>4. Ghamshad Kapri</t>
  </si>
  <si>
    <t>5. Irfan Ali Soomro</t>
  </si>
  <si>
    <t>6. Nisa Navas</t>
  </si>
  <si>
    <t>6. Javed Alam</t>
  </si>
  <si>
    <t>7. Rinz (C)</t>
  </si>
  <si>
    <t>7. Nour aiz Abbas</t>
  </si>
  <si>
    <t>8. Ubai Nisa</t>
  </si>
  <si>
    <t>8. Salman Saeed</t>
  </si>
  <si>
    <t>Crimson Samurai Clash [ Spain (Home) vs Japan ]</t>
  </si>
  <si>
    <t>Japan Squad</t>
  </si>
  <si>
    <t>1. Abhi Gulan</t>
  </si>
  <si>
    <t>2. Dexent Taha</t>
  </si>
  <si>
    <t>Estadi</t>
  </si>
  <si>
    <t>Sujith CS Ctr</t>
  </si>
  <si>
    <t>Ishaq Ahmed (Spain)</t>
  </si>
  <si>
    <t>Muhammad Touqeer (Spain)</t>
  </si>
  <si>
    <t>Match 2</t>
  </si>
  <si>
    <t>Bimal Baral</t>
  </si>
  <si>
    <t>Prince Azeem (Spain)</t>
  </si>
  <si>
    <t>SK Haseeb Ali(Spain)</t>
  </si>
  <si>
    <t>4. Jalal Jalu</t>
  </si>
  <si>
    <t>4. Anas</t>
  </si>
  <si>
    <t>Match 3</t>
  </si>
  <si>
    <t>Muhammad Shahzad (Spain)</t>
  </si>
  <si>
    <t>Jalal Jalu (Spain)</t>
  </si>
  <si>
    <t>Churami (Japan)</t>
  </si>
  <si>
    <t>5. M Ishaq</t>
  </si>
  <si>
    <t>5. Aswin</t>
  </si>
  <si>
    <t>Spain Won Series</t>
  </si>
  <si>
    <t>6. M Shahzad</t>
  </si>
  <si>
    <t>6. Churami (VC)</t>
  </si>
  <si>
    <t>7. M Touqeer</t>
  </si>
  <si>
    <t>7. Deepesh</t>
  </si>
  <si>
    <t>8. Muhammad Talha (C)</t>
  </si>
  <si>
    <t>8. Mashood</t>
  </si>
  <si>
    <t>9. Muzamil Zaffar</t>
  </si>
  <si>
    <t>9. Nahas (C)</t>
  </si>
  <si>
    <t>10. Prince Azeem</t>
  </si>
  <si>
    <t>10. Shareef</t>
  </si>
  <si>
    <t>11. Safeer Chepzy</t>
  </si>
  <si>
    <t>11. Sreelal</t>
  </si>
  <si>
    <t>12. SK Haseeb Ali</t>
  </si>
  <si>
    <t>12. Zuhair</t>
  </si>
  <si>
    <t xml:space="preserve"> Golden Raggiana Trophy [ Papua New Guinea (Home) vs Ireland ]</t>
  </si>
  <si>
    <t>1. Akki</t>
  </si>
  <si>
    <t>2. Aman Raj Singh (C)</t>
  </si>
  <si>
    <t>2. Akshay (VC)</t>
  </si>
  <si>
    <t>23rd Oct</t>
  </si>
  <si>
    <t>Fuqran Rasheed</t>
  </si>
  <si>
    <t>Zain Gujjar (Ireland)</t>
  </si>
  <si>
    <t>Harry Gujjar (Papua New Guinea)</t>
  </si>
  <si>
    <t>3. Aman Saini</t>
  </si>
  <si>
    <t>Kalash (Papua New Guinea)</t>
  </si>
  <si>
    <t>4. Anandhu Nandhu</t>
  </si>
  <si>
    <t>4. Ali Abbas Bangash</t>
  </si>
  <si>
    <t>Jafnis</t>
  </si>
  <si>
    <t>Naveen Gupta (Papua New Guinea)</t>
  </si>
  <si>
    <t>Talal Choudhary (Ireland)</t>
  </si>
  <si>
    <t>5. Ananya Parihar</t>
  </si>
  <si>
    <t>5. Bishwa</t>
  </si>
  <si>
    <t>Papua New Guinea Won Series</t>
  </si>
  <si>
    <t>6. Harry Gujjar</t>
  </si>
  <si>
    <t>6. Fakhar Abbas Bangash</t>
  </si>
  <si>
    <t>7. Jos iya</t>
  </si>
  <si>
    <t>8. Kalash</t>
  </si>
  <si>
    <t>8. Noufal</t>
  </si>
  <si>
    <t>9. Mr Draco</t>
  </si>
  <si>
    <t>9. Poorna</t>
  </si>
  <si>
    <t>10. Naveen Gupta (VC)</t>
  </si>
  <si>
    <t>10. Rahim Ullah</t>
  </si>
  <si>
    <t>11. Pawan</t>
  </si>
  <si>
    <t>11. Sahmeer Baloch</t>
  </si>
  <si>
    <t>12. Sammar Rehman (C)</t>
  </si>
  <si>
    <t>13. Sayed Babu</t>
  </si>
  <si>
    <t>13. Talal Ch.</t>
  </si>
  <si>
    <t>14. Shivi</t>
  </si>
  <si>
    <t>14. Zain Gujjar</t>
  </si>
  <si>
    <t>15. Urmila</t>
  </si>
  <si>
    <t>15. Zain Ul Hassan</t>
  </si>
  <si>
    <t>Global T20 Cup 2026 [ Zimbabwe,Japan, Canada, USA, Nepal &amp; Portugal  ]</t>
  </si>
  <si>
    <t>Zimbabwe Squad</t>
  </si>
  <si>
    <t>Canada Squad</t>
  </si>
  <si>
    <t>USA Squad</t>
  </si>
  <si>
    <t>Nepal Squad</t>
  </si>
  <si>
    <t>Portugal Squad</t>
  </si>
  <si>
    <t>1. Abhi VK</t>
  </si>
  <si>
    <t>1. Ahsas</t>
  </si>
  <si>
    <t>1. Abd Badshah</t>
  </si>
  <si>
    <t>1. Abhay Brucelee (VC)</t>
  </si>
  <si>
    <t>2. Drubo Rajbongshi</t>
  </si>
  <si>
    <t>2. Alimisha</t>
  </si>
  <si>
    <t>Match 1: Zimbabwe vs Portugal</t>
  </si>
  <si>
    <t>Lachit</t>
  </si>
  <si>
    <t>Uttam Bharali (Zimbabwe)</t>
  </si>
  <si>
    <t>Prayash Parsar (Zimbabwe)</t>
  </si>
  <si>
    <t>3. Jyotishman Das</t>
  </si>
  <si>
    <t>3. Arun Ozil</t>
  </si>
  <si>
    <t>3. Arsal an</t>
  </si>
  <si>
    <t>3. Gaurav Mittal (C)</t>
  </si>
  <si>
    <t>3. Arif Leo</t>
  </si>
  <si>
    <t>3. Ashiq</t>
  </si>
  <si>
    <t>Match 2: Japan vs Nepal</t>
  </si>
  <si>
    <t>Mosi</t>
  </si>
  <si>
    <t>Hafizul SK</t>
  </si>
  <si>
    <t>Seru Yuvi (Japan)</t>
  </si>
  <si>
    <t>Professor (Nepal)</t>
  </si>
  <si>
    <t>Mohammed Fadil (Nepal)</t>
  </si>
  <si>
    <t>4. Karan Ghimera</t>
  </si>
  <si>
    <t>4. Athul</t>
  </si>
  <si>
    <t>4. Blassy</t>
  </si>
  <si>
    <t>4. Hafijul SK</t>
  </si>
  <si>
    <t>4. Arsal Chaudry (C)</t>
  </si>
  <si>
    <t>4. Akshay Varnam</t>
  </si>
  <si>
    <t>Match 3: Canada vs USA</t>
  </si>
  <si>
    <t>Shebin Johan (Canada)</t>
  </si>
  <si>
    <t>Blessy (Canada)</t>
  </si>
  <si>
    <t>5. Majoni Medhi</t>
  </si>
  <si>
    <t>5. Hafsal</t>
  </si>
  <si>
    <t>5. Chaitanya</t>
  </si>
  <si>
    <t>5. Asif</t>
  </si>
  <si>
    <t>5. Aswanath</t>
  </si>
  <si>
    <t>Match 4: Zimbabwe vs Nepal</t>
  </si>
  <si>
    <t>Arsal (Nepal)</t>
  </si>
  <si>
    <t>Pintu (Zimbabwe)</t>
  </si>
  <si>
    <t>6. Mn Kafle</t>
  </si>
  <si>
    <t>6. Hannan</t>
  </si>
  <si>
    <t>6. Mubashir Khan</t>
  </si>
  <si>
    <t>6. Christy Royson</t>
  </si>
  <si>
    <t>6. Hanimion</t>
  </si>
  <si>
    <t>Match 5: Portugal vs USA</t>
  </si>
  <si>
    <t>Aswanth (Portugal)</t>
  </si>
  <si>
    <t>Hafizuk SK (Portugal)</t>
  </si>
  <si>
    <t>7. Mriganka Marle</t>
  </si>
  <si>
    <t>7. Mahir</t>
  </si>
  <si>
    <t>7. Vignesh Das</t>
  </si>
  <si>
    <t>7. Jani Jutt</t>
  </si>
  <si>
    <t>7. Irshad</t>
  </si>
  <si>
    <t>Match 6: Japan vs Canada</t>
  </si>
  <si>
    <t>Jahirul</t>
  </si>
  <si>
    <t>Arsalan (Canada)</t>
  </si>
  <si>
    <t>8. Nikita Das</t>
  </si>
  <si>
    <t>8. Machu (C)</t>
  </si>
  <si>
    <t>8. Farhan (Captain)</t>
  </si>
  <si>
    <t>8. Mohsin Latif</t>
  </si>
  <si>
    <t>8. Jo Sebastian</t>
  </si>
  <si>
    <t>8. Jijith</t>
  </si>
  <si>
    <t>Match 7: Zimbabwe vs USA</t>
  </si>
  <si>
    <t>Ritik Upadhyay (Zimbabwe)</t>
  </si>
  <si>
    <t>9. Pintu Dey</t>
  </si>
  <si>
    <t>9. Mujeeb</t>
  </si>
  <si>
    <t>9. Neak Mohammad</t>
  </si>
  <si>
    <t>9. Moiz Gujjar</t>
  </si>
  <si>
    <t>9. Mohammad Fadil</t>
  </si>
  <si>
    <t>9. Kailas (C)</t>
  </si>
  <si>
    <t>Match 8: Nepal vs Canada</t>
  </si>
  <si>
    <t>Christy Royson(Nepal)</t>
  </si>
  <si>
    <t>10. Prayas Parasar</t>
  </si>
  <si>
    <t>10. Murshi</t>
  </si>
  <si>
    <t>10. Rehan</t>
  </si>
  <si>
    <t>10. Raja Zain</t>
  </si>
  <si>
    <t>10. Professor</t>
  </si>
  <si>
    <t>10. Lalu</t>
  </si>
  <si>
    <t>Match 9: Portugal vs Japan</t>
  </si>
  <si>
    <t>27th Oct</t>
  </si>
  <si>
    <t>11. Ringkan Bayan</t>
  </si>
  <si>
    <t>11. Romeo</t>
  </si>
  <si>
    <t>11. Rao Abul</t>
  </si>
  <si>
    <t>11. Ridwan</t>
  </si>
  <si>
    <t>11. Noufal</t>
  </si>
  <si>
    <t>Match 10: Zimbabwe vs Canada</t>
  </si>
  <si>
    <t>12. Rishabh Sarkar</t>
  </si>
  <si>
    <t>12. Payeez</t>
  </si>
  <si>
    <t>12. Sajjad</t>
  </si>
  <si>
    <t>12. Rohan Singh Rathore</t>
  </si>
  <si>
    <t>12. Shaila Joseph</t>
  </si>
  <si>
    <t>12. Pranav</t>
  </si>
  <si>
    <t>Match 11: USA vs Japan</t>
  </si>
  <si>
    <t>13. Rittik Upadhayay</t>
  </si>
  <si>
    <t>13. Sanal</t>
  </si>
  <si>
    <t>13. Shehbin</t>
  </si>
  <si>
    <t>13. Suleman Haider</t>
  </si>
  <si>
    <t>13. Sooraj</t>
  </si>
  <si>
    <t>Match 12: Nepal vs Portugal</t>
  </si>
  <si>
    <t>14. Seru (VC)</t>
  </si>
  <si>
    <t>14. Vishes h</t>
  </si>
  <si>
    <t>14. Talha Gujjar</t>
  </si>
  <si>
    <t>14. Thushara</t>
  </si>
  <si>
    <t>14. Sandra (VC)</t>
  </si>
  <si>
    <t>Match 13: Zimbabwe vs Japan</t>
  </si>
  <si>
    <t>15. Uttam Bharali</t>
  </si>
  <si>
    <t>15. Vipin Kuttu</t>
  </si>
  <si>
    <t>15. Aftab</t>
  </si>
  <si>
    <t>15. Fijin Johnson</t>
  </si>
  <si>
    <t>15. Visakh</t>
  </si>
  <si>
    <t>15. Sujith (VC)</t>
  </si>
  <si>
    <t>Match 14: Canada vs Portugal</t>
  </si>
  <si>
    <t>Match 15: USA vs Nepal</t>
  </si>
  <si>
    <t>30th Oct</t>
  </si>
  <si>
    <t>Finals</t>
  </si>
  <si>
    <t xml:space="preserve"> RED &amp; GREEN RIVALRY II [ Ireland (Home) vs Canada ]</t>
  </si>
  <si>
    <t>2. Akshay Dileep (VC)</t>
  </si>
  <si>
    <t>Pareed</t>
  </si>
  <si>
    <t>Akshay</t>
  </si>
  <si>
    <t>Aftab Ali (Canada)</t>
  </si>
  <si>
    <t>3. Ahsas</t>
  </si>
  <si>
    <t>Canada Won Series</t>
  </si>
  <si>
    <t>7. Fara z Kapri</t>
  </si>
  <si>
    <t>9. Poorna De Silva</t>
  </si>
  <si>
    <t>9. Fawaad</t>
  </si>
  <si>
    <t>10. Neak Mohammad</t>
  </si>
  <si>
    <t>11. Samm ar Rehman (C)</t>
  </si>
  <si>
    <t>11. Rehan</t>
  </si>
  <si>
    <t>12. Shahmeer Baloch</t>
  </si>
  <si>
    <t>12. Romeo</t>
  </si>
  <si>
    <t>13. Talal Chaudhry</t>
  </si>
  <si>
    <t>13. Sajjad</t>
  </si>
  <si>
    <t>14. Shehbin</t>
  </si>
  <si>
    <t>15. Vishesh</t>
  </si>
  <si>
    <t>The Sakura &amp; Shujaa Trophy [ Japan (Home) vs Kenya ]</t>
  </si>
  <si>
    <t>1. Akash</t>
  </si>
  <si>
    <t>2. Ali Raza</t>
  </si>
  <si>
    <t>Sano</t>
  </si>
  <si>
    <t>Furqan</t>
  </si>
  <si>
    <t>Nahas (Japan)</t>
  </si>
  <si>
    <t>Huzaifa (Kenya)</t>
  </si>
  <si>
    <t>3. Anas Khan</t>
  </si>
  <si>
    <t>Japan Won Series</t>
  </si>
  <si>
    <t>4. Churami</t>
  </si>
  <si>
    <t>4. Hufaiza</t>
  </si>
  <si>
    <t>5. Hanan</t>
  </si>
  <si>
    <t>6. Machu (Captain)</t>
  </si>
  <si>
    <t>7. Mashood</t>
  </si>
  <si>
    <t>7. MD Abdulla</t>
  </si>
  <si>
    <t>8. Murshi</t>
  </si>
  <si>
    <t>8. Mohd Asif</t>
  </si>
  <si>
    <t>9. Nahas</t>
  </si>
  <si>
    <t>9. Mohd Waseem</t>
  </si>
  <si>
    <t>10. Payeez</t>
  </si>
  <si>
    <t>10. Rehan Ali</t>
  </si>
  <si>
    <t>11. Seru</t>
  </si>
  <si>
    <t>11. Yohan Daruwalla (Captain)</t>
  </si>
  <si>
    <t>12. Shareef</t>
  </si>
  <si>
    <t>12. Zayn Bhayun</t>
  </si>
  <si>
    <t>RED &amp; GREEN RIVALRY I [ Ireland (Home) vs Canada ]</t>
  </si>
  <si>
    <t>Ireland Won Series</t>
  </si>
  <si>
    <t>The Golden Cup  [ West Indies (Home) vs Afghanistan ]</t>
  </si>
  <si>
    <t>1. Adnan Abbas Rehan</t>
  </si>
  <si>
    <t>2. Anoop</t>
  </si>
  <si>
    <t>Hayley</t>
  </si>
  <si>
    <t>Princi Bora</t>
  </si>
  <si>
    <t>Sobha Joseph (Afghanistan)</t>
  </si>
  <si>
    <t>Maninder Payal (Afghanistan)</t>
  </si>
  <si>
    <t>3. Farhan Mallick (Captain)</t>
  </si>
  <si>
    <t>Adnan Abbas (Afghanistan)</t>
  </si>
  <si>
    <t>Umar Khan (Afghanistan)</t>
  </si>
  <si>
    <t>Abhishek Vava (West Indies)</t>
  </si>
  <si>
    <t>4. Arjun S Kumar (Captain)</t>
  </si>
  <si>
    <t>4. Gl inson Babu</t>
  </si>
  <si>
    <t>Shobha Joseph (Afghanistan)</t>
  </si>
  <si>
    <t>Irfan Sohail(Afghanistan)</t>
  </si>
  <si>
    <t>5. Arun Biju</t>
  </si>
  <si>
    <t>5. Gokul Saji</t>
  </si>
  <si>
    <t>Match 4</t>
  </si>
  <si>
    <t>Farhan Mallick (Afghanistan)</t>
  </si>
  <si>
    <t>6. Aswin MSD</t>
  </si>
  <si>
    <t>6. Irfan Sohail</t>
  </si>
  <si>
    <t>Match 5</t>
  </si>
  <si>
    <t>Ananthu RG(West Indies)</t>
  </si>
  <si>
    <t>7. Binal K Binoy</t>
  </si>
  <si>
    <t>7. Manindra Payal</t>
  </si>
  <si>
    <t>Afghanistan Won Series</t>
  </si>
  <si>
    <t>8. Fasal CT</t>
  </si>
  <si>
    <t>8. Saleem Rana</t>
  </si>
  <si>
    <t>9. Sobha Joseph</t>
  </si>
  <si>
    <t>10. Jumana Thasni</t>
  </si>
  <si>
    <t>10. Talha Arain</t>
  </si>
  <si>
    <t>11. Rahul Suresh</t>
  </si>
  <si>
    <t>11. Umar Khan (CEO)</t>
  </si>
  <si>
    <t>12. Shani Kutty</t>
  </si>
  <si>
    <t>12. Waleed Khan (Chairman)</t>
  </si>
  <si>
    <t>The Golden Horizon Cup  [ Italy (Home) vs West Indies ]</t>
  </si>
  <si>
    <t>1. Abhilash P A</t>
  </si>
  <si>
    <t>2. Aravind</t>
  </si>
  <si>
    <t>2. Ajitha Thankachan</t>
  </si>
  <si>
    <t>Ovale</t>
  </si>
  <si>
    <t>Aravind (Italy)</t>
  </si>
  <si>
    <t>3. Ashik</t>
  </si>
  <si>
    <t>4. Firoz</t>
  </si>
  <si>
    <t>4. Ananthu Mohan</t>
  </si>
  <si>
    <t>5. Bharat Narayan</t>
  </si>
  <si>
    <t>8. Josin</t>
  </si>
  <si>
    <t>8. Hari Krishnan</t>
  </si>
  <si>
    <t>9. Jaseel Vavad</t>
  </si>
  <si>
    <t>10. MHD Ali</t>
  </si>
  <si>
    <t>10. M Shibili (C)</t>
  </si>
  <si>
    <t>11. Nobin</t>
  </si>
  <si>
    <t>11. Madhav</t>
  </si>
  <si>
    <t>12. Renjini</t>
  </si>
  <si>
    <t>12. Midhun M</t>
  </si>
  <si>
    <t>13. Nihal Maxi</t>
  </si>
  <si>
    <t>14. Shuhaib (C)</t>
  </si>
  <si>
    <t>14. Sachin S</t>
  </si>
  <si>
    <t>15. Sterin Joseph</t>
  </si>
  <si>
    <t>The Mount Fuji &amp; Mount Kenya Cup  [ Japan (Home) vs Kenya ]</t>
  </si>
  <si>
    <t>Irshad Bekal</t>
  </si>
  <si>
    <t>Abhi Gulan(Japan)</t>
  </si>
  <si>
    <t>3. Deepesh</t>
  </si>
  <si>
    <t>5. Machan</t>
  </si>
  <si>
    <t>5. Malik Ahmed</t>
  </si>
  <si>
    <t>6. Mahir</t>
  </si>
  <si>
    <t>6. MD Abdulla</t>
  </si>
  <si>
    <t>7. Nahas (C)</t>
  </si>
  <si>
    <t>7. Mohd Waseem</t>
  </si>
  <si>
    <t>8. Nihal</t>
  </si>
  <si>
    <t>8. Rehan Ali</t>
  </si>
  <si>
    <t>9. Sanal</t>
  </si>
  <si>
    <t>9. Yohan Daruwalla (CAP)</t>
  </si>
  <si>
    <t>10. Sreelal</t>
  </si>
  <si>
    <t>10. Zayn Bhayun</t>
  </si>
  <si>
    <t>BATTLE OF STORMS  [ UAE (Home) vs Papua New Guinea ]</t>
  </si>
  <si>
    <t>UAE Squad</t>
  </si>
  <si>
    <t>1. Abdu</t>
  </si>
  <si>
    <t>2. AJ (VC)</t>
  </si>
  <si>
    <t>2. Akki</t>
  </si>
  <si>
    <t>Dubai</t>
  </si>
  <si>
    <t>Hanish (UAE)</t>
  </si>
  <si>
    <t>3. Akhil</t>
  </si>
  <si>
    <t>3. Aman Raj Singh (C)</t>
  </si>
  <si>
    <t>UAE Won Series</t>
  </si>
  <si>
    <t>4. Alan</t>
  </si>
  <si>
    <t>4. Aman Saini</t>
  </si>
  <si>
    <t>5. Antony</t>
  </si>
  <si>
    <t>5. Anandhu Nandhu</t>
  </si>
  <si>
    <t>6. Arjun</t>
  </si>
  <si>
    <t>7. Athul</t>
  </si>
  <si>
    <t>8. Ayas</t>
  </si>
  <si>
    <t>8. Jos iya</t>
  </si>
  <si>
    <t>9. Hanis h</t>
  </si>
  <si>
    <t>9. Kalash</t>
  </si>
  <si>
    <t>10. Jafnis (C)</t>
  </si>
  <si>
    <t>10. Mr Draco</t>
  </si>
  <si>
    <t>11. Mumtaz Khan</t>
  </si>
  <si>
    <t>12. Naveen Gupta (VC)</t>
  </si>
  <si>
    <t>13. Rahul</t>
  </si>
  <si>
    <t>14. Rakesh</t>
  </si>
  <si>
    <t>15. Salik Hassan</t>
  </si>
  <si>
    <t>16. Sayed Babu</t>
  </si>
  <si>
    <t>17. Vaishnav</t>
  </si>
  <si>
    <t>18. Vichu</t>
  </si>
  <si>
    <t>18. Urmila</t>
  </si>
  <si>
    <t>THE INFERNO CLASH  [ Newzealand (Home) vs Australia ]</t>
  </si>
  <si>
    <t>Newzealand Squad</t>
  </si>
  <si>
    <t>Australia Squad</t>
  </si>
  <si>
    <t>Ali Abbas Bangesh</t>
  </si>
  <si>
    <t>Biswajit Ghosh (Newzealand)</t>
  </si>
  <si>
    <t>Rizwan Mansoori (Australia)</t>
  </si>
  <si>
    <t>3. Azeem Abd</t>
  </si>
  <si>
    <t>Newzealand Won Series</t>
  </si>
  <si>
    <t>4. Biswajit Ghosh</t>
  </si>
  <si>
    <t>4. Anand Ajikumar</t>
  </si>
  <si>
    <t>5. Gautam Shankara Ram (VC)</t>
  </si>
  <si>
    <t>5. Anurag Raj</t>
  </si>
  <si>
    <t>6. Hasan Musabbir (C)</t>
  </si>
  <si>
    <t>6. Arnab Sarkar (C)</t>
  </si>
  <si>
    <t>7. Hrushikesh Dinkar</t>
  </si>
  <si>
    <t>7. Achu Achu</t>
  </si>
  <si>
    <t>8. Chintan Poojari</t>
  </si>
  <si>
    <t>9. Mahesh Margol</t>
  </si>
  <si>
    <t>9. Chiranjeebi Samal</t>
  </si>
  <si>
    <t>10. Nithin Poojari</t>
  </si>
  <si>
    <t>10. Keshav Shah</t>
  </si>
  <si>
    <t>11. Ram Thakkar</t>
  </si>
  <si>
    <t>12. Shibasis Nayak</t>
  </si>
  <si>
    <t>12. Manish Indoria</t>
  </si>
  <si>
    <t>13. Tejasvin AV</t>
  </si>
  <si>
    <t>13. Muhammad Noor</t>
  </si>
  <si>
    <t>14. Toby Jospeh</t>
  </si>
  <si>
    <t>14. Rizwan Mansoori</t>
  </si>
  <si>
    <t>15. Tukaram Parabat</t>
  </si>
  <si>
    <t>La Roja Clash  [ Spain (Home) vs USA ]</t>
  </si>
  <si>
    <t>1. Ab Rehman Yaseen</t>
  </si>
  <si>
    <t>Mudasir Ali</t>
  </si>
  <si>
    <t>Gaurav Mittal(USA)</t>
  </si>
  <si>
    <t>Ghamshad Kapri(Spain)</t>
  </si>
  <si>
    <t>3. Arslan Ali</t>
  </si>
  <si>
    <t>Hafizul SK(USA)</t>
  </si>
  <si>
    <t>4. Furqan Rasheed</t>
  </si>
  <si>
    <t>5. Ghamshad Kapri</t>
  </si>
  <si>
    <t>5. Gaurav Mittal (C)</t>
  </si>
  <si>
    <t>USA Won Series</t>
  </si>
  <si>
    <t>6. Irfan Ali Soomro</t>
  </si>
  <si>
    <t>7. Jalal Jalu</t>
  </si>
  <si>
    <t>8. Javed Alam</t>
  </si>
  <si>
    <t>9. Muhammad Shahzad</t>
  </si>
  <si>
    <t>9. Mubashir Khan</t>
  </si>
  <si>
    <t>10. Muhammad Talha</t>
  </si>
  <si>
    <t>10. Muhammad Umer</t>
  </si>
  <si>
    <t>12. Muzamil Zaffar</t>
  </si>
  <si>
    <t>13. Prince Azeem</t>
  </si>
  <si>
    <t>15. SK Haseeb Ali</t>
  </si>
  <si>
    <t>15. Vignesh Das</t>
  </si>
  <si>
    <t>The Latitude Clash [ Canada (Home) vs West Indies ]</t>
  </si>
  <si>
    <t>3. Ajitha Thankachan</t>
  </si>
  <si>
    <t>4. Arsalan</t>
  </si>
  <si>
    <t>5. Ananthu R G</t>
  </si>
  <si>
    <t>6. Chaitanya</t>
  </si>
  <si>
    <t>6. Arjun S Kumar</t>
  </si>
  <si>
    <t>7. Arun Biju</t>
  </si>
  <si>
    <t>8. Farah (Captain)</t>
  </si>
  <si>
    <t>9. Faraz Kapri</t>
  </si>
  <si>
    <t>9. Bibin Benny (C)</t>
  </si>
  <si>
    <t>10. Fawaad</t>
  </si>
  <si>
    <t>11. Manjeet</t>
  </si>
  <si>
    <t>11. Midhun M</t>
  </si>
  <si>
    <t>12. Mansoor</t>
  </si>
  <si>
    <t>12. Nihal Maxi</t>
  </si>
  <si>
    <t>13. Najeeb Ullah</t>
  </si>
  <si>
    <t>13. Rahul Suresh</t>
  </si>
  <si>
    <t>14. Neak Mohammad</t>
  </si>
  <si>
    <t>14. Shibili M</t>
  </si>
  <si>
    <t>15. Rehan</t>
  </si>
  <si>
    <t>15. Sreeraj R Kaimal</t>
  </si>
  <si>
    <t>16. Sajjad</t>
  </si>
  <si>
    <t>17. Shehbin</t>
  </si>
  <si>
    <t>UAE PNG Friendship Series [ UAE (Home) vs Papua New Guinea ]</t>
  </si>
  <si>
    <t>1. AJ (VC)</t>
  </si>
  <si>
    <t>Papua New Guniea</t>
  </si>
  <si>
    <t>Harry Gujjar(Papua New Guinea)</t>
  </si>
  <si>
    <t>4. Antony</t>
  </si>
  <si>
    <t>8. Abdu</t>
  </si>
  <si>
    <t>9. Hanish</t>
  </si>
  <si>
    <t>11. Rahul</t>
  </si>
  <si>
    <t>12. Rakesh</t>
  </si>
  <si>
    <t>13. Thrived</t>
  </si>
  <si>
    <t>14. Tom</t>
  </si>
  <si>
    <t>15. Vaishnav</t>
  </si>
  <si>
    <t>THE EDEN PARK RUMBLE [ Newzealand (Home) vs India ]</t>
  </si>
  <si>
    <t>India Squad</t>
  </si>
  <si>
    <t>2. Anshad Parakkadan</t>
  </si>
  <si>
    <t>Gautam Shankara Ram(Newzealand)</t>
  </si>
  <si>
    <t>3. Asru Ibrahim</t>
  </si>
  <si>
    <t>5. Gautam Shankara Ram (C)</t>
  </si>
  <si>
    <t>6. Hasan Musabbir (VC)</t>
  </si>
  <si>
    <t>6. George</t>
  </si>
  <si>
    <t>7. Harish</t>
  </si>
  <si>
    <t>8. Karthik Devadiga</t>
  </si>
  <si>
    <t>8. Janardhanan CP (C)</t>
  </si>
  <si>
    <t>9. Kishore Gowda</t>
  </si>
  <si>
    <t>9. Mashoo Paika</t>
  </si>
  <si>
    <t>10. Mahesh Margol</t>
  </si>
  <si>
    <t>10. Mowglee</t>
  </si>
  <si>
    <t>11. Nithin Poojari</t>
  </si>
  <si>
    <t>11. Niyaz</t>
  </si>
  <si>
    <t>12. Raheem EK</t>
  </si>
  <si>
    <t>13. Shib Asis</t>
  </si>
  <si>
    <t>14. Tejasvin Av</t>
  </si>
  <si>
    <t>14. Rahul Seenu</t>
  </si>
  <si>
    <t>15. Shivaji Prakash</t>
  </si>
  <si>
    <t>THE THUNDER CROWN [ Newzealand (Home) vs Italy ]</t>
  </si>
  <si>
    <t>18th Oct</t>
  </si>
  <si>
    <t>3. Firoz</t>
  </si>
  <si>
    <t>4. Hybi</t>
  </si>
  <si>
    <t>6. Josin</t>
  </si>
  <si>
    <t>7. MHD Ali</t>
  </si>
  <si>
    <t>8. Nobin</t>
  </si>
  <si>
    <t>9. Renjini</t>
  </si>
  <si>
    <t>10. Rinz</t>
  </si>
  <si>
    <t>11. Sanazil</t>
  </si>
  <si>
    <t>12. Shib Asis</t>
  </si>
  <si>
    <t>12. Shinoj</t>
  </si>
  <si>
    <t>13. Srajan Poojary</t>
  </si>
  <si>
    <t>13. Shuhaib (C)</t>
  </si>
  <si>
    <t>15. Vignesh Suresh</t>
  </si>
  <si>
    <t>Charming Cup [ Papua New Guinea (Home) vs USA ]</t>
  </si>
  <si>
    <t>Royal PNG</t>
  </si>
  <si>
    <t>Furqan Rasheed</t>
  </si>
  <si>
    <t>10. Mumtaz (Bittu)</t>
  </si>
  <si>
    <t>Tigers - Lions Forest Trophy [ Bangladesh (Home) vs England ]</t>
  </si>
  <si>
    <t>Bangladesh Squad</t>
  </si>
  <si>
    <t>England Squad</t>
  </si>
  <si>
    <t>1. Diljith (C)</t>
  </si>
  <si>
    <t>2. Gowri</t>
  </si>
  <si>
    <t>Arsal</t>
  </si>
  <si>
    <t>Sidharth (Bangladesh)</t>
  </si>
  <si>
    <t>Molly Stephan(England)</t>
  </si>
  <si>
    <t>Princhi Bora(Bangladesh)</t>
  </si>
  <si>
    <t>3. Ishak</t>
  </si>
  <si>
    <t>Rohan Singh Rathore</t>
  </si>
  <si>
    <t>Abhishek Adhikary(Bangladesh)</t>
  </si>
  <si>
    <t>4. Molly</t>
  </si>
  <si>
    <t>Ishaq Farid (Bangladesh)</t>
  </si>
  <si>
    <t>Nechuz (England)</t>
  </si>
  <si>
    <t>5. Nechuz</t>
  </si>
  <si>
    <t>Bangladesh Won Series</t>
  </si>
  <si>
    <t>6. Sid</t>
  </si>
  <si>
    <t>7. Subham Dudi</t>
  </si>
  <si>
    <t>7. Safeer (VC)</t>
  </si>
  <si>
    <t>8. Tanushri</t>
  </si>
  <si>
    <t>8. Sunaif</t>
  </si>
  <si>
    <t>TITANS Cup [ UAE (Home) vs India ]</t>
  </si>
  <si>
    <t>Masho Paika(India)</t>
  </si>
  <si>
    <t>Mowglee(India)</t>
  </si>
  <si>
    <t>4. Aswin Biju</t>
  </si>
  <si>
    <t>India Won Series</t>
  </si>
  <si>
    <t>7. Hanish</t>
  </si>
  <si>
    <t>7. Gopikrishnan SV</t>
  </si>
  <si>
    <t>8. Jafnis (C)</t>
  </si>
  <si>
    <t>8. Harish</t>
  </si>
  <si>
    <t>9. Nikhil</t>
  </si>
  <si>
    <t>9. Janardhanan CP (C)</t>
  </si>
  <si>
    <t>10. Mashoo Paika</t>
  </si>
  <si>
    <t>11. Mowglee</t>
  </si>
  <si>
    <t>12. Thrived</t>
  </si>
  <si>
    <t>12. Niyaz</t>
  </si>
  <si>
    <t>13. Tom</t>
  </si>
  <si>
    <t>13. Peter John</t>
  </si>
  <si>
    <t>14. Vaishnav</t>
  </si>
  <si>
    <t>14. Raheem EK</t>
  </si>
  <si>
    <t>15. Vichu</t>
  </si>
  <si>
    <t>15. Rahul Roy</t>
  </si>
  <si>
    <t>THE ISLAND T10 SHOWDOWN [ Ireland (Home) vs West Indies ]</t>
  </si>
  <si>
    <t>1. Abhishek S M</t>
  </si>
  <si>
    <t>2. Alan Aji</t>
  </si>
  <si>
    <t>Bibin Benny (West Indies)</t>
  </si>
  <si>
    <t>Rahul Suresh(West Indies)</t>
  </si>
  <si>
    <t>3. Athulnath</t>
  </si>
  <si>
    <t>3. Ananthu R G</t>
  </si>
  <si>
    <t>Arjun S Kumar(West Indies)</t>
  </si>
  <si>
    <t>Zain UL Hassan(Ireland)</t>
  </si>
  <si>
    <t>4. Bishwa Dutta</t>
  </si>
  <si>
    <t>4. Arjun S Kumar (C)</t>
  </si>
  <si>
    <t>Arun Biju (West Indies)</t>
  </si>
  <si>
    <t>West Indies Won Series</t>
  </si>
  <si>
    <t>6. Karthik Varma</t>
  </si>
  <si>
    <t>6. Bharath Narayan</t>
  </si>
  <si>
    <t>7. Noufal (VC)</t>
  </si>
  <si>
    <t>8. Poorna Kawishka</t>
  </si>
  <si>
    <t>8. Jaseel Vavad</t>
  </si>
  <si>
    <t>9. Sammar (C)</t>
  </si>
  <si>
    <t>9. Jumana Thasni</t>
  </si>
  <si>
    <t>10. M Shibili (VC)</t>
  </si>
  <si>
    <t>11. Zain Gujjar</t>
  </si>
  <si>
    <t>12. Zain Ul Hassan</t>
  </si>
  <si>
    <t>12. Rahul Suresh</t>
  </si>
  <si>
    <t>Japan UAE Friendship Series [ Japan (Home) vs UAE ]</t>
  </si>
  <si>
    <t>Abdu (UAE)</t>
  </si>
  <si>
    <t>Abdu(UAE)</t>
  </si>
  <si>
    <t>Athul(Japan)</t>
  </si>
  <si>
    <t>3. Arun</t>
  </si>
  <si>
    <t>5. Churami (VC)</t>
  </si>
  <si>
    <t>5. Arjun (C)</t>
  </si>
  <si>
    <t>6. Deepesh</t>
  </si>
  <si>
    <t>7. Hafsal</t>
  </si>
  <si>
    <t>8. Hannan</t>
  </si>
  <si>
    <t>8. Hanish</t>
  </si>
  <si>
    <t>9. Mashood</t>
  </si>
  <si>
    <t>10. Rahul</t>
  </si>
  <si>
    <t>11. Payeez</t>
  </si>
  <si>
    <t>11. Rakesh</t>
  </si>
  <si>
    <t>12. Sanal</t>
  </si>
  <si>
    <t>12. Tom</t>
  </si>
  <si>
    <t>13. Seru (C)</t>
  </si>
  <si>
    <t>14. Shareef</t>
  </si>
  <si>
    <t>15. Sreelal</t>
  </si>
  <si>
    <t>Millstone-Jamieson Gold Trophy  [ Netherlands (Home) vs Ireland ]</t>
  </si>
  <si>
    <t>Netherlands Squad</t>
  </si>
  <si>
    <t>1. Bikram Saikia</t>
  </si>
  <si>
    <t>1. Alan (WK)</t>
  </si>
  <si>
    <t>2. Debajit Borthakur (C)</t>
  </si>
  <si>
    <t>2. Athulnath</t>
  </si>
  <si>
    <t>8overs 8wickets</t>
  </si>
  <si>
    <t>Pragjyotish</t>
  </si>
  <si>
    <t>Devasish(Netherlands)</t>
  </si>
  <si>
    <t>Debajit(Netherlands)</t>
  </si>
  <si>
    <t>3. Debasish Borgohain</t>
  </si>
  <si>
    <t>3. Bishwa</t>
  </si>
  <si>
    <t>Netherlands Won Series</t>
  </si>
  <si>
    <t>4. Deepjyoti Talukdar</t>
  </si>
  <si>
    <t>4. Karthik Verma</t>
  </si>
  <si>
    <t>5. Dipak Das</t>
  </si>
  <si>
    <t>5. Noufal (VC)</t>
  </si>
  <si>
    <t>6. Dipankar Roy</t>
  </si>
  <si>
    <t>6. Poorna</t>
  </si>
  <si>
    <t>7. Hirakyoti Deka</t>
  </si>
  <si>
    <t>7. Sammar Rehman (C)</t>
  </si>
  <si>
    <t>8. Jahirul Hoque</t>
  </si>
  <si>
    <t>8. Shahmeer Baloch</t>
  </si>
  <si>
    <t>9. Jihan Omar Fokir</t>
  </si>
  <si>
    <t>9. Zain Gujjar</t>
  </si>
  <si>
    <t>10. Kritartha Kalita</t>
  </si>
  <si>
    <t>10. Zain Ul Hassan</t>
  </si>
  <si>
    <t>Himalayan Dreams [ Nepal (Home) vs England vs Portugal ]</t>
  </si>
  <si>
    <t>1. Abhay Brucelee</t>
  </si>
  <si>
    <t>1. Akhil Raj</t>
  </si>
  <si>
    <t>2. Abhi Jith</t>
  </si>
  <si>
    <t>2. Akshay Varnam</t>
  </si>
  <si>
    <t>Match 1: England vs Portugal</t>
  </si>
  <si>
    <t>Gautam Buddha</t>
  </si>
  <si>
    <t>Pranav (Portugal)</t>
  </si>
  <si>
    <t>Ajin P Anil(England)</t>
  </si>
  <si>
    <t>3. Arsal Chaudry</t>
  </si>
  <si>
    <t>Match 2: Nepal vs England</t>
  </si>
  <si>
    <t>Rahees Rainian(England)</t>
  </si>
  <si>
    <t>Sanoop(England)</t>
  </si>
  <si>
    <t>4. Asif</t>
  </si>
  <si>
    <t>4. Ajin</t>
  </si>
  <si>
    <t>4. Aswanth</t>
  </si>
  <si>
    <t>Match 3: Nepal vs Portugal</t>
  </si>
  <si>
    <t>Akshay Varnam(Portugal)</t>
  </si>
  <si>
    <t>Sujith Kumar(Portugal)</t>
  </si>
  <si>
    <t>5. Christy Royson</t>
  </si>
  <si>
    <t>5. Dileep Kumar</t>
  </si>
  <si>
    <t>5. Irshad CBWG</t>
  </si>
  <si>
    <t>Match 4: England vs Portugal</t>
  </si>
  <si>
    <t>Aash Muhammad (England)</t>
  </si>
  <si>
    <t>Irshad Cbwg(Portugal)</t>
  </si>
  <si>
    <t>6. Jani Jutt</t>
  </si>
  <si>
    <t>6. Nisham</t>
  </si>
  <si>
    <t>6. Irshad PF (VC)</t>
  </si>
  <si>
    <t>Match 5: Nepal vs Portugal</t>
  </si>
  <si>
    <t>Tribhuvan</t>
  </si>
  <si>
    <t>Abhinav Sham(Nepal)</t>
  </si>
  <si>
    <t>Abhay Brucelee(Nepal)</t>
  </si>
  <si>
    <t>7. Mohammad Fadil</t>
  </si>
  <si>
    <t>7. Rahees (VC)</t>
  </si>
  <si>
    <t>7. Jasy</t>
  </si>
  <si>
    <t>Match 6: Nepal vs England</t>
  </si>
  <si>
    <t>Thushara(Nepal)</t>
  </si>
  <si>
    <t>Shaila(Nepal)</t>
  </si>
  <si>
    <t>8. Professor</t>
  </si>
  <si>
    <t>8. Renjish</t>
  </si>
  <si>
    <t>8. Mubashir</t>
  </si>
  <si>
    <t>Finals: England vs Portugal</t>
  </si>
  <si>
    <t>Sachin P (England)</t>
  </si>
  <si>
    <t>9. Ridwan</t>
  </si>
  <si>
    <t>9. Pranav</t>
  </si>
  <si>
    <t>Portugal Won Series</t>
  </si>
  <si>
    <t>10. Shaila Joseph</t>
  </si>
  <si>
    <t>10. Sanoop</t>
  </si>
  <si>
    <t>10. Rashid (C)</t>
  </si>
  <si>
    <t>11. Thushara</t>
  </si>
  <si>
    <t>11. Sri Vishnu</t>
  </si>
  <si>
    <t>11. Sandra</t>
  </si>
  <si>
    <t>12. Visakh</t>
  </si>
  <si>
    <t>12. Sujith (C)</t>
  </si>
  <si>
    <t>12. Sujith (VC)</t>
  </si>
  <si>
    <t>APEX TRINITY SERIES   [ Canada (Home) vs Kenya vs Spain ]</t>
  </si>
  <si>
    <t>1. Arslan Ali</t>
  </si>
  <si>
    <t>2. Ahsas</t>
  </si>
  <si>
    <t>2. Khair Mohammed</t>
  </si>
  <si>
    <t>Match 1: Spain vs Canada</t>
  </si>
  <si>
    <t>Arslan(Spain)</t>
  </si>
  <si>
    <t>3. Arsalan</t>
  </si>
  <si>
    <t>3. Malik Ahmed</t>
  </si>
  <si>
    <t>Match 2: Kenya vs Spain</t>
  </si>
  <si>
    <t>Rehan Ali(Kenya)</t>
  </si>
  <si>
    <t>MD Abdullah(Kenya)</t>
  </si>
  <si>
    <t>4. Chaitanya</t>
  </si>
  <si>
    <t>4. MD Abdulla</t>
  </si>
  <si>
    <t>4. Hafiz Salman</t>
  </si>
  <si>
    <t>Match 3: Canada vs Kenya</t>
  </si>
  <si>
    <t>Zayn Bhuyan(Kenya)</t>
  </si>
  <si>
    <t>Ajeeb (Kenya)</t>
  </si>
  <si>
    <t>5. Farhan (C)</t>
  </si>
  <si>
    <t>5. Rehan Ali</t>
  </si>
  <si>
    <t>5. Irfan Soomro</t>
  </si>
  <si>
    <t>6. Rehan</t>
  </si>
  <si>
    <t>Kenya Won Series</t>
  </si>
  <si>
    <t>7. Vishesh</t>
  </si>
  <si>
    <t>7. Yohan Daruwalla (C)</t>
  </si>
  <si>
    <t>7. Safeer Chepzy (C)</t>
  </si>
  <si>
    <t>8. Zayn</t>
  </si>
  <si>
    <t>8. Tushar Kumar</t>
  </si>
  <si>
    <t>Samurai Falcons Cup  [ UAE (Home) vs Japan ]</t>
  </si>
  <si>
    <t>Shareef(Japan)</t>
  </si>
  <si>
    <t>Payeez(Japan)</t>
  </si>
  <si>
    <t>Rahul Raj(UAE)</t>
  </si>
  <si>
    <t>9. Midlaj</t>
  </si>
  <si>
    <t>Power Trio series  [ Australia (Home) vs Canada vs West Indies ]</t>
  </si>
  <si>
    <t>1. Achu Achu</t>
  </si>
  <si>
    <t>1. Aftdab</t>
  </si>
  <si>
    <t>2. Adil Rahman (VC)</t>
  </si>
  <si>
    <t>Match 1: Australia vs Canada</t>
  </si>
  <si>
    <t>Chinthan Poojari(Australia)</t>
  </si>
  <si>
    <t>Akash Pol(Canada)</t>
  </si>
  <si>
    <t>3. Fawad</t>
  </si>
  <si>
    <t>3. Aswin MSD</t>
  </si>
  <si>
    <t>Match 2: Canada vs West Indies</t>
  </si>
  <si>
    <t>Hadi Diyoof(West Indies)</t>
  </si>
  <si>
    <t>4. Neak</t>
  </si>
  <si>
    <t>4. Frijo Thomas</t>
  </si>
  <si>
    <t>Match 3: Australia vs West Indies</t>
  </si>
  <si>
    <t xml:space="preserve"> 5overs 5wickets</t>
  </si>
  <si>
    <t>Malaram Patel(Australia)</t>
  </si>
  <si>
    <t>5. Chintan Poojari</t>
  </si>
  <si>
    <t>5. Rehan</t>
  </si>
  <si>
    <t>5. Hadi Diyoof</t>
  </si>
  <si>
    <t>Match 4: Australia vs Canada</t>
  </si>
  <si>
    <t>6. Malaram Patel (C)</t>
  </si>
  <si>
    <t>6. Romeo</t>
  </si>
  <si>
    <t>6. Hari Krishnan</t>
  </si>
  <si>
    <t>Match 5: West Indies vs Canada</t>
  </si>
  <si>
    <t>Frijo Thomas (West Indies)</t>
  </si>
  <si>
    <t>Shanikutty (West Indies)</t>
  </si>
  <si>
    <t>7. Muhammad Noor</t>
  </si>
  <si>
    <t>7. Sajjad</t>
  </si>
  <si>
    <t>7. Sachin S (C)</t>
  </si>
  <si>
    <t>Match 6: Australia vs West Indies</t>
  </si>
  <si>
    <t>8. Rizwan Mansoori</t>
  </si>
  <si>
    <t>8. Shebin</t>
  </si>
  <si>
    <t>8. Shani Kutty</t>
  </si>
  <si>
    <t>Finals: Australia vs West Indies</t>
  </si>
  <si>
    <t>Showground</t>
  </si>
  <si>
    <t>Sachin(West Indies)</t>
  </si>
  <si>
    <t>The Gaucho-Samurai Trophy  [ Argentina (Home) vs Japan ]</t>
  </si>
  <si>
    <t>Argentina Squad</t>
  </si>
  <si>
    <t>1. Anaz</t>
  </si>
  <si>
    <t>2. Aryan Das</t>
  </si>
  <si>
    <t>2. Machan</t>
  </si>
  <si>
    <t>6overs 6wickets</t>
  </si>
  <si>
    <t>La Guerrero</t>
  </si>
  <si>
    <t>Machu (Japan)</t>
  </si>
  <si>
    <t>Raj (Argentina)</t>
  </si>
  <si>
    <t>3. Bilal</t>
  </si>
  <si>
    <t>3. Machu (C)</t>
  </si>
  <si>
    <t>Machan (Japan)</t>
  </si>
  <si>
    <t>Anaz (Japan)</t>
  </si>
  <si>
    <t>4. Jayesh (C)</t>
  </si>
  <si>
    <t>4. Mahir</t>
  </si>
  <si>
    <t>Maahir (Japan)</t>
  </si>
  <si>
    <t>Sarwar Kapri (Argentina)</t>
  </si>
  <si>
    <t>5. Raj</t>
  </si>
  <si>
    <t>5. Mujeeb</t>
  </si>
  <si>
    <t>6. Sarwar Kapri</t>
  </si>
  <si>
    <t>7. Shafa Bewas</t>
  </si>
  <si>
    <t>8. Sarath</t>
  </si>
  <si>
    <t>9. Vipin Kuttu (VC)</t>
  </si>
  <si>
    <t>10. Zuhair</t>
  </si>
  <si>
    <t>The Ultimate Arena Cup  [ Japan (Home) vs Netherlands ]</t>
  </si>
  <si>
    <t>1. Anamika Priya Pegu</t>
  </si>
  <si>
    <t>2. Bitupan Dutta</t>
  </si>
  <si>
    <t>14th Dec</t>
  </si>
  <si>
    <t>Sano ICS</t>
  </si>
  <si>
    <t>Abhishek Adhikary</t>
  </si>
  <si>
    <t>Seru Yuvi(Japan)</t>
  </si>
  <si>
    <t>Shon Sharma(Netherlands)</t>
  </si>
  <si>
    <t>3. Alimisha</t>
  </si>
  <si>
    <t>3. Deepjyoti Talukdar (C)</t>
  </si>
  <si>
    <t>4. Athul (VC)</t>
  </si>
  <si>
    <t>5. Churami (C)</t>
  </si>
  <si>
    <t>5. Kumarjyoti Deka</t>
  </si>
  <si>
    <t>6. Mashood</t>
  </si>
  <si>
    <t>6. Niyor J Kashyap</t>
  </si>
  <si>
    <t>7. Murshi</t>
  </si>
  <si>
    <t>7. Prabal Deka</t>
  </si>
  <si>
    <t>8. Payeez</t>
  </si>
  <si>
    <t>8. Sahil Alam</t>
  </si>
  <si>
    <t>9. Shon Sarmah</t>
  </si>
  <si>
    <t>10. Seru</t>
  </si>
  <si>
    <t>10. Surashri Chutia</t>
  </si>
  <si>
    <t>The Dutch–Nippon Heritage Cup [ Netherlands (Home) vs Japan ]</t>
  </si>
  <si>
    <t>Nilachal</t>
  </si>
  <si>
    <t>Kiran Nath(Netherlands)</t>
  </si>
  <si>
    <t>Prabal Deka(Netherlands)</t>
  </si>
  <si>
    <t>4. Hafsal</t>
  </si>
  <si>
    <t>5. Machu</t>
  </si>
  <si>
    <t>8. Nahas</t>
  </si>
  <si>
    <t>9. Seru (C)</t>
  </si>
  <si>
    <t>10. Sreeral</t>
  </si>
  <si>
    <t>Dutch - Himalayan Trophy [ Nepal (Home) vs Netherlands ]</t>
  </si>
  <si>
    <t>1. Abhinav Sham</t>
  </si>
  <si>
    <t>2. Abhay Brucelee (VC)</t>
  </si>
  <si>
    <t>2. Bikram Saikia</t>
  </si>
  <si>
    <t>Jahirul Hoque(Netherlands)</t>
  </si>
  <si>
    <t>Dipankar Roy(Netherlands)</t>
  </si>
  <si>
    <t>3. Arsal Chaudry (C)</t>
  </si>
  <si>
    <t>3. Biki Basistha</t>
  </si>
  <si>
    <t>Mohammed Fadil(Nepal)</t>
  </si>
  <si>
    <t>Visakh(Nepal)</t>
  </si>
  <si>
    <t>Devasish (Netherlands)</t>
  </si>
  <si>
    <t>4. Debajit Borthakur (C)</t>
  </si>
  <si>
    <t>Kritartha Kalita(Netherlands)</t>
  </si>
  <si>
    <t>5. Jani Jutt</t>
  </si>
  <si>
    <t>5. Debasish Borgohain</t>
  </si>
  <si>
    <t>6. Mohammad Fadil</t>
  </si>
  <si>
    <t>6. Dipak Das</t>
  </si>
  <si>
    <t>7. Professor</t>
  </si>
  <si>
    <t>8. Ridwan</t>
  </si>
  <si>
    <t>8. Hirakjyoti Deka</t>
  </si>
  <si>
    <t>9. Shaila Joseph</t>
  </si>
  <si>
    <t>9. Jahirul Hoque (VC)</t>
  </si>
  <si>
    <t>10. Sooraj</t>
  </si>
  <si>
    <t>10. Jihan Omar Fokir</t>
  </si>
  <si>
    <t>11. Khagen Saikia</t>
  </si>
  <si>
    <t>12. Kritartha Kalita</t>
  </si>
  <si>
    <t>THE OCEANIC SHOWDOWN [ Newzealand (Home) vs West Indies ]</t>
  </si>
  <si>
    <t>12th Oct</t>
  </si>
  <si>
    <t>Shibasis(Newzealand)</t>
  </si>
  <si>
    <t>Aniket Gavit(Newzealand)</t>
  </si>
  <si>
    <t>3. Amith Kumar</t>
  </si>
  <si>
    <t>Sovereign Crown</t>
  </si>
  <si>
    <t>Hrushikesh HD(Newzealand)</t>
  </si>
  <si>
    <t>Srajan Poojari(Newzealand)</t>
  </si>
  <si>
    <t>4. Anish Babu Konni</t>
  </si>
  <si>
    <t>Arun Biju(West Indies)</t>
  </si>
  <si>
    <t>6. Arun Biju</t>
  </si>
  <si>
    <t>Titan Bay</t>
  </si>
  <si>
    <t>Hasan Musabbir(Newzealand)</t>
  </si>
  <si>
    <t>Nithin Poojari(Newzealand)</t>
  </si>
  <si>
    <t>7. Bharath Narayan</t>
  </si>
  <si>
    <t>12. Ramith Kumar</t>
  </si>
  <si>
    <t>12. Nayan S Kurup</t>
  </si>
  <si>
    <t>14. Srajan Poojary</t>
  </si>
  <si>
    <t>14. Rahul Suresh</t>
  </si>
  <si>
    <t>15. Shibili (C)</t>
  </si>
  <si>
    <t>Anderson-Tendulker t20 trophy [ England (Home) vs India ]</t>
  </si>
  <si>
    <t>Old Trafford</t>
  </si>
  <si>
    <t>Rahees Rainian (England)</t>
  </si>
  <si>
    <t>Farhan(India)</t>
  </si>
  <si>
    <t>Jana Cp(India)</t>
  </si>
  <si>
    <t>Anshad P(India)</t>
  </si>
  <si>
    <t>Sachin P(England)</t>
  </si>
  <si>
    <t>5. Diljith</t>
  </si>
  <si>
    <t>5. Aswin Biju</t>
  </si>
  <si>
    <t>6. Molly Stephan</t>
  </si>
  <si>
    <t>8. Rashid</t>
  </si>
  <si>
    <t>9. Renjish</t>
  </si>
  <si>
    <t>10. Sachin P</t>
  </si>
  <si>
    <t>11. Safeer Babu</t>
  </si>
  <si>
    <t>12. Sanoop</t>
  </si>
  <si>
    <t>13. Sri Vishnu</t>
  </si>
  <si>
    <t>14. Sujith (C)</t>
  </si>
  <si>
    <t>15. Sunaif</t>
  </si>
  <si>
    <t>India - Caribbean ODI Showdown Series  [ India (Home) vs West Indies ]</t>
  </si>
  <si>
    <t>Asru(India)</t>
  </si>
  <si>
    <t>4. Anish B Konni</t>
  </si>
  <si>
    <t>7. Aswin MSD</t>
  </si>
  <si>
    <t>8. Bharath Narayanan</t>
  </si>
  <si>
    <t>9. Fasal CT</t>
  </si>
  <si>
    <t>10. Jaseel Vavad</t>
  </si>
  <si>
    <t>13. Nayan S Kurup</t>
  </si>
  <si>
    <t>Emerald - Spanish Debut Cup  [ Ireland (Home) vs Spain ]</t>
  </si>
  <si>
    <t>Irfan Soomro (Spain)</t>
  </si>
  <si>
    <t>Shahmeer Baloch(Spain)</t>
  </si>
  <si>
    <t>Hafiz Salman(Spain)</t>
  </si>
  <si>
    <t>Noufal(Ireland)</t>
  </si>
  <si>
    <t>4. Karthik Varma (C)</t>
  </si>
  <si>
    <t>7. Shahmeer Baloch</t>
  </si>
  <si>
    <t>Google Trophy [ Zimbabwe (Home) vs Italy ]</t>
  </si>
  <si>
    <t>2. Chinju</t>
  </si>
  <si>
    <t>9th Oct</t>
  </si>
  <si>
    <t>Lachit Borphukan</t>
  </si>
  <si>
    <t>Ubai Nisa(Italy)</t>
  </si>
  <si>
    <t>Rony Chouhan(Zimbabwe)</t>
  </si>
  <si>
    <t>3. Drubo Rajbongshi</t>
  </si>
  <si>
    <t>10th Oct</t>
  </si>
  <si>
    <t>Mosi OA Tunya</t>
  </si>
  <si>
    <t>Prayash Parsar(Zimbabwe)</t>
  </si>
  <si>
    <t>Greeshma(Italy)</t>
  </si>
  <si>
    <t>4. Hirak Jyoti Das</t>
  </si>
  <si>
    <t>4. Greeshma</t>
  </si>
  <si>
    <t>Renjini (Italy)</t>
  </si>
  <si>
    <t>Firoze Babu(Italy)</t>
  </si>
  <si>
    <t>5. Huzain (Captain)</t>
  </si>
  <si>
    <t>6. Nikita Das</t>
  </si>
  <si>
    <t>6. Manju</t>
  </si>
  <si>
    <t>Tomy Mathew(Italy)</t>
  </si>
  <si>
    <t>7. Pintu Dey</t>
  </si>
  <si>
    <t>7. Nisa</t>
  </si>
  <si>
    <t>Zimbabwe Won Series</t>
  </si>
  <si>
    <t>8. Prayas Parasar</t>
  </si>
  <si>
    <t>9. Rishabh Sarkar</t>
  </si>
  <si>
    <t>10. Rony Chouhan</t>
  </si>
  <si>
    <t>10. Sumesh</t>
  </si>
  <si>
    <t>11. Rittik Upadhayay</t>
  </si>
  <si>
    <t>11. Tom</t>
  </si>
  <si>
    <t>12. Uttam Bharali</t>
  </si>
  <si>
    <t>12. Ubai Nisa</t>
  </si>
  <si>
    <t>India - Carribbean Showdown Series [ India (Home) vs West Indies ]</t>
  </si>
  <si>
    <t>1. Ajitha Thankachan</t>
  </si>
  <si>
    <t>2. Aneesh Kannur</t>
  </si>
  <si>
    <t>8th Oct</t>
  </si>
  <si>
    <t>SPCP</t>
  </si>
  <si>
    <t>Jumana Thasni(West Indies)</t>
  </si>
  <si>
    <t>Aneesh(West Indies)</t>
  </si>
  <si>
    <t xml:space="preserve">Match 2 </t>
  </si>
  <si>
    <t>4. Aswin MSD</t>
  </si>
  <si>
    <t>Raheem EK(India)</t>
  </si>
  <si>
    <t>Jaseel(West Indies)</t>
  </si>
  <si>
    <t>5. Bharath</t>
  </si>
  <si>
    <t>6. Divya Sterin</t>
  </si>
  <si>
    <t>7. Fasal CT</t>
  </si>
  <si>
    <t>8. Hari</t>
  </si>
  <si>
    <t>9. Jaseel</t>
  </si>
  <si>
    <t>10. Jumana</t>
  </si>
  <si>
    <t>11. Kannan Balakrishnan</t>
  </si>
  <si>
    <t>12. Midhun</t>
  </si>
  <si>
    <t>14. Neelambari</t>
  </si>
  <si>
    <t>Copa Del Umoja [ Argentina (Home) vs Kenya ]</t>
  </si>
  <si>
    <t>Shafa Bewas(Argentina)</t>
  </si>
  <si>
    <t>Khair Mohammed(Kenya)</t>
  </si>
  <si>
    <t>Alidad(Argentina)</t>
  </si>
  <si>
    <t>3. Khair Mohammed</t>
  </si>
  <si>
    <t>Hafijul sk</t>
  </si>
  <si>
    <t>Malik Ahmed(Kenya)</t>
  </si>
  <si>
    <t>Wali Muhammad(Argentina)</t>
  </si>
  <si>
    <t>4. Jayesh Nikalje</t>
  </si>
  <si>
    <t>Huzaifa(Kenya)</t>
  </si>
  <si>
    <t>5. Sarwar Kapri</t>
  </si>
  <si>
    <t>5. Mohd Waseem</t>
  </si>
  <si>
    <t>6. Sayandeep Ghosh (VC)</t>
  </si>
  <si>
    <t>7. Rizwan</t>
  </si>
  <si>
    <t>8. Shafique Ahmed</t>
  </si>
  <si>
    <t>9. Yohan Daruwalla</t>
  </si>
  <si>
    <t>10. Zayn Bhuyan</t>
  </si>
  <si>
    <t>Chai - Biscuit trophy [ Zimbabwe (Home) vs West Indies ]</t>
  </si>
  <si>
    <t>5th Oct</t>
  </si>
  <si>
    <t>Shibil (West Indies)</t>
  </si>
  <si>
    <t>3. Chinthan Pujari</t>
  </si>
  <si>
    <t>3. Arun Biju</t>
  </si>
  <si>
    <t>6th Oct</t>
  </si>
  <si>
    <t>Harikrishnan(West Indies)</t>
  </si>
  <si>
    <t>Nikita Das (Zimbabwe)</t>
  </si>
  <si>
    <t>4. Drubo Rajbongshi</t>
  </si>
  <si>
    <t>7th Oct</t>
  </si>
  <si>
    <t>Bharath Narayan(West Indies)</t>
  </si>
  <si>
    <t>Nayan S Kurup(West Indies)</t>
  </si>
  <si>
    <t>5. Bharath Narayan</t>
  </si>
  <si>
    <t>6. Churami</t>
  </si>
  <si>
    <t>9. Ringkan Bayan</t>
  </si>
  <si>
    <t>10. Rishabh Sarkar</t>
  </si>
  <si>
    <t>11. Nayan S Kurup</t>
  </si>
  <si>
    <t>12. Rony Chouhan</t>
  </si>
  <si>
    <t>12. Shibili (C)</t>
  </si>
  <si>
    <t>Royal Trinity Cup [ England (Home) vs Italy vs Newzealand ]</t>
  </si>
  <si>
    <t>1. Afzal</t>
  </si>
  <si>
    <t>Match 1: England vs Newzealand</t>
  </si>
  <si>
    <t>Mahesh Margol (Newzealand)</t>
  </si>
  <si>
    <t>Sujith CS Ctr(England)</t>
  </si>
  <si>
    <t>Match 2: Italy vs England</t>
  </si>
  <si>
    <t>Safeer Babu(England)</t>
  </si>
  <si>
    <t>4. Ali</t>
  </si>
  <si>
    <t>4. Azeem ABD</t>
  </si>
  <si>
    <t>Match 3: Newzealand vs Italy</t>
  </si>
  <si>
    <t>Ashik (Italy)</t>
  </si>
  <si>
    <t>Mahesh Margol(Newzealand)</t>
  </si>
  <si>
    <t>5. Aravindh</t>
  </si>
  <si>
    <t>5. Biswajit Ghosh</t>
  </si>
  <si>
    <t>Match 4: Newzealand vs England</t>
  </si>
  <si>
    <t>The Oval</t>
  </si>
  <si>
    <t>6. Arjun OG</t>
  </si>
  <si>
    <t>6. Gautam Shankara Ram (C)</t>
  </si>
  <si>
    <t>Match 5: England vs Italy</t>
  </si>
  <si>
    <t>Rose Bowl</t>
  </si>
  <si>
    <t xml:space="preserve">Abhijith(England) </t>
  </si>
  <si>
    <t>Diljith Das(England)</t>
  </si>
  <si>
    <t>7. Arun Ozil</t>
  </si>
  <si>
    <t>7. Hasan Musabbir (VC)</t>
  </si>
  <si>
    <t>Match 6: Italy vs Newzealand</t>
  </si>
  <si>
    <t>Yorkshire</t>
  </si>
  <si>
    <t>Hybi Anil(Italy)</t>
  </si>
  <si>
    <t>8. Ashik</t>
  </si>
  <si>
    <t>Vignesh (Itay)</t>
  </si>
  <si>
    <t>Josin Roy(Italy)</t>
  </si>
  <si>
    <t>Lal Krishna(Italy)</t>
  </si>
  <si>
    <t>9. Hybi</t>
  </si>
  <si>
    <t>9. Jabir Chockly</t>
  </si>
  <si>
    <t>10. Jishan</t>
  </si>
  <si>
    <t>11. Josin</t>
  </si>
  <si>
    <t>11. Naveen J</t>
  </si>
  <si>
    <t>12. Lal (C)</t>
  </si>
  <si>
    <t>13. Sai</t>
  </si>
  <si>
    <t>15. Vignesh</t>
  </si>
  <si>
    <t>United Nations Cricket Summit [ Netherlands (Home) vs West Indies vs Canada vs Papua New Guinea ]</t>
  </si>
  <si>
    <t>1. Alii Akbor Ahmed</t>
  </si>
  <si>
    <t>1. Abhinand Wynd</t>
  </si>
  <si>
    <t>2. Biki Basisttha</t>
  </si>
  <si>
    <t>2. Ajay Paul (C)</t>
  </si>
  <si>
    <t>2. Akki (C)</t>
  </si>
  <si>
    <t>Match 1: Netherlands vs Papua New Guinea</t>
  </si>
  <si>
    <t>Maya Stadium</t>
  </si>
  <si>
    <t>Dipankar Roy (Netherlands)</t>
  </si>
  <si>
    <t>3. Amit Kumar</t>
  </si>
  <si>
    <t>Match 2: West Indies vs Canada</t>
  </si>
  <si>
    <t>Dutch CS</t>
  </si>
  <si>
    <t>4. Anantha Krishnan U</t>
  </si>
  <si>
    <t>Match 3: Papua New Guinea vs West Indies</t>
  </si>
  <si>
    <t>5. Anandhan</t>
  </si>
  <si>
    <t>Match 4: Canada vs Netherlands</t>
  </si>
  <si>
    <t>Irshad &amp; Debajit</t>
  </si>
  <si>
    <t>Farhan Rizvi(Canada)</t>
  </si>
  <si>
    <t>Chaitanya(Canada)</t>
  </si>
  <si>
    <t>6. Anish Babu</t>
  </si>
  <si>
    <t>Match 5: Canada vs Papua New Guinea</t>
  </si>
  <si>
    <t>Sajjad Kapri(Canada)</t>
  </si>
  <si>
    <t>Neak Muhammad(Canada)</t>
  </si>
  <si>
    <t>7. Dipak Das</t>
  </si>
  <si>
    <t>Match 6: Netherlands vs West Indies</t>
  </si>
  <si>
    <t>Dipak Das (Netherlands)</t>
  </si>
  <si>
    <t>8. Falah Mancheri</t>
  </si>
  <si>
    <t>8. Josiyа</t>
  </si>
  <si>
    <t>R2 | Match 1: PNG vs Canada</t>
  </si>
  <si>
    <t>Faraz Kapri(Canada)</t>
  </si>
  <si>
    <t>Romeo(Canada)</t>
  </si>
  <si>
    <t>9. Mumtaz (Bittu)</t>
  </si>
  <si>
    <t>R2 | Match 2: Netherlands vs PNG</t>
  </si>
  <si>
    <t>Pawan(Papua New Guinea)</t>
  </si>
  <si>
    <t>Akki(Papua New Guinea)</t>
  </si>
  <si>
    <t>10. Jahirul Hoque (VC)</t>
  </si>
  <si>
    <t>10. Hadi Diyoof</t>
  </si>
  <si>
    <t>10. Najib Ullah</t>
  </si>
  <si>
    <t>R3 | Match 3: Canada vs Netherlands</t>
  </si>
  <si>
    <t>11. Jihan Omar Fokir</t>
  </si>
  <si>
    <t>11. Neak Mohammad</t>
  </si>
  <si>
    <t>11. Prakash</t>
  </si>
  <si>
    <t>Final: Netherlands vs Papua New Guinea</t>
  </si>
  <si>
    <t>Urmila (Papua New Guinea)</t>
  </si>
  <si>
    <t>Shivi (Papua New Guinea)</t>
  </si>
  <si>
    <t>12. Khagen Saikia</t>
  </si>
  <si>
    <t>12. Nihal</t>
  </si>
  <si>
    <t>12. Rehan</t>
  </si>
  <si>
    <t>13. Romeo</t>
  </si>
  <si>
    <t>13. Shivi</t>
  </si>
  <si>
    <t>14. Kritartha Kalita</t>
  </si>
  <si>
    <t>14. Sachin</t>
  </si>
  <si>
    <t>14. Sajjad</t>
  </si>
  <si>
    <t>14. Suhail PS</t>
  </si>
  <si>
    <t>15. Kumarjyoti Deka</t>
  </si>
  <si>
    <t>15. Shani Kutty</t>
  </si>
  <si>
    <t>15. Shehbin</t>
  </si>
  <si>
    <t>15. Urmila (VC)</t>
  </si>
  <si>
    <t>Italy vs Himalaya [ Italy (Home) vs Nepal ]</t>
  </si>
  <si>
    <t>Kebin Matthew</t>
  </si>
  <si>
    <t>Abhay Brucelee (Nepal)</t>
  </si>
  <si>
    <t>Firoze Babu(Nepal)</t>
  </si>
  <si>
    <t>Shaila (Nepal)</t>
  </si>
  <si>
    <t>4. Huzain</t>
  </si>
  <si>
    <t>5. Firoze Babu</t>
  </si>
  <si>
    <t>Nepal Won Series</t>
  </si>
  <si>
    <t>6. Nisa</t>
  </si>
  <si>
    <t>7. Nobin</t>
  </si>
  <si>
    <t>8. Renjini</t>
  </si>
  <si>
    <t>9. Rinz (C)</t>
  </si>
  <si>
    <t>Aurora Cup [ Canada (Home) vs Newzealand ]</t>
  </si>
  <si>
    <t>Hasan Musabbir (Newzealand)</t>
  </si>
  <si>
    <t>Hrushikesh Dinakar (Newzealand)</t>
  </si>
  <si>
    <t>3. Azeem ABD</t>
  </si>
  <si>
    <t>8. Jabir Chockly</t>
  </si>
  <si>
    <t>10. Naveen</t>
  </si>
  <si>
    <t>13. Srajan Poojari</t>
  </si>
  <si>
    <t>14. Tejasvin AV</t>
  </si>
  <si>
    <t>15. Toby Jospeh</t>
  </si>
  <si>
    <t>Islo-Astro Trophy[ West Indies (Home) vs Australia ]</t>
  </si>
  <si>
    <t>2. Abhinand Wynd</t>
  </si>
  <si>
    <t xml:space="preserve">Basseterre </t>
  </si>
  <si>
    <t>Amith Kumar (West Indies)</t>
  </si>
  <si>
    <t>3. Anand Ajikumar</t>
  </si>
  <si>
    <t>4. Anurag Raj Gautam</t>
  </si>
  <si>
    <t>5. Ananthu RG</t>
  </si>
  <si>
    <t>5. Arnab Sarkar (C)</t>
  </si>
  <si>
    <t>7. Aswin</t>
  </si>
  <si>
    <t>8. Malaram Patel</t>
  </si>
  <si>
    <t>9. Manish Indoria</t>
  </si>
  <si>
    <t>10. Churami</t>
  </si>
  <si>
    <t>11. Muhammad Shahzad</t>
  </si>
  <si>
    <t>12. Rahul Gadia</t>
  </si>
  <si>
    <t>13. Rizwan Mansoori</t>
  </si>
  <si>
    <t>14. Shibili</t>
  </si>
  <si>
    <t>14. Umar Khan</t>
  </si>
  <si>
    <t>American-Bangla Trophy [ USA (Home) vs Bangladesh ]</t>
  </si>
  <si>
    <t>3. Ali</t>
  </si>
  <si>
    <t>4. Bhargab</t>
  </si>
  <si>
    <t>6. Ghamsad</t>
  </si>
  <si>
    <t>7. Moiz Gujjar</t>
  </si>
  <si>
    <t>7. Ishita</t>
  </si>
  <si>
    <t>8. Kaushik</t>
  </si>
  <si>
    <t>9. Mubashir Khan (C)</t>
  </si>
  <si>
    <t>9. Manan</t>
  </si>
  <si>
    <t>10. Rao Abul</t>
  </si>
  <si>
    <t>10. Princhi (C)</t>
  </si>
  <si>
    <t>11. Rohan Singh Rathore</t>
  </si>
  <si>
    <t>11. Sai</t>
  </si>
  <si>
    <t>12. Suleman Haider</t>
  </si>
  <si>
    <t>12. Sidharth</t>
  </si>
  <si>
    <t>13. Talha Gujjar (VC)</t>
  </si>
  <si>
    <t>13. Tanusri</t>
  </si>
  <si>
    <t>14. Vignesh Das</t>
  </si>
  <si>
    <t>14. Waqas</t>
  </si>
  <si>
    <t>15. Waqar Ahmad</t>
  </si>
  <si>
    <t>15. Yasin</t>
  </si>
  <si>
    <t>Emerald - Dutch Trophy [ Ireland (Home) vs Netherlands ]</t>
  </si>
  <si>
    <t>3. Ali Abbas Bangash (C)</t>
  </si>
  <si>
    <t>5. Deepjyoti Talukdar (C)</t>
  </si>
  <si>
    <t>10. Khagen Saikia</t>
  </si>
  <si>
    <t>11. Sammar (VC)</t>
  </si>
  <si>
    <t>11. Kiran Nath</t>
  </si>
  <si>
    <t>12. Seru Yuvi</t>
  </si>
  <si>
    <t>12. Marami Ahmed</t>
  </si>
  <si>
    <t>13. Nirmal Baishya (VC)</t>
  </si>
  <si>
    <t>14. Niyor J Kashyap</t>
  </si>
  <si>
    <t>15. Rahul Sharma</t>
  </si>
  <si>
    <t>The American-Dutch Trophy [ USA (Home) vs Netherlands ]</t>
  </si>
  <si>
    <t>Hafijul SK(USA)</t>
  </si>
  <si>
    <t>Talha Saeed Gujjar(USA)</t>
  </si>
  <si>
    <t>3. Bimal Baral</t>
  </si>
  <si>
    <t>5. Hafijul SK</t>
  </si>
  <si>
    <t>6. Moiz Gujjar</t>
  </si>
  <si>
    <t>6. Debajit Borthakur</t>
  </si>
  <si>
    <t>7. Mohsin Latif</t>
  </si>
  <si>
    <t>7. Debasish Borgohain</t>
  </si>
  <si>
    <t>8. Mubashir Khan (C)</t>
  </si>
  <si>
    <t>9. Rao Abul</t>
  </si>
  <si>
    <t>10. Rohan Singh Rathore</t>
  </si>
  <si>
    <t>10. Jahirul Hoque (C)</t>
  </si>
  <si>
    <t>11. Suleman Haider</t>
  </si>
  <si>
    <t>12. Talha Gujjar (VC)</t>
  </si>
  <si>
    <t>13. Vignesh Das</t>
  </si>
  <si>
    <t>13. Kumarijyoti Deka</t>
  </si>
  <si>
    <t>14. Waqar Ahmad</t>
  </si>
  <si>
    <t>14. Marami Ahmed</t>
  </si>
  <si>
    <t>15. Zamam Usmani</t>
  </si>
  <si>
    <t>15. Shabir Alam</t>
  </si>
  <si>
    <t>Irish-Caribbean Challenge [ Ireland (Home) vs West Indies ]</t>
  </si>
  <si>
    <t>2. Amit Kumar</t>
  </si>
  <si>
    <t>Talal Chodhary(Ireland)</t>
  </si>
  <si>
    <t>5. Bishwaijit Dutta</t>
  </si>
  <si>
    <t>6. Arjun S Kumar (C)</t>
  </si>
  <si>
    <t>9. Poornа</t>
  </si>
  <si>
    <t>14. Sreeraj R Kaimal</t>
  </si>
  <si>
    <t>Friends Cup [ Qatar (Home) vs Scotland ]</t>
  </si>
  <si>
    <t>Qatar Squad</t>
  </si>
  <si>
    <t>Scotland Squad</t>
  </si>
  <si>
    <t>Al Janoub</t>
  </si>
  <si>
    <t>Amal (Scotland)</t>
  </si>
  <si>
    <t>3. Ans Sheikh (C)</t>
  </si>
  <si>
    <t>3. Arjun (C)</t>
  </si>
  <si>
    <t>Scotland Won Series</t>
  </si>
  <si>
    <t>4. Arslan Ali Shani</t>
  </si>
  <si>
    <t>4. Ashique</t>
  </si>
  <si>
    <t>6. Hari</t>
  </si>
  <si>
    <t>8. Muzamil Zafar</t>
  </si>
  <si>
    <t>8. Irshad</t>
  </si>
  <si>
    <t>9. Raza Hassnain</t>
  </si>
  <si>
    <t>9. Kebin</t>
  </si>
  <si>
    <t>10. Saad Rizwan</t>
  </si>
  <si>
    <t>10. Sali</t>
  </si>
  <si>
    <t>11. Sufyan Gujjar</t>
  </si>
  <si>
    <t>11. Sufaid ABD</t>
  </si>
  <si>
    <t>12. Umar Shahzad</t>
  </si>
  <si>
    <t>Everest–Pacific Cup [ Nepal (Home) vs Papua New Guinea ]</t>
  </si>
  <si>
    <t>Salik Hassan(Papua New Guinea)</t>
  </si>
  <si>
    <t>5. Harry Gujjar</t>
  </si>
  <si>
    <t>6. Emil Bentoo</t>
  </si>
  <si>
    <t>6. Ishaq Ahmed</t>
  </si>
  <si>
    <t>7. Firoze Babu</t>
  </si>
  <si>
    <t>7. Kalash</t>
  </si>
  <si>
    <t>8. Mohammad Fadil</t>
  </si>
  <si>
    <t>8. Mumtaz Khan</t>
  </si>
  <si>
    <t>9. Professor</t>
  </si>
  <si>
    <t>9. Pawan Magar</t>
  </si>
  <si>
    <t>10. Salik Hassan</t>
  </si>
  <si>
    <t>11. Sooraj</t>
  </si>
  <si>
    <t>12. Thushara</t>
  </si>
  <si>
    <t>12. Urmila</t>
  </si>
  <si>
    <t>Royal Frontier T20 [ England (Home) vs Pakistan ]</t>
  </si>
  <si>
    <t>Pakistan Squad</t>
  </si>
  <si>
    <t>1. Aaiz Khan (VC)</t>
  </si>
  <si>
    <t>Achuz Sukumaran(England)</t>
  </si>
  <si>
    <t>Arjun Akj(England)</t>
  </si>
  <si>
    <t>4. Hizbullah</t>
  </si>
  <si>
    <t>5. Jalal Jalu</t>
  </si>
  <si>
    <t>6. Jyothish</t>
  </si>
  <si>
    <t>6. Marukh</t>
  </si>
  <si>
    <t>7. Nisham</t>
  </si>
  <si>
    <t>7. Muhammad Ahmad (C)</t>
  </si>
  <si>
    <t>8. Rahees (VC)</t>
  </si>
  <si>
    <t>8. Nasrullah</t>
  </si>
  <si>
    <t>9. Shamroz</t>
  </si>
  <si>
    <t>10. Sidra</t>
  </si>
  <si>
    <t>11. SK Haseeb</t>
  </si>
  <si>
    <t>12. Talha</t>
  </si>
  <si>
    <t>13. Umar Abbas</t>
  </si>
  <si>
    <t>14. Sujith CS Ctr (C)</t>
  </si>
  <si>
    <t>14. Wajdan</t>
  </si>
  <si>
    <t>15. Zarnish Saira</t>
  </si>
  <si>
    <t>The Goat Cup [ Portugal (Home) vs Argentina ]</t>
  </si>
  <si>
    <t>2. Irshad</t>
  </si>
  <si>
    <t>Lisbon</t>
  </si>
  <si>
    <t>Sanoop</t>
  </si>
  <si>
    <t>Jayesh Nikilje(Argentina)</t>
  </si>
  <si>
    <t>3. Jlijth</t>
  </si>
  <si>
    <t>3. Bilal (VC)</t>
  </si>
  <si>
    <t>Ajin</t>
  </si>
  <si>
    <t>Akhil (Portugal)</t>
  </si>
  <si>
    <t>Irshad (Portugal)</t>
  </si>
  <si>
    <t>4. Kailas (VC)</t>
  </si>
  <si>
    <t>Rashid (Portugal)</t>
  </si>
  <si>
    <t>5. Noufal</t>
  </si>
  <si>
    <t>5. Kuldeep Roy</t>
  </si>
  <si>
    <t>6. Pranav</t>
  </si>
  <si>
    <t>6. Sayandeep Ghosh</t>
  </si>
  <si>
    <t>7. Rashid (VC)</t>
  </si>
  <si>
    <t>8. Sandra (C)</t>
  </si>
  <si>
    <t>9. SpidER</t>
  </si>
  <si>
    <t>10. Sujith</t>
  </si>
  <si>
    <t>Waves &amp; the Islands Trophy [ West Indies (Home) vs USA ]</t>
  </si>
  <si>
    <t>2. Abhishek SM</t>
  </si>
  <si>
    <t>2. Abd Badshah</t>
  </si>
  <si>
    <t>26th Sept</t>
  </si>
  <si>
    <t>Aman Raj Singh</t>
  </si>
  <si>
    <t>Anantha Krishnan U(West Indies)</t>
  </si>
  <si>
    <t>Suleman Haider(USA)</t>
  </si>
  <si>
    <t>Mowglee &amp; Kebin</t>
  </si>
  <si>
    <t>Afaq Warraich(USA)</t>
  </si>
  <si>
    <t>Abhinand Wayanad(West Indies)</t>
  </si>
  <si>
    <t>Suleman Haider (USA)</t>
  </si>
  <si>
    <t>5. Ananthu Mohan</t>
  </si>
  <si>
    <t>6. Ashwin</t>
  </si>
  <si>
    <t>7. Ashwin Thomas</t>
  </si>
  <si>
    <t>9. Binal K Binoy</t>
  </si>
  <si>
    <t>11. Fasal CT</t>
  </si>
  <si>
    <t>12. Jumana Thasni</t>
  </si>
  <si>
    <t>13. Talha Gujjar</t>
  </si>
  <si>
    <t>Hayley Matthews Cup [ West Indies(Home) vs Italy ]</t>
  </si>
  <si>
    <t>1. Churami (C)</t>
  </si>
  <si>
    <t>1. Greeshma (C)</t>
  </si>
  <si>
    <t>2. Jumana Thasni</t>
  </si>
  <si>
    <t>2. Chinju (VC)</t>
  </si>
  <si>
    <t>3. Ajitha</t>
  </si>
  <si>
    <t>3. Appusree</t>
  </si>
  <si>
    <t>4. Manju</t>
  </si>
  <si>
    <t>5. Sobha Joseph</t>
  </si>
  <si>
    <t>5. Kannaki</t>
  </si>
  <si>
    <t>6. Shanikutty</t>
  </si>
  <si>
    <t>6. Dimya</t>
  </si>
  <si>
    <t>7. Shaila Joseph</t>
  </si>
  <si>
    <t>8. Neelambari</t>
  </si>
  <si>
    <t>USA - Canada Trophy [ USA(Home) vs Canada ]</t>
  </si>
  <si>
    <t>1. Farhan (C)</t>
  </si>
  <si>
    <t>2. Vignesh Das</t>
  </si>
  <si>
    <t>Talha Saeed Gujjjar (USA)</t>
  </si>
  <si>
    <t>Faizan Kapri (Canada)</t>
  </si>
  <si>
    <t>3. Mubashir Khan (C)</t>
  </si>
  <si>
    <t>4. Naveen</t>
  </si>
  <si>
    <t>5. Anik Mukherjee</t>
  </si>
  <si>
    <t>5. Faizan</t>
  </si>
  <si>
    <t>6. Manjeet</t>
  </si>
  <si>
    <t>7. Rohan Singh Rathore</t>
  </si>
  <si>
    <t>7. Aftab</t>
  </si>
  <si>
    <t>8. Rao Abul</t>
  </si>
  <si>
    <t>8. Rehan</t>
  </si>
  <si>
    <t>9. Hafijul Sk</t>
  </si>
  <si>
    <t>9. Allahbux</t>
  </si>
  <si>
    <t>10. Mohsin Latif</t>
  </si>
  <si>
    <t>10. Blessy</t>
  </si>
  <si>
    <t>11. Talha Saeed Gujjar</t>
  </si>
  <si>
    <t>11. Mansoor</t>
  </si>
  <si>
    <t>12. Jayesh Nikale</t>
  </si>
  <si>
    <t>12. Safa</t>
  </si>
  <si>
    <t>13. Ibrahim Shihab</t>
  </si>
  <si>
    <t>13. Shebin</t>
  </si>
  <si>
    <t>14. Manindra Payal</t>
  </si>
  <si>
    <t>15. Bijoy D S</t>
  </si>
  <si>
    <t>The Green &amp; Gold Derby [ Ireland (Home) vs Zimbabwe ]</t>
  </si>
  <si>
    <t>1. Zain Ul Hassan</t>
  </si>
  <si>
    <t>1. Rittik Upadhyay (C)</t>
  </si>
  <si>
    <t>2. Druba Rajbongsi (VC)</t>
  </si>
  <si>
    <t>Akshay (Ireland)</t>
  </si>
  <si>
    <t>3. Sunny (C)</t>
  </si>
  <si>
    <t>Saad Rizwan</t>
  </si>
  <si>
    <t>Poorna (Ireland)</t>
  </si>
  <si>
    <t>4. Poorna Kawishka</t>
  </si>
  <si>
    <t>4. Rishabh Sarkar</t>
  </si>
  <si>
    <t>Seru (Ireland)</t>
  </si>
  <si>
    <t>Zain Ul Hassan (Ireland)</t>
  </si>
  <si>
    <t>5. Rony Chouhan</t>
  </si>
  <si>
    <t>6. Rahim Ullah</t>
  </si>
  <si>
    <t>6. Chinthan</t>
  </si>
  <si>
    <t>7. Noufal</t>
  </si>
  <si>
    <t>7. Prayas</t>
  </si>
  <si>
    <t>8. Seru Yuvi</t>
  </si>
  <si>
    <t>8. Krathik Mogaveera</t>
  </si>
  <si>
    <t>Freedom Shield [ USA (Home) vs Australia ]</t>
  </si>
  <si>
    <t>Full Squad (Test)</t>
  </si>
  <si>
    <t>Jyothis &amp; Srinidhi</t>
  </si>
  <si>
    <t>Hafijul SK (USA)</t>
  </si>
  <si>
    <t>Happy Onam Trophy [ West Indies (Home) vs Uganda ]</t>
  </si>
  <si>
    <t>Uganda Squad</t>
  </si>
  <si>
    <t>1. Arjun S kumar (C)</t>
  </si>
  <si>
    <t>1. Akash (C)</t>
  </si>
  <si>
    <t>2. Arun Biju</t>
  </si>
  <si>
    <t>2. Ayaz (VC)</t>
  </si>
  <si>
    <t>Binal K Bijoy (West Indies)</t>
  </si>
  <si>
    <t>Aswin MSD (West Indies)</t>
  </si>
  <si>
    <t>Akash (Uganda)</t>
  </si>
  <si>
    <t>3. Binal K Binoy</t>
  </si>
  <si>
    <t>3. Vineeth C</t>
  </si>
  <si>
    <t>4. Fasal CT</t>
  </si>
  <si>
    <t>Fasal CT (West Indies)</t>
  </si>
  <si>
    <t>5. Aswin MSD</t>
  </si>
  <si>
    <t>5. Abhimanu</t>
  </si>
  <si>
    <t>6. Abhinand Wayand</t>
  </si>
  <si>
    <t>6. Rijoyes</t>
  </si>
  <si>
    <t>7. Nazi Nazir</t>
  </si>
  <si>
    <t>8. Mallaya</t>
  </si>
  <si>
    <t>American - Irish Series [ USA (Home) vs Ireland ]</t>
  </si>
  <si>
    <t>1. Mubashir Khan (C)</t>
  </si>
  <si>
    <t>2. Mohsin Latif</t>
  </si>
  <si>
    <t>2. Noufal</t>
  </si>
  <si>
    <t>3. Hafijul Sk</t>
  </si>
  <si>
    <t>3. Poorna</t>
  </si>
  <si>
    <t>Sunny (Ireland)</t>
  </si>
  <si>
    <t>Vignesh Das (USA)</t>
  </si>
  <si>
    <t>4. Rohan Rathor</t>
  </si>
  <si>
    <t>4. Zain Ul Hassan</t>
  </si>
  <si>
    <t>Mohsin Latif (USA)</t>
  </si>
  <si>
    <t>Moiz Gujjar (USA)</t>
  </si>
  <si>
    <t>5. Talha Gujjar</t>
  </si>
  <si>
    <t>5. Zain Gujjar</t>
  </si>
  <si>
    <t>6. Seru Yuvi</t>
  </si>
  <si>
    <t>7. Khatu Jeswani</t>
  </si>
  <si>
    <t>8. Vignesh Das</t>
  </si>
  <si>
    <t>8. Kranthi</t>
  </si>
  <si>
    <t>9. Fijin Jonson</t>
  </si>
  <si>
    <t>9. Athulnath</t>
  </si>
  <si>
    <t>10. Saad Ahsam</t>
  </si>
  <si>
    <t>Southern ODI [ Zimbabwe (Home) vs Australia ]</t>
  </si>
  <si>
    <t>1. Arnab Sarkar (C)</t>
  </si>
  <si>
    <t>Mosi-OA-Tunya</t>
  </si>
  <si>
    <t>4. Rony Chouhan</t>
  </si>
  <si>
    <t>5. Rishab Sarkar</t>
  </si>
  <si>
    <t>6. Jayanath</t>
  </si>
  <si>
    <t>7. Midlaj</t>
  </si>
  <si>
    <t>8. Prayas</t>
  </si>
  <si>
    <t>8. Anand Ajikumar</t>
  </si>
  <si>
    <t>9. Akash</t>
  </si>
  <si>
    <t>9. Anand Kumar</t>
  </si>
  <si>
    <t>10. Pintu</t>
  </si>
  <si>
    <t>10. Ashwini Verma</t>
  </si>
  <si>
    <t>11. Susanta</t>
  </si>
  <si>
    <t>12. Kartik Haloi</t>
  </si>
  <si>
    <t>12. Malaram Patel</t>
  </si>
  <si>
    <t>13. Rinkan Bayan</t>
  </si>
  <si>
    <t>13. Adil Rahman</t>
  </si>
  <si>
    <t>14. Ananya</t>
  </si>
  <si>
    <t>14. Manish Indoria</t>
  </si>
  <si>
    <t>15. Chinthan</t>
  </si>
  <si>
    <t>15. Muhammad Noor</t>
  </si>
  <si>
    <t>16. Krathik</t>
  </si>
  <si>
    <t>16. Sunain Mughal</t>
  </si>
  <si>
    <t>17. Jyotishman Das</t>
  </si>
  <si>
    <t>18. Muneef</t>
  </si>
  <si>
    <t>18. Zeeshan Yaqoob Gujjar</t>
  </si>
  <si>
    <t>Island &amp; Stars [ USA (Home) vs West Indies ]</t>
  </si>
  <si>
    <t>1. Gaurav Mittal (C)</t>
  </si>
  <si>
    <t>1. Midhun Manilal (C)</t>
  </si>
  <si>
    <t>2. Mubashir Ali (VC)</t>
  </si>
  <si>
    <t>2. Anish Babu Konni</t>
  </si>
  <si>
    <t xml:space="preserve">Match 1 </t>
  </si>
  <si>
    <t>Ananthu M (West Indies)</t>
  </si>
  <si>
    <t>3. Mohsin Latif</t>
  </si>
  <si>
    <t>3. Arjun Raj R</t>
  </si>
  <si>
    <t>7o7w</t>
  </si>
  <si>
    <t>Sachin (West Indies)</t>
  </si>
  <si>
    <t>Anish Babu (West Indies)</t>
  </si>
  <si>
    <t>4. Hafijul Sk</t>
  </si>
  <si>
    <t>Mubashir (USA)</t>
  </si>
  <si>
    <t>6. Jaseel Vavad</t>
  </si>
  <si>
    <t>7. Katu Jeswani</t>
  </si>
  <si>
    <t>7. Frido Thomas</t>
  </si>
  <si>
    <t>8. Fijin Johnson</t>
  </si>
  <si>
    <t>9. Febin</t>
  </si>
  <si>
    <t>9. Abhishek Vava</t>
  </si>
  <si>
    <t>10. Hasir Javed</t>
  </si>
  <si>
    <t>10. Sachin</t>
  </si>
  <si>
    <t>Onakkali [ West Indies (Home) vs Italy ]</t>
  </si>
  <si>
    <t>1. Ajmal Sunaif B P (C)</t>
  </si>
  <si>
    <t>1. Akhil (C)</t>
  </si>
  <si>
    <t>2. Kannan Balakrishnan</t>
  </si>
  <si>
    <t>2. Hybi (VC)</t>
  </si>
  <si>
    <t xml:space="preserve">POS Knights </t>
  </si>
  <si>
    <t>Albin (Italy)</t>
  </si>
  <si>
    <t>3. Abhilash P A</t>
  </si>
  <si>
    <t>3. Tomy</t>
  </si>
  <si>
    <t>Rahul Suresh (West Indies)</t>
  </si>
  <si>
    <t>4. Shuhail</t>
  </si>
  <si>
    <t>Vipin Venu (Italy)</t>
  </si>
  <si>
    <t>5. Rahul Suresh</t>
  </si>
  <si>
    <t>5. Vignesh</t>
  </si>
  <si>
    <t>6. Ashwin Thomas</t>
  </si>
  <si>
    <t>6. Jinson</t>
  </si>
  <si>
    <t>7. Al Ameen</t>
  </si>
  <si>
    <t>7. Mohammed Ali</t>
  </si>
  <si>
    <t>9. Sterin Joseph</t>
  </si>
  <si>
    <t>9. Albin</t>
  </si>
  <si>
    <t>10. Josin Jr</t>
  </si>
  <si>
    <t>Royal Trophy [ England (Home) vs UAE ]</t>
  </si>
  <si>
    <t>1. Antony</t>
  </si>
  <si>
    <t>2. Sujith CS (VC)</t>
  </si>
  <si>
    <t>2. Jafnis (C)</t>
  </si>
  <si>
    <t>Abhijith (England)</t>
  </si>
  <si>
    <t>England Won Series</t>
  </si>
  <si>
    <t>4. Thrived</t>
  </si>
  <si>
    <t>5. Sanoop</t>
  </si>
  <si>
    <t>5. Vaishnav</t>
  </si>
  <si>
    <t>6. Abhijith (VC)</t>
  </si>
  <si>
    <t>7. Aash</t>
  </si>
  <si>
    <t>7. Justin</t>
  </si>
  <si>
    <t>8. Abhijith</t>
  </si>
  <si>
    <t>8. Tom</t>
  </si>
  <si>
    <t>9. Sunaif</t>
  </si>
  <si>
    <t>9. Alan</t>
  </si>
  <si>
    <t>10. Ayas</t>
  </si>
  <si>
    <t>11. Shajahan</t>
  </si>
  <si>
    <t>13. Sachin</t>
  </si>
  <si>
    <t>13. Akhil</t>
  </si>
  <si>
    <t>14. Nikhil</t>
  </si>
  <si>
    <t>15. Ajin</t>
  </si>
  <si>
    <t>15. Jabir</t>
  </si>
  <si>
    <t>16. Arjun</t>
  </si>
  <si>
    <t>17. Rashid</t>
  </si>
  <si>
    <t>18. Sujith Kumar</t>
  </si>
  <si>
    <t>Clash of Calypso vs Chevrons [ Zimbabwe (Home) vs West Indies ]</t>
  </si>
  <si>
    <t>1. Rittik Upadhayay (C)</t>
  </si>
  <si>
    <t>1. M Shibili (C)</t>
  </si>
  <si>
    <t>2. Abhinand Wayanad</t>
  </si>
  <si>
    <t>Abhinand Wayanad (West Indies)</t>
  </si>
  <si>
    <t>3. Aswin Msd</t>
  </si>
  <si>
    <t>4. Ringkan Bayan</t>
  </si>
  <si>
    <t>4. Hadi Diyoof</t>
  </si>
  <si>
    <t>5. Prayas Parasar</t>
  </si>
  <si>
    <t>5. Fasal CT</t>
  </si>
  <si>
    <t>6. Midlaj</t>
  </si>
  <si>
    <t>7. Jayanath</t>
  </si>
  <si>
    <t>8. Rony Chouhan</t>
  </si>
  <si>
    <t>8. Ajay Paul</t>
  </si>
  <si>
    <t>10. Jyotishman Das</t>
  </si>
  <si>
    <t>10. Ajitha Thankachan</t>
  </si>
  <si>
    <t>11. Susanta Kalita</t>
  </si>
  <si>
    <t>11. Churami</t>
  </si>
  <si>
    <t>12. Anantha Krishnan U</t>
  </si>
  <si>
    <t>13. Pintu</t>
  </si>
  <si>
    <t>13. Aneesh Kannur</t>
  </si>
  <si>
    <t>14. Chinthan</t>
  </si>
  <si>
    <t>14. Ananthu R G</t>
  </si>
  <si>
    <t>15. Akash</t>
  </si>
  <si>
    <t>15. Binal K Binoy</t>
  </si>
  <si>
    <t>16. Kartik Haloi</t>
  </si>
  <si>
    <t>16. Hari Krishnan</t>
  </si>
  <si>
    <t>17. Munaﬀ</t>
  </si>
  <si>
    <t>17. Nazi Nazar</t>
  </si>
  <si>
    <t>18. Krathik</t>
  </si>
  <si>
    <t>18. Madhav</t>
  </si>
  <si>
    <t>United Front Trophy [ USA (Home) vs Zimbabwe ]</t>
  </si>
  <si>
    <t>2. Hafizul SK (VC)</t>
  </si>
  <si>
    <t>2. Drubo Rajbongshi (VC)</t>
  </si>
  <si>
    <t>Rinkan Bayan (Zimbabwe)</t>
  </si>
  <si>
    <t>4. Talha Saeed Gujjar</t>
  </si>
  <si>
    <t>5. Moiz Gujjar</t>
  </si>
  <si>
    <t>6. Vignesh Das</t>
  </si>
  <si>
    <t>7. Fijin Johnson</t>
  </si>
  <si>
    <t>8. Anik</t>
  </si>
  <si>
    <t>8. Pintu</t>
  </si>
  <si>
    <t>9. Zamam Usmani</t>
  </si>
  <si>
    <t>9. Rinkan Bayan</t>
  </si>
  <si>
    <t>10. Febin</t>
  </si>
  <si>
    <t>10. Chinthan</t>
  </si>
  <si>
    <t>11. Hashir Javed</t>
  </si>
  <si>
    <t>11. Jyotishman Das</t>
  </si>
  <si>
    <t>12. Katu Jeswani</t>
  </si>
  <si>
    <t>12. Muneef</t>
  </si>
  <si>
    <t>13. Rao Abul</t>
  </si>
  <si>
    <t>13. Akash</t>
  </si>
  <si>
    <t>14. Saad Asam</t>
  </si>
  <si>
    <t>14. Jayanath</t>
  </si>
  <si>
    <t>15. Rohan Singh Rathore</t>
  </si>
  <si>
    <t>15. Kartik Haloi</t>
  </si>
  <si>
    <t>Sukumara Kurup Memorial Trophy [ Uganda (Home) vs Ireland ]</t>
  </si>
  <si>
    <t>1. Ayaz (C)</t>
  </si>
  <si>
    <t>1. Sunny (C)</t>
  </si>
  <si>
    <t>2. Zain Ul Hassan</t>
  </si>
  <si>
    <t>Mandela</t>
  </si>
  <si>
    <t>Vineeth (Uganda)</t>
  </si>
  <si>
    <t>Vishnu G (Uganda)</t>
  </si>
  <si>
    <t>4. Noufal</t>
  </si>
  <si>
    <t>4. Sami</t>
  </si>
  <si>
    <t>Jafnis &amp; Thrived</t>
  </si>
  <si>
    <t>5. Mallayya</t>
  </si>
  <si>
    <t>6. Abhimanuе</t>
  </si>
  <si>
    <t>6. Akshay</t>
  </si>
  <si>
    <t>7. Sahad</t>
  </si>
  <si>
    <t>7. Kranthi</t>
  </si>
  <si>
    <t>8. Akshay</t>
  </si>
  <si>
    <t>8. Talal</t>
  </si>
  <si>
    <t>9. Vineeth C</t>
  </si>
  <si>
    <t>10. Vishnu Gopal</t>
  </si>
  <si>
    <t>10. Poorna</t>
  </si>
  <si>
    <t>Legacy Trophy [ Canada (Home) vs West Indies ]</t>
  </si>
  <si>
    <t>1. Faraz (C)</t>
  </si>
  <si>
    <t>1. Arjun S Kumar (C)</t>
  </si>
  <si>
    <t>2. Naveen Gupta (VC)</t>
  </si>
  <si>
    <t>Mudasir</t>
  </si>
  <si>
    <t>3. Blessy</t>
  </si>
  <si>
    <t>4. Shebin</t>
  </si>
  <si>
    <t>5. Aswin Msd</t>
  </si>
  <si>
    <t>Faraz Kapri (Canada)</t>
  </si>
  <si>
    <t>6. Aftab</t>
  </si>
  <si>
    <t>6. Abhinand Wayanad</t>
  </si>
  <si>
    <t>Akhil Vijayan</t>
  </si>
  <si>
    <t>7. Akash</t>
  </si>
  <si>
    <t>8. Safa</t>
  </si>
  <si>
    <t>Falcon Eagle Clash [ UAE (Home) vs USA ]</t>
  </si>
  <si>
    <t>2. Jafnis</t>
  </si>
  <si>
    <t>Rao Abul (USA)</t>
  </si>
  <si>
    <t>6. Abhijith</t>
  </si>
  <si>
    <t>8. Shad Mahar</t>
  </si>
  <si>
    <t>9. Maninder Payal</t>
  </si>
  <si>
    <t>10. Ibrahim Shihab</t>
  </si>
  <si>
    <t>11. Anik</t>
  </si>
  <si>
    <t>12. Zamam Usmani</t>
  </si>
  <si>
    <t>13. Febin</t>
  </si>
  <si>
    <t>14. Hashir Javed</t>
  </si>
  <si>
    <t>15. Katu Jeswani</t>
  </si>
  <si>
    <t>16. Rao Abul</t>
  </si>
  <si>
    <t>17. Saad Asam</t>
  </si>
  <si>
    <t>18. Rohan Singh Rathore</t>
  </si>
  <si>
    <t>The Dublin Showdown [ Ireland (Home) vs Australia ]</t>
  </si>
  <si>
    <t>1st Date</t>
  </si>
  <si>
    <t>Chiranjibi Samal (Australia)</t>
  </si>
  <si>
    <t>3. Zain Ul Hassan</t>
  </si>
  <si>
    <t>Australia Won Series</t>
  </si>
  <si>
    <t>4. Rizwan Mansoori</t>
  </si>
  <si>
    <t>5. Sayandeep Ghosh (WK)</t>
  </si>
  <si>
    <t>6. Sami</t>
  </si>
  <si>
    <t>6. Anurag Raj Gautam</t>
  </si>
  <si>
    <t>7. Poorna</t>
  </si>
  <si>
    <t>7. Malaram Patel</t>
  </si>
  <si>
    <t>8. Rahim Ullah</t>
  </si>
  <si>
    <t>9. Bilal</t>
  </si>
  <si>
    <t>9. Zeeshan Yaqoob Gujjar</t>
  </si>
  <si>
    <t>11. Abhishek</t>
  </si>
  <si>
    <t>11. Chiranjibi Samal</t>
  </si>
  <si>
    <t>12. Athulnath</t>
  </si>
  <si>
    <t>12. Ashwini Verma</t>
  </si>
  <si>
    <t>13. Seru Yuvi</t>
  </si>
  <si>
    <t>13. Manish Indoria</t>
  </si>
  <si>
    <t>14. Kranthi</t>
  </si>
  <si>
    <t>14. Nidasha Romanoff</t>
  </si>
  <si>
    <t>15. Talal Ch.</t>
  </si>
  <si>
    <t>15. Sunain Mughal</t>
  </si>
  <si>
    <t>The Falcon Eagle Clash 2.0 [ UAE (Home) vs USA ]</t>
  </si>
  <si>
    <t>Kollam - Dibrugarh Trophy [ West Indies (Home) vs Zimbabwe ]</t>
  </si>
  <si>
    <t>1. Abhilash PA (C)</t>
  </si>
  <si>
    <t>2. Shani Kutty</t>
  </si>
  <si>
    <t>Princi</t>
  </si>
  <si>
    <t>3. Jumana Thasni</t>
  </si>
  <si>
    <t>4. Prayahs Parasar</t>
  </si>
  <si>
    <t>5. Ajitha Thankachan</t>
  </si>
  <si>
    <t>5. Akash Duwara</t>
  </si>
  <si>
    <t>6. Rony Chouhan</t>
  </si>
  <si>
    <t>7. Anish Babu Konni</t>
  </si>
  <si>
    <t>7. Jintu Duwara</t>
  </si>
  <si>
    <t>8. Uttam Bharali</t>
  </si>
  <si>
    <t>9. Ananthu Mohan</t>
  </si>
  <si>
    <t>10. Bharath Narayan</t>
  </si>
  <si>
    <t>11. Nikita Das</t>
  </si>
  <si>
    <t>12. Jaseel Vavad</t>
  </si>
  <si>
    <t>12. Chinthan Pujari</t>
  </si>
  <si>
    <t>13. Josin Roy</t>
  </si>
  <si>
    <t>14. Muzahidul Alom</t>
  </si>
  <si>
    <t>ODI WC Warmup 1 [ Canada (Home) vs Australia ]</t>
  </si>
  <si>
    <t>1. Akash Pol</t>
  </si>
  <si>
    <t>2. Ashwini Verma</t>
  </si>
  <si>
    <t>2. Shanawaz MS</t>
  </si>
  <si>
    <t>3. Aftab Ali</t>
  </si>
  <si>
    <t>4. Rehan</t>
  </si>
  <si>
    <t>5. Faizan Kapri</t>
  </si>
  <si>
    <t>6. Muhammad Shahzad</t>
  </si>
  <si>
    <t>6. Mansoor Jan</t>
  </si>
  <si>
    <t>7. Rahul Gadia</t>
  </si>
  <si>
    <t>7. Ayaz Baloch</t>
  </si>
  <si>
    <t>8. Safa Kapri</t>
  </si>
  <si>
    <t>9. Zeeshan Yakub Gujjar</t>
  </si>
  <si>
    <t>9. Shebin Johan</t>
  </si>
  <si>
    <t>10. Anand Ajikumar</t>
  </si>
  <si>
    <t>11. Naveen Gupta</t>
  </si>
  <si>
    <t>12. Allahbux</t>
  </si>
  <si>
    <t>13. Ankan Biswas</t>
  </si>
  <si>
    <t>13. Neak Muhammad</t>
  </si>
  <si>
    <t>14. Anurag Raj</t>
  </si>
  <si>
    <t>14. Manjeet Yadav</t>
  </si>
  <si>
    <t>15. Ashfak Hosain</t>
  </si>
  <si>
    <t>16. Rizwan Mansoori</t>
  </si>
  <si>
    <t>16. Farhan</t>
  </si>
  <si>
    <t>17. Nidasha</t>
  </si>
  <si>
    <t>17. Basit Rizvi (C)</t>
  </si>
  <si>
    <t xml:space="preserve">18. Sunain Mughal </t>
  </si>
  <si>
    <t>ODI WC Warmup 2 [ Netherlands (Home) vs West Indies ]</t>
  </si>
  <si>
    <t>1. Debajit Borthakur (C)</t>
  </si>
  <si>
    <t>2. Abhilash PA (VC)</t>
  </si>
  <si>
    <t>2. Jahirul Hoque (VC)</t>
  </si>
  <si>
    <t>Ganesh C</t>
  </si>
  <si>
    <t>Jahirul (Netherlands)</t>
  </si>
  <si>
    <t>3. Frijo Thomas</t>
  </si>
  <si>
    <t>3. Deepjyoti Talukdar</t>
  </si>
  <si>
    <t>4. Nirmal Baishya</t>
  </si>
  <si>
    <t>5. Anish Babu Konni</t>
  </si>
  <si>
    <t>5. Rishi Raj</t>
  </si>
  <si>
    <t>6. Ali Akbor Ahmed</t>
  </si>
  <si>
    <t>7. Jihan Omar Fakir</t>
  </si>
  <si>
    <t>8. Hirak Jyoti Deka</t>
  </si>
  <si>
    <t>9. Josin Roy</t>
  </si>
  <si>
    <t>10. Marami Ahmed</t>
  </si>
  <si>
    <t>11. Shibili M</t>
  </si>
  <si>
    <t>11. Dipankar Roy</t>
  </si>
  <si>
    <t>12. Ajay Paul</t>
  </si>
  <si>
    <t>12. Niyor J Kashyap</t>
  </si>
  <si>
    <t>13. Debasish Borgohain</t>
  </si>
  <si>
    <t>14. Bharath Narayan</t>
  </si>
  <si>
    <t>14. Bikram Saikia</t>
  </si>
  <si>
    <t>15. Kiran Nath</t>
  </si>
  <si>
    <t>17. Biki Basishtha</t>
  </si>
  <si>
    <t>18. Bimal Baral</t>
  </si>
  <si>
    <t>The Emirates royal Cup [ UAE (Home) vs India ]</t>
  </si>
  <si>
    <t>1. Jafnis (C)</t>
  </si>
  <si>
    <t>1. Shivaji (C)</t>
  </si>
  <si>
    <t>2. Antony (VC)</t>
  </si>
  <si>
    <t>2. Janardhanan CP (VC)</t>
  </si>
  <si>
    <t>Antony John Ctr (UAE)</t>
  </si>
  <si>
    <t>4. Abdul Rahman</t>
  </si>
  <si>
    <t>6. Anshad Parakkadan</t>
  </si>
  <si>
    <t>7. Asru Ibrahim</t>
  </si>
  <si>
    <t>8. Aswin Biju</t>
  </si>
  <si>
    <t>9. Athif Basheer K</t>
  </si>
  <si>
    <t>10. Ashish Anandhu</t>
  </si>
  <si>
    <t>11. Farhan</t>
  </si>
  <si>
    <t>12. George</t>
  </si>
  <si>
    <t>13. Pradeesh</t>
  </si>
  <si>
    <t>15. Rajeev</t>
  </si>
  <si>
    <t>18. Robert John</t>
  </si>
  <si>
    <t>Rhino - Lion Cup [ South Africa (Home) vs England ]</t>
  </si>
  <si>
    <t>South Africa Squad</t>
  </si>
  <si>
    <t>1. Bhavin Kumar (C)</t>
  </si>
  <si>
    <t>2. K Srinidhi (VC)</t>
  </si>
  <si>
    <t>2. Sujith CS Ctr (VC)</t>
  </si>
  <si>
    <t>Nisham (England)</t>
  </si>
  <si>
    <t>Donald Baghwar (South Africa)</t>
  </si>
  <si>
    <t>3. Donald Baghwar</t>
  </si>
  <si>
    <t>5. Saubhagya Gupta</t>
  </si>
  <si>
    <t>6. Kaushik Kalita</t>
  </si>
  <si>
    <t>8. Susheel Teja</t>
  </si>
  <si>
    <t>10. Siddharth Jain</t>
  </si>
  <si>
    <t>10. Sunaif</t>
  </si>
  <si>
    <t>11. Bhavesh B</t>
  </si>
  <si>
    <t>11. Achuz</t>
  </si>
  <si>
    <t>12. Adithya Mahajan</t>
  </si>
  <si>
    <t>12. Molley Stephan</t>
  </si>
  <si>
    <t>13. Saketh Balne</t>
  </si>
  <si>
    <t>13. Renjish</t>
  </si>
  <si>
    <t>14. Shibasis Nayak</t>
  </si>
  <si>
    <t>15. Ajin P</t>
  </si>
  <si>
    <t>17. Gowri Madhu</t>
  </si>
  <si>
    <t>The Stars &amp; Tigers series [ Bangladesh (Home) vs USA ]</t>
  </si>
  <si>
    <t>1. Sai Naveen Chowdary (Captain)</t>
  </si>
  <si>
    <t>2. Yasin Iqbal (Vice-Captain)</t>
  </si>
  <si>
    <t>3. Princhi Pratim Bora</t>
  </si>
  <si>
    <t>Talha Saeed Gujjar (USA)</t>
  </si>
  <si>
    <t>4. Bhargab Kashyap</t>
  </si>
  <si>
    <t>Khatu Jeswani (USA)</t>
  </si>
  <si>
    <t>5. Ahsan Siddique</t>
  </si>
  <si>
    <t>9. Tanusri Dutta</t>
  </si>
  <si>
    <t>10. Abhishek Adhikary</t>
  </si>
  <si>
    <t>10. Gaurav Mittal (VC)</t>
  </si>
  <si>
    <t>11. Raees Ashiq</t>
  </si>
  <si>
    <t>11. Ibrahim Shihab</t>
  </si>
  <si>
    <t>12. Ghamshad Kapri</t>
  </si>
  <si>
    <t>12. Anik</t>
  </si>
  <si>
    <t>13. Vaibhav Batra</t>
  </si>
  <si>
    <t>13. Zamam Usmani</t>
  </si>
  <si>
    <t>14. Manan Irfan</t>
  </si>
  <si>
    <t>14. Febin</t>
  </si>
  <si>
    <t>15. Karan Kumar</t>
  </si>
  <si>
    <t>15. Hashir Javed</t>
  </si>
  <si>
    <t>16. Popi Sultana</t>
  </si>
  <si>
    <t>16. Katu Jeswani</t>
  </si>
  <si>
    <t>17. Adil</t>
  </si>
  <si>
    <t>17. Rao Abul</t>
  </si>
  <si>
    <t>18. Farhan Malick</t>
  </si>
  <si>
    <t>ODI WC Warmup 3 [ Srilanka (Home) vs USA ]</t>
  </si>
  <si>
    <t>Srilanka Squad</t>
  </si>
  <si>
    <t>1. Damitha Naranpanawa (C)</t>
  </si>
  <si>
    <t>2. Thilanga Dumindu (VC)</t>
  </si>
  <si>
    <t>Rasith Wijethunga (Srilanka)</t>
  </si>
  <si>
    <t>Talha Saeed (USA)</t>
  </si>
  <si>
    <t>Srilanka Won Series</t>
  </si>
  <si>
    <t>4. Kosala Jayasinghe</t>
  </si>
  <si>
    <t>5. Rubesh Jude Daniel</t>
  </si>
  <si>
    <t>6. Miraj Cool</t>
  </si>
  <si>
    <t>7. Hansana De Silva</t>
  </si>
  <si>
    <t>9. Damith Nandana</t>
  </si>
  <si>
    <t>10. Kavinda Gihan</t>
  </si>
  <si>
    <t>12. Kithmewan Gimantha</t>
  </si>
  <si>
    <t>13. Uresh Gnanananga</t>
  </si>
  <si>
    <t>15. Chalana Rukshan</t>
  </si>
  <si>
    <t>17. Binara Udayanga</t>
  </si>
  <si>
    <t>ODI WC Warmup 4 [ Italy (Home) vs Bangladesh ]</t>
  </si>
  <si>
    <t>1. Yasin Iqbal (VC)</t>
  </si>
  <si>
    <t>1. Rince Thomas (C)</t>
  </si>
  <si>
    <t>2. Popi Sultana</t>
  </si>
  <si>
    <t>2. Subi(VC)</t>
  </si>
  <si>
    <t>Tomy Mathew (UAE)</t>
  </si>
  <si>
    <t>5. Sanzil</t>
  </si>
  <si>
    <t>7. Lal</t>
  </si>
  <si>
    <t>9. Jinson</t>
  </si>
  <si>
    <t>10. Albin</t>
  </si>
  <si>
    <t>11. Shuhaib</t>
  </si>
  <si>
    <t>12. Manju</t>
  </si>
  <si>
    <t>13. Vishnu Vijay</t>
  </si>
  <si>
    <t>14. Adil</t>
  </si>
  <si>
    <t>14. Vignesh</t>
  </si>
  <si>
    <t>15. Farhan Malick</t>
  </si>
  <si>
    <t>15. Vipin Sai</t>
  </si>
  <si>
    <t>16. Chinju</t>
  </si>
  <si>
    <t>The Indo-Emirates Cup [ India (Home) vs UAE ]</t>
  </si>
  <si>
    <t>Waqas &amp; Shivaji</t>
  </si>
  <si>
    <t>Gopikrishnan SV (India)</t>
  </si>
  <si>
    <t>Waugh Lara [ Australia (Home) vs West Indies ]</t>
  </si>
  <si>
    <t>2. Waqas Mughal (VC)</t>
  </si>
  <si>
    <t>17. Muhammad Shahzad</t>
  </si>
  <si>
    <t>Crown &amp; Pearl [ England (Home) vs Uganda ]</t>
  </si>
  <si>
    <t>1. Althwaf (C)</t>
  </si>
  <si>
    <t>2. Vishnu G</t>
  </si>
  <si>
    <t>Akshay (Uganda)</t>
  </si>
  <si>
    <t>3. Mallayya</t>
  </si>
  <si>
    <t>6. Ajwad</t>
  </si>
  <si>
    <t>7. Vineeth Chandhu</t>
  </si>
  <si>
    <t>8. Akash</t>
  </si>
  <si>
    <t>10. Sahad</t>
  </si>
  <si>
    <t>11. Abhimanuе</t>
  </si>
  <si>
    <t>12. Akshay</t>
  </si>
  <si>
    <t>13. Vineeth K</t>
  </si>
  <si>
    <t>14. Alen</t>
  </si>
  <si>
    <t>16. Anumod</t>
  </si>
  <si>
    <t>17. Ayaz</t>
  </si>
  <si>
    <t>18. Rijoyes</t>
  </si>
  <si>
    <t>Ire-Zim Clash [ Ireland (Home) vs Zimbabwe ]</t>
  </si>
  <si>
    <t>1. Rittik Upadhayay</t>
  </si>
  <si>
    <t>2. Sunny (VC)</t>
  </si>
  <si>
    <t>Ali Abbas Bangash (Ireland)</t>
  </si>
  <si>
    <t>4. Sammar Rehman</t>
  </si>
  <si>
    <t>4. Prayas Parasar</t>
  </si>
  <si>
    <t>5. Talal Choudhary</t>
  </si>
  <si>
    <t>6. Uttam Bharali</t>
  </si>
  <si>
    <t>7. Sayandeep Ghosh (WK)</t>
  </si>
  <si>
    <t>7. Muzahidul Alom</t>
  </si>
  <si>
    <t>8. Zain Gujjar</t>
  </si>
  <si>
    <t>8. Jintu Duwara</t>
  </si>
  <si>
    <t>9. Rahim Ullah</t>
  </si>
  <si>
    <t>10. Kranthi</t>
  </si>
  <si>
    <t>11. Rony Chouhan</t>
  </si>
  <si>
    <t>12. Poorna</t>
  </si>
  <si>
    <t>12. Chinthan</t>
  </si>
  <si>
    <t>13. Abhishek</t>
  </si>
  <si>
    <t>13. Risabh Sarkar</t>
  </si>
  <si>
    <t>14. Athulnath</t>
  </si>
  <si>
    <t>14. Nikita Das</t>
  </si>
  <si>
    <t>Rhino - Owl Cup [ South Africa (Home) vs Canada ]</t>
  </si>
  <si>
    <t>Adithya Mahajan (South Africa)</t>
  </si>
  <si>
    <t>ODI WC Warmup 5 [ England (Home) vs India ]</t>
  </si>
  <si>
    <t>1. Diljith Das (Captain)</t>
  </si>
  <si>
    <t>1. Shivaji Prakash (Captain)</t>
  </si>
  <si>
    <t>2. Sujith CS Ctr (Vice-Captain)</t>
  </si>
  <si>
    <t>2. Janardhanan C P (Vice-Captain)</t>
  </si>
  <si>
    <t>Farhan (India)</t>
  </si>
  <si>
    <t>Jyothish s (England)</t>
  </si>
  <si>
    <t>6. Rahul Seenu</t>
  </si>
  <si>
    <t>7. Aash Muhammad</t>
  </si>
  <si>
    <t>8. Abdul Rahman</t>
  </si>
  <si>
    <t>9. Gopikrishnan SV</t>
  </si>
  <si>
    <t>11. Ahmed Mahsoof</t>
  </si>
  <si>
    <t>12. Asru Ibrahim</t>
  </si>
  <si>
    <t>14. George</t>
  </si>
  <si>
    <t>15. Aswin Biju</t>
  </si>
  <si>
    <t>18. Nisham</t>
  </si>
  <si>
    <t xml:space="preserve"> ODI WC Warmup 6 [ UAE (Home) vs Uganda ]</t>
  </si>
  <si>
    <t xml:space="preserve"> Uganda Squad</t>
  </si>
  <si>
    <t>1. Jafnis (Captain)</t>
  </si>
  <si>
    <t>2. Antony (Vice-Captain)</t>
  </si>
  <si>
    <t>Sammy Warne [ West Indies (Home) vs Australia ]</t>
  </si>
  <si>
    <t>1. Midhun Manilal (Captain)</t>
  </si>
  <si>
    <t>1. Arnab Sarkar (Captain)</t>
  </si>
  <si>
    <t>2. Abhilash PA (Vice-Captain)</t>
  </si>
  <si>
    <t>2. Waqas Mughal (Vice-Captain)</t>
  </si>
  <si>
    <t>Josin Roy (West Indies)</t>
  </si>
  <si>
    <t>Abhilash PA (West Indies)</t>
  </si>
  <si>
    <t>Rhino - Bear Cup [ South Africa (Home) vs Srilanka ]</t>
  </si>
  <si>
    <t>1. Bhavin Kumar (Captain)</t>
  </si>
  <si>
    <t>1. Damitha Naranpanawa (Captain)</t>
  </si>
  <si>
    <t>2. K Srinidhi (Vice-Captain)</t>
  </si>
  <si>
    <t>2. Thilanga Dumindu (Vice-Captain)</t>
  </si>
  <si>
    <t>Saubhagya Gupta (South Africa)</t>
  </si>
  <si>
    <t>South Africa Won Series</t>
  </si>
  <si>
    <t>9. Mahi Mahendra</t>
  </si>
  <si>
    <t>13. Rakesh</t>
  </si>
  <si>
    <t>14. Saketh Balne</t>
  </si>
  <si>
    <t>The Gulf Cup [ Qatar (Home) vs Ireland ]</t>
  </si>
  <si>
    <t>1. Ans Sheikh (Captain)</t>
  </si>
  <si>
    <t>2. Muhammad Ahmed Mughal (Vice-Captain)</t>
  </si>
  <si>
    <t>Zain UL Hassan (Ireland)</t>
  </si>
  <si>
    <t>Qatar Won Series</t>
  </si>
  <si>
    <t>4. Abhishek</t>
  </si>
  <si>
    <t>6. Adnan Khalid</t>
  </si>
  <si>
    <t>6. Zain Ul Hassan</t>
  </si>
  <si>
    <t>7. Raza Hassnain</t>
  </si>
  <si>
    <t>7. Zain Gujjar</t>
  </si>
  <si>
    <t>8. Muhammad Touqeer</t>
  </si>
  <si>
    <t>8. Talal Choudhary</t>
  </si>
  <si>
    <t>9. Sammar Rehman</t>
  </si>
  <si>
    <t>10. Abdul Muqeeth</t>
  </si>
  <si>
    <t>10. Seru Yuvi</t>
  </si>
  <si>
    <t>11. Anas Asim</t>
  </si>
  <si>
    <t>12. Aman Raj Singh</t>
  </si>
  <si>
    <t>12. Kranthi</t>
  </si>
  <si>
    <t>13. Muhammad Waleed Khan</t>
  </si>
  <si>
    <t>13. Poorna</t>
  </si>
  <si>
    <t>14. Umar Shahzad</t>
  </si>
  <si>
    <t>14. Huzaifa</t>
  </si>
  <si>
    <t>15. Sufyan Gujjar</t>
  </si>
  <si>
    <t>15. Rahim Ullah</t>
  </si>
  <si>
    <t>16. Suleman Haider</t>
  </si>
  <si>
    <t>16. Noufal</t>
  </si>
  <si>
    <t>17. Muzammil Zafar</t>
  </si>
  <si>
    <t>17. Bilal</t>
  </si>
  <si>
    <t>18. Abdullah Ishtiaq</t>
  </si>
  <si>
    <t>ODI WC Warmup 7 [ Ireland (Home) vs Pakistan ]</t>
  </si>
  <si>
    <t>1. Muhammad Ahmad (Captain)</t>
  </si>
  <si>
    <t>2. Shamroz (Vice-Captain)</t>
  </si>
  <si>
    <t>Sammar Rehman (Ireland)</t>
  </si>
  <si>
    <t>4. Nasrullah</t>
  </si>
  <si>
    <t>6. Ganesh Chunduru</t>
  </si>
  <si>
    <t>9. Wajdan</t>
  </si>
  <si>
    <t>10. Umar Abbas</t>
  </si>
  <si>
    <t>11. Marukh</t>
  </si>
  <si>
    <t>12. Maheen</t>
  </si>
  <si>
    <t>13. Iqra Batool</t>
  </si>
  <si>
    <t>14. Muhammad Ali</t>
  </si>
  <si>
    <t>15. Daniyal Sheikh</t>
  </si>
  <si>
    <t>16. Sidra</t>
  </si>
  <si>
    <t>17. Talha D'crew</t>
  </si>
  <si>
    <t>18. Haseeb Shaka</t>
  </si>
  <si>
    <t>ODI WC Warmup 8 [ Qatar (Home) vs Newzealand ]</t>
  </si>
  <si>
    <t>1. Toby Joseph (Captain)</t>
  </si>
  <si>
    <t>2. Mahesh Margol (Vice-Captain)</t>
  </si>
  <si>
    <t>Hizbullah &amp; Umar</t>
  </si>
  <si>
    <t>Aman Raj Singh (Qatar)</t>
  </si>
  <si>
    <t>3. Srajan Poojari</t>
  </si>
  <si>
    <t>5. Tukaram Parabat</t>
  </si>
  <si>
    <t>6. Hrushikesh Dinkar</t>
  </si>
  <si>
    <t>7. Kishore Gowda</t>
  </si>
  <si>
    <t>8. Ashwini Raam</t>
  </si>
  <si>
    <t>9. Adarsh Byndoor</t>
  </si>
  <si>
    <t>11. Aashutosh Jha</t>
  </si>
  <si>
    <t>12. Karthik Devadiga</t>
  </si>
  <si>
    <t>15. Yeshwanth Chinni</t>
  </si>
  <si>
    <t>16. Hasan Musabbir</t>
  </si>
  <si>
    <t>17. Aseem Abd</t>
  </si>
  <si>
    <t>18. Aniket Gavit</t>
  </si>
  <si>
    <t>18. Arslan Ali Shani</t>
  </si>
  <si>
    <t>ODI WC Warmup 9 [ Scotland (Home) vs South Africa ]</t>
  </si>
  <si>
    <t>1. Ajay (Captain)</t>
  </si>
  <si>
    <t>2. Jishnu (Vice Captain)</t>
  </si>
  <si>
    <t>Adarsh (Scotland)</t>
  </si>
  <si>
    <t>5. Sufaid</t>
  </si>
  <si>
    <t>6. Adarsh</t>
  </si>
  <si>
    <t>8. Shukoor</t>
  </si>
  <si>
    <t>9. Hari</t>
  </si>
  <si>
    <t>10. Amal</t>
  </si>
  <si>
    <t>10. Rakshith Shetty</t>
  </si>
  <si>
    <t>11. Ashi</t>
  </si>
  <si>
    <t>12. Ansar</t>
  </si>
  <si>
    <t>13. Blesson</t>
  </si>
  <si>
    <t>14. Irshad</t>
  </si>
  <si>
    <t>15. Akshay</t>
  </si>
  <si>
    <t>16. Hashir</t>
  </si>
  <si>
    <t>17. Asthu</t>
  </si>
  <si>
    <t>18. Shaheen</t>
  </si>
  <si>
    <t>18. Saubhagya Gupta</t>
  </si>
  <si>
    <t xml:space="preserve"> Last Of the Summer [ Australia (Home) vs India ]</t>
  </si>
  <si>
    <t>Sebin &amp; Thrived</t>
  </si>
  <si>
    <t>5. Ashwini Verma</t>
  </si>
  <si>
    <t>6. Harsh Dubey</t>
  </si>
  <si>
    <t>14. Abin</t>
  </si>
  <si>
    <t>15. Harish</t>
  </si>
  <si>
    <t>16. Mowglee</t>
  </si>
  <si>
    <t>17. George</t>
  </si>
  <si>
    <t>18. Aswin Biju</t>
  </si>
  <si>
    <t>Kingstown Cup [ West Indies (Home) vs England ]</t>
  </si>
  <si>
    <t>Abhishek &amp; Ganesh</t>
  </si>
  <si>
    <t>13. Ananthu RG</t>
  </si>
  <si>
    <t>15. Aneesh Kannur</t>
  </si>
  <si>
    <t>16. Bharath Narayan</t>
  </si>
  <si>
    <t>17. Jaseel Vavad</t>
  </si>
  <si>
    <t>Zubeen Garg Tribute Trophy [ UAE (Home) vs Zimbabwe ]</t>
  </si>
  <si>
    <t>9. Rony Chouhan</t>
  </si>
  <si>
    <t>10. Kashif Ramzan</t>
  </si>
  <si>
    <t>11. Chinthan Poojari</t>
  </si>
  <si>
    <t>12. Nikita Das</t>
  </si>
  <si>
    <t>13. Ringkan Bayan</t>
  </si>
  <si>
    <t>15. Rishabh Sarkar</t>
  </si>
  <si>
    <t>Emerald &amp; Stars [ Ireland (Home) vs USA ]</t>
  </si>
  <si>
    <t>2. Gaurav Mittal (VC)</t>
  </si>
  <si>
    <t>7th Sept</t>
  </si>
  <si>
    <t>Zamam Usmani (USA)</t>
  </si>
  <si>
    <t>4. Rohan Singh Rathore</t>
  </si>
  <si>
    <t>9th Sept</t>
  </si>
  <si>
    <t>5. Sayandeep Ghosh</t>
  </si>
  <si>
    <t>9. Fijin Johnson</t>
  </si>
  <si>
    <t>10. Hafijul SK</t>
  </si>
  <si>
    <t>12. Febin</t>
  </si>
  <si>
    <t>14. Afaq Warraich</t>
  </si>
  <si>
    <t>16. Manindra Payal</t>
  </si>
  <si>
    <t>17. Anik</t>
  </si>
  <si>
    <t>Lloyd–Streak Trophy  [ West Indies (Home) vs Zimbabwe ]</t>
  </si>
  <si>
    <t>2. Abhishek Vava (C)</t>
  </si>
  <si>
    <t>Abhishek (West Indies)</t>
  </si>
  <si>
    <t>Anurag Nath (Zimbabwe)</t>
  </si>
  <si>
    <t>4. Ajmal Sunaif BP</t>
  </si>
  <si>
    <t>5. Anantha Krishnan U</t>
  </si>
  <si>
    <t>6. Ananthu Mohan</t>
  </si>
  <si>
    <t>7. Anandha Krishnan</t>
  </si>
  <si>
    <t>8. Arun Biju</t>
  </si>
  <si>
    <t>8. Jyotishman Das</t>
  </si>
  <si>
    <t>10. Aswin Msd</t>
  </si>
  <si>
    <t>11. Bibin Benny</t>
  </si>
  <si>
    <t>11. Krathik</t>
  </si>
  <si>
    <t>12. Binal K Binoy</t>
  </si>
  <si>
    <t>13. Churami</t>
  </si>
  <si>
    <t>14. Falah Mancheri</t>
  </si>
  <si>
    <t>15. Fasal CT</t>
  </si>
  <si>
    <t>16. Hadi Diyoof</t>
  </si>
  <si>
    <t>17. Jumana Thasni</t>
  </si>
  <si>
    <t>17. Ringkan Bayan</t>
  </si>
  <si>
    <t>18. Rittik Upadhayay (C)</t>
  </si>
  <si>
    <t>19. Nayan S Kurup</t>
  </si>
  <si>
    <t>19. Ronny Chouhan</t>
  </si>
  <si>
    <t>20. Sachin</t>
  </si>
  <si>
    <t>20. Uttam Bharali</t>
  </si>
  <si>
    <t>21. Shani Kutty</t>
  </si>
  <si>
    <t>22. Neelambari</t>
  </si>
  <si>
    <t>American Caribbean Cup  [ USA (Home) vs West Indies ]</t>
  </si>
  <si>
    <t>11th Sept</t>
  </si>
  <si>
    <t>Saas Ahsam(USA)</t>
  </si>
  <si>
    <t>6. Anandha Krishnan</t>
  </si>
  <si>
    <t>7. Ananthu Mohan</t>
  </si>
  <si>
    <t>11. Binal K Binoy</t>
  </si>
  <si>
    <t>12. Mubashir Khan (C)</t>
  </si>
  <si>
    <t>12. Churami (C)</t>
  </si>
  <si>
    <t>13. Rao Abul (VC)</t>
  </si>
  <si>
    <t>13. Falah Mancheri</t>
  </si>
  <si>
    <t>14. Rohan Singh Rathore</t>
  </si>
  <si>
    <t>14. Fasal CT</t>
  </si>
  <si>
    <t>15. Saad Ahsam</t>
  </si>
  <si>
    <t>15. Hadi Diyouf</t>
  </si>
  <si>
    <t>16. Talha Gujjar</t>
  </si>
  <si>
    <t>16. Jumana Thasni (VC)</t>
  </si>
  <si>
    <t>17. Vignesh Das</t>
  </si>
  <si>
    <t>17. Madhav</t>
  </si>
  <si>
    <t>18. Zamam Usmani</t>
  </si>
  <si>
    <t>18. Nayan S Kurup</t>
  </si>
  <si>
    <t>19. Neelambari</t>
  </si>
  <si>
    <t>20. Rukkz</t>
  </si>
  <si>
    <t>21. Sachin</t>
  </si>
  <si>
    <t>22. Shani Kutty</t>
  </si>
  <si>
    <t>Irish Canadian Cup  [ Ireland (Home) vs Canada ]</t>
  </si>
  <si>
    <t>6. Huziafa</t>
  </si>
  <si>
    <t>7. Farah</t>
  </si>
  <si>
    <t>8. Farhan (C)</t>
  </si>
  <si>
    <t>9. Faraz Kapri (VC)</t>
  </si>
  <si>
    <t>10. Manjeet</t>
  </si>
  <si>
    <t>12. Sami</t>
  </si>
  <si>
    <t>13. Sayandeep Ghosh (WK)</t>
  </si>
  <si>
    <t>14. Seru Yuvi</t>
  </si>
  <si>
    <t>15. Sunny (VC)</t>
  </si>
  <si>
    <t>15. Safa</t>
  </si>
  <si>
    <t>16. Talal Choudhary</t>
  </si>
  <si>
    <t>16. Sahnawaz</t>
  </si>
  <si>
    <t>17. Zain Gujjar</t>
  </si>
  <si>
    <t>18. Zain Ul Hassan</t>
  </si>
  <si>
    <t>Elite Series [ West Indies (Home) vs Netherlands ]</t>
  </si>
  <si>
    <t>14th Sept</t>
  </si>
  <si>
    <t>Shabir Alam(Netherlands)</t>
  </si>
  <si>
    <t>3. Deepak Das</t>
  </si>
  <si>
    <t>15th Sept</t>
  </si>
  <si>
    <t>4. Khagen Saikia</t>
  </si>
  <si>
    <t>Khangen Saikia(Netherlands)</t>
  </si>
  <si>
    <t>5. Kritartha Kalita</t>
  </si>
  <si>
    <t>6. Kumarjyoti Deka</t>
  </si>
  <si>
    <t>7. Manuranjan Deka</t>
  </si>
  <si>
    <t>8. Binal K Binoy</t>
  </si>
  <si>
    <t>8. Mayank Das</t>
  </si>
  <si>
    <t>9. Prabal Deka</t>
  </si>
  <si>
    <t>10. Prince Gogoi</t>
  </si>
  <si>
    <t>11. Hadi Diy oof</t>
  </si>
  <si>
    <t>11. Sagar Talukdar</t>
  </si>
  <si>
    <t>12. Shabir Alom</t>
  </si>
  <si>
    <t>13. Shon of Sarmah</t>
  </si>
  <si>
    <t>14. Surashri Chutia</t>
  </si>
  <si>
    <t>15. Shanikutty</t>
  </si>
  <si>
    <t>Mayabani Cup [ Netherlands (Home) vs West Indies ]</t>
  </si>
  <si>
    <t>Zubeen Garg</t>
  </si>
  <si>
    <t>4. Hrushikesh Barman</t>
  </si>
  <si>
    <t>4. Ajmal Sunaif B P</t>
  </si>
  <si>
    <t>5. Khagen Saikia</t>
  </si>
  <si>
    <t>5. Anandha Krishnan</t>
  </si>
  <si>
    <t>6. Anantha Krishnan U</t>
  </si>
  <si>
    <t>7. Krittartha Kalita</t>
  </si>
  <si>
    <t>8. Manuranjan Deka</t>
  </si>
  <si>
    <t>9. Mayank Das</t>
  </si>
  <si>
    <t>10. Prabal Deka</t>
  </si>
  <si>
    <t>11. Prince Gogoi</t>
  </si>
  <si>
    <t>12. Shabir Alam</t>
  </si>
  <si>
    <t>12. Bibin Benny</t>
  </si>
  <si>
    <t>13. Shon Sharma</t>
  </si>
  <si>
    <t>15. Hadi Diy oof</t>
  </si>
  <si>
    <t>16. Jumana Thasni</t>
  </si>
  <si>
    <t>Green Flag [ West Indies (Home) vs Papua New Guinea ]</t>
  </si>
  <si>
    <t>Pawan (Papua New Guinea)</t>
  </si>
  <si>
    <t>Anantha Krishnan(West Indies)</t>
  </si>
  <si>
    <t>Ananthu M(West Indies)</t>
  </si>
  <si>
    <t>23rd Sept</t>
  </si>
  <si>
    <t>4. Farqan</t>
  </si>
  <si>
    <t>24th Sept</t>
  </si>
  <si>
    <t>Yohaan (Papua New Guinea)</t>
  </si>
  <si>
    <t>5. Grishav</t>
  </si>
  <si>
    <t>6. Kalash</t>
  </si>
  <si>
    <t>7. Aswin Msd</t>
  </si>
  <si>
    <t>7. Kuldeep Roy</t>
  </si>
  <si>
    <t>8. Pawan</t>
  </si>
  <si>
    <t>9. Pranjal</t>
  </si>
  <si>
    <t>10. Sayed Babu</t>
  </si>
  <si>
    <t>11. Viraj Sharma</t>
  </si>
  <si>
    <t>12. Sachin</t>
  </si>
  <si>
    <t>12. Yohaan</t>
  </si>
  <si>
    <t>Franchise League Qatar Elite Cricket League Registration &amp; all team Players 2026</t>
  </si>
  <si>
    <t>PAPUA NEW GUINEA</t>
  </si>
  <si>
    <t>QATAR (HOME)</t>
  </si>
  <si>
    <t>1. Aswin Biju</t>
  </si>
  <si>
    <t>1. Aman Saini</t>
  </si>
  <si>
    <t>1. Prayas Parasar</t>
  </si>
  <si>
    <t>1. Abdul Haseeb Siddiq</t>
  </si>
  <si>
    <t>2. Arjun Akj</t>
  </si>
  <si>
    <t>2. Albin</t>
  </si>
  <si>
    <t>2. Bimal Baral</t>
  </si>
  <si>
    <t>2. Tejasvin Av</t>
  </si>
  <si>
    <t>2. Furqan</t>
  </si>
  <si>
    <t>2. Sebin</t>
  </si>
  <si>
    <t>2. Akshay TK</t>
  </si>
  <si>
    <t>2. Febin</t>
  </si>
  <si>
    <t>2. Abhilash P A</t>
  </si>
  <si>
    <t>3. Raheem</t>
  </si>
  <si>
    <t>3. Arsal Choudry</t>
  </si>
  <si>
    <t>3. Anandhu</t>
  </si>
  <si>
    <t>3. Bitupan Dutta</t>
  </si>
  <si>
    <t>3. Grishav</t>
  </si>
  <si>
    <t>3. Donald Baghwar Dkhar</t>
  </si>
  <si>
    <t>3. Anoop Kintu</t>
  </si>
  <si>
    <t>3. Fijin Johnson</t>
  </si>
  <si>
    <t>3. Abhishek Vava</t>
  </si>
  <si>
    <t>3. Rishabh Sarkar</t>
  </si>
  <si>
    <t>3. Ashfiya Nijhum</t>
  </si>
  <si>
    <t>4. Sammar</t>
  </si>
  <si>
    <t>4. Kalash</t>
  </si>
  <si>
    <t>4. Hansana De Silva</t>
  </si>
  <si>
    <t>4. Hubalnas</t>
  </si>
  <si>
    <t>4. Gaurav Kumar Mittal</t>
  </si>
  <si>
    <t>4. Rittik Upadhayay</t>
  </si>
  <si>
    <t>4. Suleman Haider</t>
  </si>
  <si>
    <t>5. Bhargab</t>
  </si>
  <si>
    <t>5. Appu</t>
  </si>
  <si>
    <t>5. Kuldeep</t>
  </si>
  <si>
    <t>5. Anoop MK</t>
  </si>
  <si>
    <t>5. Hasindu Rashminda</t>
  </si>
  <si>
    <t>5. Jubi</t>
  </si>
  <si>
    <t>5. Amit Kumar</t>
  </si>
  <si>
    <t>5. SV</t>
  </si>
  <si>
    <t>6. Talal</t>
  </si>
  <si>
    <t>6. Pawan Magar</t>
  </si>
  <si>
    <t>6. Ansar</t>
  </si>
  <si>
    <t>6. Kavinda Gihan</t>
  </si>
  <si>
    <t>6. Mallayya</t>
  </si>
  <si>
    <t>6. Khatu Jeswani</t>
  </si>
  <si>
    <t>6. Veer Gupta</t>
  </si>
  <si>
    <t>7. Ghamshad</t>
  </si>
  <si>
    <t xml:space="preserve">7. Faraz Kapri </t>
  </si>
  <si>
    <t>7. Nirmal Baishya</t>
  </si>
  <si>
    <t>7. Sham Roz</t>
  </si>
  <si>
    <t>7. Prakash Singh Negi</t>
  </si>
  <si>
    <t>7. Arjun Raj</t>
  </si>
  <si>
    <t>7. Rahul Mohapatra</t>
  </si>
  <si>
    <t>7. Kosala Jayasinghe</t>
  </si>
  <si>
    <t>7. Zohaib Khan Tareen</t>
  </si>
  <si>
    <t>8. Harsh Dubey</t>
  </si>
  <si>
    <t>8. Ishita</t>
  </si>
  <si>
    <t xml:space="preserve">8. Farhan </t>
  </si>
  <si>
    <t>8. Reddy</t>
  </si>
  <si>
    <t>8. Niyor J Kashyap</t>
  </si>
  <si>
    <t>8. Sidra</t>
  </si>
  <si>
    <t>8. Sayed Babu</t>
  </si>
  <si>
    <t>8. Ashith</t>
  </si>
  <si>
    <t>8. Rakshit Shetty</t>
  </si>
  <si>
    <t>8. Miraj Cool</t>
  </si>
  <si>
    <t>8. Ananthu RG</t>
  </si>
  <si>
    <t>9. Keshav Shah</t>
  </si>
  <si>
    <t>9. Karan</t>
  </si>
  <si>
    <t>9. Shuhaib</t>
  </si>
  <si>
    <t>9. SK Haseeb Ali</t>
  </si>
  <si>
    <t>9. Viraj</t>
  </si>
  <si>
    <t>9. Ashique Ashi</t>
  </si>
  <si>
    <t>9. Saketh B</t>
  </si>
  <si>
    <t>9. Rasith Wijethunga</t>
  </si>
  <si>
    <t>9. Vineeth K</t>
  </si>
  <si>
    <t>9. Arjun S Kumar</t>
  </si>
  <si>
    <t>10. Malik Zubair</t>
  </si>
  <si>
    <t>10. Manan</t>
  </si>
  <si>
    <t>10. Tomy</t>
  </si>
  <si>
    <t>10. Talha</t>
  </si>
  <si>
    <t>10. Asthu</t>
  </si>
  <si>
    <t>10. Shajahan</t>
  </si>
  <si>
    <t>10. Rubesh Jude</t>
  </si>
  <si>
    <t>10. Vishnu G</t>
  </si>
  <si>
    <t>11. Partha Pratim</t>
  </si>
  <si>
    <t>11. Vignesh</t>
  </si>
  <si>
    <t>11. Umar Abbas</t>
  </si>
  <si>
    <t>11. Hari Est</t>
  </si>
  <si>
    <t>11. Shiva Teja</t>
  </si>
  <si>
    <t>11. Ruwanga Bandarawaththa</t>
  </si>
  <si>
    <t>12. Popi</t>
  </si>
  <si>
    <t>12. Hashir</t>
  </si>
  <si>
    <t>12. Srinidhi K</t>
  </si>
  <si>
    <t>12. Talha Saeed Gujjar</t>
  </si>
  <si>
    <t>13. Princhi</t>
  </si>
  <si>
    <t>13. Safa</t>
  </si>
  <si>
    <t>13. Irshad Bekal</t>
  </si>
  <si>
    <t>13. Thilanga Dumindu</t>
  </si>
  <si>
    <t>13. Fasal Firshin</t>
  </si>
  <si>
    <t>14. Muhammad Shahzad</t>
  </si>
  <si>
    <t>14. Raees</t>
  </si>
  <si>
    <t>14. Sahnawaz</t>
  </si>
  <si>
    <t>14. Jishnu Dq</t>
  </si>
  <si>
    <t>14. Zamam Usmani</t>
  </si>
  <si>
    <t>15. Rahul Gadia</t>
  </si>
  <si>
    <t>15. Tanusri</t>
  </si>
  <si>
    <t>15. Kebin</t>
  </si>
  <si>
    <t>15. Uresh Gnananga</t>
  </si>
  <si>
    <t>16. Vaibhav</t>
  </si>
  <si>
    <t>16. Vishesh</t>
  </si>
  <si>
    <t>16. Sali KSD</t>
  </si>
  <si>
    <t>16. Virendra Peiris</t>
  </si>
  <si>
    <t>16. Sterin Joseph</t>
  </si>
  <si>
    <t>17. Umar Khan</t>
  </si>
  <si>
    <t>17. Waqas Mughal</t>
  </si>
  <si>
    <t>17. Romeo</t>
  </si>
  <si>
    <t>17. Shukoor</t>
  </si>
  <si>
    <t>18. Sufaid</t>
  </si>
  <si>
    <t>19. Thebseer</t>
  </si>
  <si>
    <t>20. Yadhu</t>
  </si>
  <si>
    <t>21. Blesson</t>
  </si>
  <si>
    <t>Franchise League QECL All TEAMS</t>
  </si>
  <si>
    <t>1. Ans Sheikh(Captain-Qatar): 600000</t>
  </si>
  <si>
    <t>1. Saad Rizwan(Captain-Qatar): 600000</t>
  </si>
  <si>
    <t>1. Sufyan Yaqoob Gujjar(Captain-Qatar): 600000</t>
  </si>
  <si>
    <t>1. Anas Asim(Captain-Qatar): 600000</t>
  </si>
  <si>
    <t>1. Huzaifa Imran(Captain-Qatar): 600000</t>
  </si>
  <si>
    <t>1. Muhammed Waleed Khan(Captain-Qatar): 600000</t>
  </si>
  <si>
    <t>1. Ebad Malik(Captain-Qatar): 600000</t>
  </si>
  <si>
    <t>1. Muhammad Ahmed Mughal (Captain-Qatar): 600000</t>
  </si>
  <si>
    <t>2. Adnan Khalid(Marquee-Qatar): 300000</t>
  </si>
  <si>
    <t>2. Abdul Muqeeth(Marquee-Qatar): 300000</t>
  </si>
  <si>
    <t>2. Abdullah Ishtiaq(Marquee-Qatar): 300000</t>
  </si>
  <si>
    <t>2. Muzammil Zaffar(Marquee-Qatar): 300000</t>
  </si>
  <si>
    <t>2. Muhammad Touqeer(Marquee-Qatar): 300000</t>
  </si>
  <si>
    <t>2. Umar Shahzad (Marquee-Qatar): 300000</t>
  </si>
  <si>
    <t>2. Mudasir Ali(Marquee-Qatar): 300000</t>
  </si>
  <si>
    <t>2. Syed Raza(Marquee-Qatar): 300000</t>
  </si>
  <si>
    <t>3. Zarnish Saira(DS-Pakistan): 100000</t>
  </si>
  <si>
    <t>3. Subaida Subi(DS-Italy): 100000</t>
  </si>
  <si>
    <t>3. Adithya Mahajan(DS-South Africa): 100000</t>
  </si>
  <si>
    <t>3. Hizbullah Sahito(DS-Pakistan): 100000</t>
  </si>
  <si>
    <t>3. Damitha Naranpanawa(DS-Srilanka): 100000</t>
  </si>
  <si>
    <t>3. Shivaji Prakash(DS-India): 100000</t>
  </si>
  <si>
    <t>3. Sai Naveen(DS-Bangladesh): 100000</t>
  </si>
  <si>
    <t>3. Yasin Iqbal(DS-Bangladesh): 100000</t>
  </si>
  <si>
    <t>4. Raees Ashiq(Bangladesh) - 2000</t>
  </si>
  <si>
    <t>4. Ayaan Sheikh(Pakistan) - 80000</t>
  </si>
  <si>
    <t>4. Nasrullah Kapri (Pakistan) - 80000</t>
  </si>
  <si>
    <t>4. Ghamshad Kapri(Bangladesh) - 2000</t>
  </si>
  <si>
    <t>4. Arslan Ali Shani(Qatar) - 30000</t>
  </si>
  <si>
    <t>4. Ahsan Siddiqui(Bangladesh) - 55000</t>
  </si>
  <si>
    <t>4. Ashfiya Nijhum (Qatar) - 26000</t>
  </si>
  <si>
    <t>4. Abdul Haseeb Siddiqui(Qatar) - 2000</t>
  </si>
  <si>
    <t>5. Waqas Mughal(Bangladesh) - 2000</t>
  </si>
  <si>
    <t>5. Umar Abbas(Pakistan) - 85000</t>
  </si>
  <si>
    <t>5. Abrar Ali(Australia)  - 40000</t>
  </si>
  <si>
    <t>5. Jalal Jalu(Pakistan) - 26000</t>
  </si>
  <si>
    <t>5. Ali Azhar(Bangladesh) - 12000</t>
  </si>
  <si>
    <t>5. Farhan Mallick(Bangladesh) - 90000</t>
  </si>
  <si>
    <t>5. Manan Irfan(Bangladesh) - 30000</t>
  </si>
  <si>
    <t>5. Veer Gupta(Qatar) - 2000</t>
  </si>
  <si>
    <t>6. Shamroz(Pakistan) - 50000</t>
  </si>
  <si>
    <t>6. Muhammad Noor (Australia) - 30000</t>
  </si>
  <si>
    <t>6. Harsh Dubey (Australia)  - 4000</t>
  </si>
  <si>
    <t>6. Muhammad Ahmed(Pakistan) - 27000</t>
  </si>
  <si>
    <t>6. Talha(Pakistan) - 135000</t>
  </si>
  <si>
    <t>6. Ganesh Chunduru(Pakistan) - 65000</t>
  </si>
  <si>
    <t>6. Partha Pratim(Bangladesh) - 2000</t>
  </si>
  <si>
    <t>6. Abhishek Adhikary(Bangladesh) - 2000</t>
  </si>
  <si>
    <t>7. Rahul Gadia(Australia) - 14000</t>
  </si>
  <si>
    <t>7. Rizwan Mansoori (Australia) - 29000</t>
  </si>
  <si>
    <t>7. Keshav Shah (Australia)  - 13000</t>
  </si>
  <si>
    <t>7. Sk Haseeb Ali (Pakistan) - 65000</t>
  </si>
  <si>
    <t>7. Ashwini Verma (Australia)  - 2000</t>
  </si>
  <si>
    <t>7. Malik Zubair (Australia)  - 130000</t>
  </si>
  <si>
    <t>7. Aaiz Khan(Pakistan) - 26000</t>
  </si>
  <si>
    <t>7. Bhargab Kashyap(Bangladesh) - 95000</t>
  </si>
  <si>
    <t>8. Arnab Sarkar(Australia) - 20000</t>
  </si>
  <si>
    <t>8. Donald Baghwar(South Africa) - 85000</t>
  </si>
  <si>
    <t>8. Bhavin Kumar (South Africa) - 60000</t>
  </si>
  <si>
    <t>8. Chiranjibi Samal(Australia)  - 70000</t>
  </si>
  <si>
    <t>8. Damith Nandana (Srilanka) - 30000</t>
  </si>
  <si>
    <t>8. Kebin Matthew (Scotland) - 12000</t>
  </si>
  <si>
    <t>8. Sidra (Pakistan) - 60000</t>
  </si>
  <si>
    <t>8. Ishita (Bangladesh) - 25000</t>
  </si>
  <si>
    <t>9. Shajahan(South Africa) - 2000</t>
  </si>
  <si>
    <t>9. Bimal Baral (Netherlands) - 2000</t>
  </si>
  <si>
    <t>9. K Rakesh(South Africa) - 75000</t>
  </si>
  <si>
    <t>9. Muhammad Shahzad (Australia)  - 2000</t>
  </si>
  <si>
    <t>9. Thilanga Dumindu (Srilanka) - 30000</t>
  </si>
  <si>
    <t>9. Shukoor (Scotland) - 20000</t>
  </si>
  <si>
    <t>9. Anand Ajikumar (Australia)  - 40000</t>
  </si>
  <si>
    <t>9. Princhi Bora (Bangladesh) - 95000</t>
  </si>
  <si>
    <t>10. Abhinand (Scotland) - 2000</t>
  </si>
  <si>
    <t>10. Marami Ahmed (Netherlands) - 45000</t>
  </si>
  <si>
    <t>10. Kaushik Kalita(South Africa) - 60000</t>
  </si>
  <si>
    <t>10. Umar Khan (Australia)  - 125000</t>
  </si>
  <si>
    <t>10. Ajmal Sunaif (West Indies) - 4000</t>
  </si>
  <si>
    <t>10. Hansana De Silva (Srilanka) - 2000</t>
  </si>
  <si>
    <t>10. Anurag Raj (Australia)  - 2000</t>
  </si>
  <si>
    <t>10. Tanusri (Bangladesh) - 95000</t>
  </si>
  <si>
    <t>11. Ansar (Scotland) - 14000</t>
  </si>
  <si>
    <t>11. Abhishek Vava (West Indies) - 2000</t>
  </si>
  <si>
    <t>11. Rahul Mahapatra(South Africa) - 20000</t>
  </si>
  <si>
    <t>11. Zeeshan Yaqoob Gujjar (Australia)  - 130000</t>
  </si>
  <si>
    <t>11. Ananthu Mohan (West Indies) - 2000</t>
  </si>
  <si>
    <t>11. Hasindu Rashminda (Srilanka) - 2000</t>
  </si>
  <si>
    <t>11. Manish Indoria (Australia)  - 6000</t>
  </si>
  <si>
    <t>11. Rakshith Shetty(South Africa) - 30000</t>
  </si>
  <si>
    <t>12. Arjun Raj (Scotland) - 45000</t>
  </si>
  <si>
    <t>12. Ananthu RG (West Indies) - 2000</t>
  </si>
  <si>
    <t>12. Shiva Teja (South Africa) - 90000</t>
  </si>
  <si>
    <t>12. Ajay Kumar Sajeev (Scotland) - 30000</t>
  </si>
  <si>
    <t>12. Hafizul Sk (USA) - 30000</t>
  </si>
  <si>
    <t>12. Kosala Jayasinghe (Srilanka) - 35000</t>
  </si>
  <si>
    <t>12. Bhavesh B(South Africa) - 80000</t>
  </si>
  <si>
    <t>12. Hashir (Scotland) - 2000</t>
  </si>
  <si>
    <t>13. Ashiqui Ashi (Scotland) - 90000</t>
  </si>
  <si>
    <t>13. Arjun S Kumar (West Indies) - 2000</t>
  </si>
  <si>
    <t>13. Adarsh (Scotland) - 17000</t>
  </si>
  <si>
    <t>13. Sufaid (Scotland) - 2000</t>
  </si>
  <si>
    <t>13. Mohsin Lathif (USA) - 90000</t>
  </si>
  <si>
    <t>13. Miraj Cool (Srilanka) - 27000</t>
  </si>
  <si>
    <t>13. Sakesth Balne(South Africa) - 50000</t>
  </si>
  <si>
    <t>13. jishnu DQ (Scotland) - 45000</t>
  </si>
  <si>
    <t>14. Hari (Scotland) - 25000</t>
  </si>
  <si>
    <t>14. Bibin Benny (West Indies) - 2000</t>
  </si>
  <si>
    <t>14. Rahul Sharma (Netherlands) - 2000</t>
  </si>
  <si>
    <t>14. Fijin Johnson (USA) - 7000</t>
  </si>
  <si>
    <t>14. Talha Saeed Gujjar (USA) - 75000</t>
  </si>
  <si>
    <t>14. Abhilash PA (West Indies) - 4000</t>
  </si>
  <si>
    <t>14. Srinidhi K (South Africa) - 85000</t>
  </si>
  <si>
    <t>14. Febin (USA) - 70000</t>
  </si>
  <si>
    <t>15. Irshad Bekal (Scotland) - 90000</t>
  </si>
  <si>
    <t>15. Tejasvin Av(Newzealand) - 21000</t>
  </si>
  <si>
    <t>15. Ruwanga B (Srilanka) - 18000</t>
  </si>
  <si>
    <t>15. Rao Abul (USA) - 45000</t>
  </si>
  <si>
    <t>15. Vignesh Das (USA) - 3000</t>
  </si>
  <si>
    <t>15. Kishore Gowda (Newzealand) - 65000</t>
  </si>
  <si>
    <t>15. Blesson Devassi (Scotland) - 11000</t>
  </si>
  <si>
    <t>15. Guarav Mittal (USA) - 60000</t>
  </si>
  <si>
    <t>16. Rasith Wijethunga (Srilanka) - 14000</t>
  </si>
  <si>
    <t>16. Rohan Singh Rathore(USA) - 65000</t>
  </si>
  <si>
    <t>16. Ashwin Thomas (West Indies) - 2000</t>
  </si>
  <si>
    <t>16. Talal Choudary(Ireland) - 15000</t>
  </si>
  <si>
    <t>16. Shuhaib (Italy) - 9000</t>
  </si>
  <si>
    <t>16. Afaq Warriach (USA) - 5000</t>
  </si>
  <si>
    <t>16. Nirmal Baishya (Netherlands) - 4000</t>
  </si>
  <si>
    <t>16. Mubhashir Khan (USA) - 30000</t>
  </si>
  <si>
    <t>17. Jinson (Italy) - 35000</t>
  </si>
  <si>
    <t>17. Anandhu (Italy) - 2000</t>
  </si>
  <si>
    <t>17. Sreeraj R Kaimal (West Indies) - 2000</t>
  </si>
  <si>
    <t>17. Furqan (PNG) - 2000</t>
  </si>
  <si>
    <t>17. Akshay Dileep (Ireland) - 2000</t>
  </si>
  <si>
    <t>17. Khatu Jeswani (USA) - 2000</t>
  </si>
  <si>
    <t>17. Sasith Jayawardane (Srilanka) - 2000</t>
  </si>
  <si>
    <t>17. Kalesh (PNG) - 2000</t>
  </si>
  <si>
    <t>18. Ali Abbas Bangesh(Ireland) - 30000</t>
  </si>
  <si>
    <t>18. Sammar (Ireland) - 17000</t>
  </si>
  <si>
    <t>18. Moiz Gujjar (USA) - 22000</t>
  </si>
  <si>
    <t>18. Ishaq Ahmed(PNG) - 8000</t>
  </si>
  <si>
    <t>18. Rahim Ullah (Ireland) - 4000</t>
  </si>
  <si>
    <t>18. Suleman Haider(USA) - 14000</t>
  </si>
  <si>
    <t>18. Sterin Joseph (West Indies) - 2000</t>
  </si>
  <si>
    <t>18. Allahbux Kapri(Bangladesh) - 3000</t>
  </si>
  <si>
    <t>19. Sebin(UAE) - 27000</t>
  </si>
  <si>
    <t>19. Zain Gujjar (Ireland) - 2000</t>
  </si>
  <si>
    <t>19. Akhil (Italy) - 2000</t>
  </si>
  <si>
    <t>19. Blessy(Canada) - 6000</t>
  </si>
  <si>
    <t>19. Sayed Babu(PNG) - 9000</t>
  </si>
  <si>
    <t>19. George (India) - 3000</t>
  </si>
  <si>
    <t>19. Toby Joseph (Newzealand) - 100000</t>
  </si>
  <si>
    <t>19. Jyothish S(England) - 18000</t>
  </si>
  <si>
    <t>20. Midlaj(Uganda) - 2000</t>
  </si>
  <si>
    <t>20. Naveen Gupta(Canada) - 15000</t>
  </si>
  <si>
    <t>20. Vishnu CV (Italy) - 40000</t>
  </si>
  <si>
    <t>20. Rahul Seenu (India) - 26000</t>
  </si>
  <si>
    <t>20. Aman Raj Singh(PNG) 125000</t>
  </si>
  <si>
    <t>20. Arjun Akj(England) - 7000</t>
  </si>
  <si>
    <t>20. Zamam Usmani (USA) - 45000</t>
  </si>
  <si>
    <t>20. Jafnis(UAE) - 20000</t>
  </si>
  <si>
    <t>Lusail Knights vs Al Khor Predators</t>
  </si>
  <si>
    <t>Lusail</t>
  </si>
  <si>
    <t>Lusail Knights</t>
  </si>
  <si>
    <t>Muhammad Touqeer(Lusail Knights)</t>
  </si>
  <si>
    <t>Irshad Bekal(Al Khor Predators)</t>
  </si>
  <si>
    <t>Shajahan(Al Khor Predators)</t>
  </si>
  <si>
    <t>Al Rayyan Raiders vs Doha Stallions</t>
  </si>
  <si>
    <t>Doha</t>
  </si>
  <si>
    <t>Doha Stallions</t>
  </si>
  <si>
    <t>Mudasir Zaffar</t>
  </si>
  <si>
    <t>Muhammad Shahzad(Doha Stallions)</t>
  </si>
  <si>
    <t>Umar Abbas (Al Rayyan Raiders)</t>
  </si>
  <si>
    <t>Jalal Jalu (Doha Stallions)</t>
  </si>
  <si>
    <t>Mesaeid Blaze vs Qatar Venoms</t>
  </si>
  <si>
    <t>West End</t>
  </si>
  <si>
    <t>Sai Naveen Chowdary(Qatar Venoms)</t>
  </si>
  <si>
    <t>Mudasir Ali(Qatar Venoms)</t>
  </si>
  <si>
    <t>Al Wakrah Dukes vs UMM Salal Spartans</t>
  </si>
  <si>
    <t>Al Wakrah Dukes</t>
  </si>
  <si>
    <t>Ruwanga (Al Wakrah Dukes)</t>
  </si>
  <si>
    <t>Shiva Teja (Al Wakrah Dukes)</t>
  </si>
  <si>
    <t>Al Rayyan Raiders vs Al Khor Predators</t>
  </si>
  <si>
    <t>Al Khor Predators</t>
  </si>
  <si>
    <t>Ans Sheikh(Al Khor Predators)</t>
  </si>
  <si>
    <t>Doha Stallions vs Lusail Knights</t>
  </si>
  <si>
    <t>Muzammil Zaffar (Doha Stallions)</t>
  </si>
  <si>
    <t>Hafizul Sk(Lusail Knights)</t>
  </si>
  <si>
    <t>Al Wakrah Dukes vs Mesaeid Blaze</t>
  </si>
  <si>
    <t>Keshav Shah(Al Wakrah Dukes)</t>
  </si>
  <si>
    <t>Sreeraj R Kaimal(Al Wakrah Dukes)</t>
  </si>
  <si>
    <t>Ganesh Chunduru(Mesaeid Blaze)</t>
  </si>
  <si>
    <t>Qatar Venoms vs UMM Salal Spartans</t>
  </si>
  <si>
    <t>Tied</t>
  </si>
  <si>
    <t>Mubashir Khan(UMM Salal Spartans)</t>
  </si>
  <si>
    <t>Lusail Knights vs Al Rayyan Raiders</t>
  </si>
  <si>
    <t>Huzaifa Imran(Lusail Knights)</t>
  </si>
  <si>
    <t>Mohammad Talha(Lusail Knights)</t>
  </si>
  <si>
    <t>Al Khor Predators vs Doha Stallions</t>
  </si>
  <si>
    <t>Arnab Sarkar(Al Khor Predators)</t>
  </si>
  <si>
    <t>Al Wakrah Dukes vs Qatar Venoms</t>
  </si>
  <si>
    <t>Toby Joseph(Qatar Venoms)</t>
  </si>
  <si>
    <t>UMM Salal Spartans vs Mesaeid Blaze</t>
  </si>
  <si>
    <t>Mesaeid Blaze</t>
  </si>
  <si>
    <t>Waleed Khan(Mesaeid Blaze)</t>
  </si>
  <si>
    <t>Suleman Haider(Mesaeid Blaze)</t>
  </si>
  <si>
    <t>Al Khor Predators vs Lusail Knights</t>
  </si>
  <si>
    <t>Hari M (Al Khor Predators)</t>
  </si>
  <si>
    <t>Al Rayyan Raiders</t>
  </si>
  <si>
    <t>Rohan Singh (Al Rayyan Raiders)</t>
  </si>
  <si>
    <t>Zeeshan Yaqoob(Doha Stallions)</t>
  </si>
  <si>
    <t>Hizbullah Sahito(Doha Stallions)</t>
  </si>
  <si>
    <t>Sasith Jayawardane (Qatar Venoms)</t>
  </si>
  <si>
    <t>UMM Salal Spartans</t>
  </si>
  <si>
    <t>Syed Raza (UMM Salal Spartans)</t>
  </si>
  <si>
    <t>K Rakesh(Al Wakrah Dukes)</t>
  </si>
  <si>
    <t>Abdul Muqeeth(Al Rayyan Raiders)</t>
  </si>
  <si>
    <t>Georgekutty (Mesaeid Blaze)</t>
  </si>
  <si>
    <t>UMM Salal Spartans vs Qatar Venoms</t>
  </si>
  <si>
    <t>K Srinidhi(Qatar Venoms)</t>
  </si>
  <si>
    <t>Aaiz Khan(Qatar Venoms)</t>
  </si>
  <si>
    <t>Hafizul SK(Lusail Knights)</t>
  </si>
  <si>
    <t>Thilanga Dumindu(Lusail Knights)</t>
  </si>
  <si>
    <t>Ghamshad Kapri(Doha Stallions)</t>
  </si>
  <si>
    <t>Ali Abbas Bangash(Al Khor Predators)</t>
  </si>
  <si>
    <t>Adithya Mahajan(Al Wakrah Dukes)</t>
  </si>
  <si>
    <t>Sterin Joseph(Qatar Venoms)</t>
  </si>
  <si>
    <t>Mesaeid Blaze vs UMM Salal Spartans</t>
  </si>
  <si>
    <t>Kebin (Mesaeid Blaze)</t>
  </si>
  <si>
    <t>Hashir (UMM Salal Spartans)</t>
  </si>
  <si>
    <t>Qualifier 1: Doha Stallions vs Mesaeid Blaze</t>
  </si>
  <si>
    <t>Qualifier 2: Al Wakrah Dukes vs Lusail Knights</t>
  </si>
  <si>
    <t>Kaushik Kalita(Al Wakrah Dukes)</t>
  </si>
  <si>
    <t>Semifinal 1: Al Khor Predators vs Mesaeid Blaze</t>
  </si>
  <si>
    <t>Rasith Wijethunga (Al Khor Predators)</t>
  </si>
  <si>
    <t>Ans Sheikh (Al Khor Predators)</t>
  </si>
  <si>
    <t>Semifinal 2: Al Wakrah Dukes vs Qatar Venoms</t>
  </si>
  <si>
    <t>Saketh Balne (Qatar Venoms)</t>
  </si>
  <si>
    <t>Srinidhi K (Qatar Venoms)</t>
  </si>
  <si>
    <t>Final: Al Khor Predators vs Qatar Venoms</t>
  </si>
  <si>
    <t>Toby Joseph (Qatar Venoms)</t>
  </si>
  <si>
    <t>IOCF Qatar Elite Cricket League 2026 AWARDS</t>
  </si>
  <si>
    <t>Huzaifa Imran</t>
  </si>
  <si>
    <t>Sai Naveen &amp; Arnab Sarkar</t>
  </si>
  <si>
    <t>Qatar Venoms &amp; Al Khor Predators</t>
  </si>
  <si>
    <t>Bangladesh &amp; Australia</t>
  </si>
  <si>
    <t>Champions League All Squads</t>
  </si>
  <si>
    <t>The Hundred Champions(England)</t>
  </si>
  <si>
    <t>Pakistan Super League Champions(Pakistan)</t>
  </si>
  <si>
    <t>Big Bash League Champions(Australia)</t>
  </si>
  <si>
    <t>Kiwi Crown League Champions(Newzealand)</t>
  </si>
  <si>
    <t>Indian Premier League Champions(India)</t>
  </si>
  <si>
    <t>Caribbean Premier League Champions(West Indies)</t>
  </si>
  <si>
    <t>Scottish Premier League Champions(Scotland)</t>
  </si>
  <si>
    <t>Qatar Elite Cricket League Champions(Qatar)</t>
  </si>
  <si>
    <t>1. Aniket Gavit (Captain) - Newzealand</t>
  </si>
  <si>
    <t>1. Muhammad Usman (Captain) - Pakistan</t>
  </si>
  <si>
    <t>1. Arnab Sarkar (Captain) - Australia</t>
  </si>
  <si>
    <t>1. Gautam Shankara Ram (Captain) - Newzealand</t>
  </si>
  <si>
    <t>1. Shivaji Prakash (Captain) - India</t>
  </si>
  <si>
    <t>1. Arjun Raj (Captain) - Scotland</t>
  </si>
  <si>
    <t>1. Abhinand B (Captain) - Scotland</t>
  </si>
  <si>
    <t>1. Ebad Malik (Captain) - Qatar</t>
  </si>
  <si>
    <t>2. Sujith CS Ctr (Marquee) - England</t>
  </si>
  <si>
    <t>2. Ayaan Sheikh (Marquee) - Pakistan</t>
  </si>
  <si>
    <t>2. Anand Ajk (Marquee) - Australia</t>
  </si>
  <si>
    <t>2. Tukaram Parabat (Marquee) - Newzealand</t>
  </si>
  <si>
    <t>2. Arnab Sarkar (Marquee) - Australia</t>
  </si>
  <si>
    <t>2. Midhun Manilal (Marquee) - West Indies</t>
  </si>
  <si>
    <t>2. Shafi Chappy (Marquee) - Scotland</t>
  </si>
  <si>
    <t>2. Mudasir Ali (Marquee) - Qatar</t>
  </si>
  <si>
    <t>3. Rashid - England</t>
  </si>
  <si>
    <t>3. Wafa Baloch - Pakistan</t>
  </si>
  <si>
    <t>3. Yasin Iqbal - Bangladesh</t>
  </si>
  <si>
    <t>3. Sai Naveen - Bangladesh</t>
  </si>
  <si>
    <t>3. Kebin - Scotland</t>
  </si>
  <si>
    <t>3. Vipin R - West Indies</t>
  </si>
  <si>
    <t>3. Huzain - Scotland</t>
  </si>
  <si>
    <t>4. Sadik - No Board</t>
  </si>
  <si>
    <t>4. Anas Asim - Spain</t>
  </si>
  <si>
    <t>4. Lal Krishna - Italy</t>
  </si>
  <si>
    <t>4. Vishnu Vijay - Italy</t>
  </si>
  <si>
    <t>4. Rahul Gadia - Australia</t>
  </si>
  <si>
    <t>4. Falah - West Indies</t>
  </si>
  <si>
    <t>4. Ajay Kumar - Scotland</t>
  </si>
  <si>
    <t>4. Ashfiya Nijhum - Qatar</t>
  </si>
  <si>
    <t>5. Arnab Sarkar - Australia</t>
  </si>
  <si>
    <t>5. Ahmed Mahsoof - Japan</t>
  </si>
  <si>
    <t>5. Ashwini Verma - Australia</t>
  </si>
  <si>
    <t>5. Aneesh - West Indies</t>
  </si>
  <si>
    <t>5. Abrar Ali - Australia</t>
  </si>
  <si>
    <t>5. Frijo - West Indies</t>
  </si>
  <si>
    <t>5. Dingan - Scotland</t>
  </si>
  <si>
    <t>5. Manan Irfan - Bangladesh</t>
  </si>
  <si>
    <t>6. Srajan Poojary - Newzealand</t>
  </si>
  <si>
    <t>6. Mian Bilal - Pakistan</t>
  </si>
  <si>
    <t>6. Aashiqui Ashi - Scotland</t>
  </si>
  <si>
    <t>6. Ruwanga - Srilanka</t>
  </si>
  <si>
    <t>6. Ashwini Verma - Australia</t>
  </si>
  <si>
    <t>6. Anish Babu - West Indies</t>
  </si>
  <si>
    <t>6. Ganesh Chunduru - Pakistan</t>
  </si>
  <si>
    <t>6. Partha Pratim - Bangladesh</t>
  </si>
  <si>
    <t>7. Keshav Shah - Australia</t>
  </si>
  <si>
    <t>7. Subaida Subi - Italy</t>
  </si>
  <si>
    <t>7. Thebseer - Scotland</t>
  </si>
  <si>
    <t>7. Kosala - Srilanka</t>
  </si>
  <si>
    <t>7. Muhammad Noor - Australia</t>
  </si>
  <si>
    <t>7. Kaushik Kalita - Bangladesh</t>
  </si>
  <si>
    <t>7. Hizbullah Sahito - Pakistan</t>
  </si>
  <si>
    <t>7. Aaiz Khan - Pakistan</t>
  </si>
  <si>
    <t>8. Gautam Shankara Ram - Newzealand</t>
  </si>
  <si>
    <t>8. Kiran Nath - Netherlands</t>
  </si>
  <si>
    <t>8. Shaheen - Scotland</t>
  </si>
  <si>
    <t>8. Hansana - Srilanka</t>
  </si>
  <si>
    <t>8. Zeeshan Yaqoob Gujjar - Australia</t>
  </si>
  <si>
    <t>8. Shibasis - Newzealand</t>
  </si>
  <si>
    <t>8. Ajmal Sunaif - West Indies</t>
  </si>
  <si>
    <t>8. Sidra - Pakistan</t>
  </si>
  <si>
    <t>9. Ameen - West Indies</t>
  </si>
  <si>
    <t>9. Marami Ahmed - Netherlands</t>
  </si>
  <si>
    <t>9. Salimax - Scotland</t>
  </si>
  <si>
    <t>9. Binara - Srilanka</t>
  </si>
  <si>
    <t>9. Anand Ajikumar - Australia</t>
  </si>
  <si>
    <t>9. Ganesh Chunduru - Pakistan</t>
  </si>
  <si>
    <t>9. Hadi Diyoof - West Indies</t>
  </si>
  <si>
    <t>10. Malik Zubair - Australia</t>
  </si>
  <si>
    <t>10. Debajit - Netherlands</t>
  </si>
  <si>
    <t>10. Asthu - Scotland</t>
  </si>
  <si>
    <t>10. Adithya Mahajan - South Africa</t>
  </si>
  <si>
    <t>10. Shajahan - South Africa</t>
  </si>
  <si>
    <t>10. Amith - West Indies</t>
  </si>
  <si>
    <t>10. Falah - West Indies</t>
  </si>
  <si>
    <t>10. Anurag Raj - Australia</t>
  </si>
  <si>
    <t>11. Chiranjibi Samal - Australia</t>
  </si>
  <si>
    <t>11. Miraj Cool - Srilanka</t>
  </si>
  <si>
    <t>11. Ahsan Siddique - Bangladesh</t>
  </si>
  <si>
    <t>11. Umar Khan - Afghanistan</t>
  </si>
  <si>
    <t>11. Aash Muhammad - England</t>
  </si>
  <si>
    <t>11. Ashiqui Ashi - Scotland</t>
  </si>
  <si>
    <t>11. Bibin Benny - West Indies</t>
  </si>
  <si>
    <t>11. Manish Indoria - Australia</t>
  </si>
  <si>
    <t>12. Abrar Ali - Australia</t>
  </si>
  <si>
    <t>12. Karthik Devadiga - Newzealand</t>
  </si>
  <si>
    <t>12. Ghamshad - Spain</t>
  </si>
  <si>
    <t>12. Rizwan Mansoori - Australia</t>
  </si>
  <si>
    <t>12. Sri Vishnu - England</t>
  </si>
  <si>
    <t>12. Asthu - Scotland</t>
  </si>
  <si>
    <t>12. Nihal Maxi - West Indies</t>
  </si>
  <si>
    <t>12. Bhavesh B - South Africa</t>
  </si>
  <si>
    <t>13. Sidharth - Bangladesh</t>
  </si>
  <si>
    <t>13. Damith Nandana - Srilanka</t>
  </si>
  <si>
    <t>13. Sajjad Kapri - Canada</t>
  </si>
  <si>
    <t>13. Anurag Raj - Australia</t>
  </si>
  <si>
    <t>13. Ashwin Thomas - West Indies</t>
  </si>
  <si>
    <t>13. Blesson - Scotland</t>
  </si>
  <si>
    <t>13. Arjun Raj - Scotland</t>
  </si>
  <si>
    <t>13. Sakesth Balne - South Africa</t>
  </si>
  <si>
    <t>14. Hasan Musabbir - Newzealand</t>
  </si>
  <si>
    <t>14. Hirak Jyoti - Netherlands</t>
  </si>
  <si>
    <t>14. Rahees - England</t>
  </si>
  <si>
    <t>14. Bhavin Kumar - South Africa</t>
  </si>
  <si>
    <t>14. Rahul Suresh - West Indies</t>
  </si>
  <si>
    <t>14. Chappy - Scotland</t>
  </si>
  <si>
    <t>14. Srinidhi K - South Africa</t>
  </si>
  <si>
    <t>15. Ahsan Siddique - Bangladesh</t>
  </si>
  <si>
    <t>15. Rajab Baloch - Bangladesh</t>
  </si>
  <si>
    <t>15. Nasrullah Kapri - Pakistan</t>
  </si>
  <si>
    <t>15. Kannan - West Indies</t>
  </si>
  <si>
    <t>15. Hizbullah Sahito - Pakistan</t>
  </si>
  <si>
    <t>15. Hari - Scotland</t>
  </si>
  <si>
    <t>15. Mowgle - India</t>
  </si>
  <si>
    <t>15. Blesson Devassi - Scotland</t>
  </si>
  <si>
    <t>16. Ans Sheikh - Qatar</t>
  </si>
  <si>
    <t>16. Saad Rizwan - Qatar</t>
  </si>
  <si>
    <t>16. Masrifa Munni - Pakistan</t>
  </si>
  <si>
    <t>16. Bibin Benny - West Indies</t>
  </si>
  <si>
    <t>16. Aaiz Khan - Pakistan</t>
  </si>
  <si>
    <t>16. Irshad - Scotland</t>
  </si>
  <si>
    <t>16. Gautam Shankara Ram - Newzealand</t>
  </si>
  <si>
    <t>16. Nirmal Baishya - Netherlands</t>
  </si>
  <si>
    <t>17. Rasith Wijethunga - Srilanka</t>
  </si>
  <si>
    <t>17. Vishnu CV - Italy</t>
  </si>
  <si>
    <t>17. Ashwin Thomas - West Indies</t>
  </si>
  <si>
    <t>17. Ans Sheikh - Qatar</t>
  </si>
  <si>
    <t>17. Sufaid - Scotland</t>
  </si>
  <si>
    <t>17. Hasan Musabbir - Newzealand</t>
  </si>
  <si>
    <t>17. Sasith Jayawardane - Sri Lanka</t>
  </si>
  <si>
    <t>18. Harish Byndoor - India</t>
  </si>
  <si>
    <t>18. Kannan - West Indies</t>
  </si>
  <si>
    <t>18. Muhammad Touqeer - Spain</t>
  </si>
  <si>
    <t>18. Rao Abul - USA</t>
  </si>
  <si>
    <t>18. Damitha Naranpawana - Srilanka</t>
  </si>
  <si>
    <t>18. Mahesh Margol - Newzealand</t>
  </si>
  <si>
    <t>18. Sterin Joseph - West Indies</t>
  </si>
  <si>
    <t>19. Wajdan - Pakistan</t>
  </si>
  <si>
    <t>19. Harish Byndoor - India</t>
  </si>
  <si>
    <t>19. Toby Joseph - New Zealand</t>
  </si>
  <si>
    <t>20. Adithya Mahajan - South Africa</t>
  </si>
  <si>
    <t>20. Rakshith Shetty - South Africa</t>
  </si>
  <si>
    <t>20. Zamam Usmani - South Africa</t>
  </si>
  <si>
    <t>21. Abhishek Anil - Italy</t>
  </si>
  <si>
    <t>Champions League All Confirmed Squads</t>
  </si>
  <si>
    <t>1. Ayaan Sheikh (Captain) - Pakistan</t>
  </si>
  <si>
    <t>2. Muhammad Usman - Pakistan</t>
  </si>
  <si>
    <t>2. Kebin - Scotland</t>
  </si>
  <si>
    <t>2. Midhun Manilal - West Indies</t>
  </si>
  <si>
    <t>3. Anas Asim - Spain</t>
  </si>
  <si>
    <t>3. Vishnu Vijay - Italy</t>
  </si>
  <si>
    <t>3. Rahul Gadia - Australia</t>
  </si>
  <si>
    <t>3. Falah - West Indies</t>
  </si>
  <si>
    <t>4. Srajan Poojary - Newzealand</t>
  </si>
  <si>
    <t>4. Ahmed Mahsoof - Japan</t>
  </si>
  <si>
    <t>4. Ruwanga - Srilanka</t>
  </si>
  <si>
    <t>4. Ashwini Verma - Australia</t>
  </si>
  <si>
    <t>4. Frijo - West Indies</t>
  </si>
  <si>
    <t>4. Manan Irfan - Bangladesh</t>
  </si>
  <si>
    <t>5. Keshav Shah - Australia</t>
  </si>
  <si>
    <t>5. Mian Bilal - Pakistan</t>
  </si>
  <si>
    <t>5. Aashiqui Ashi - Scotland</t>
  </si>
  <si>
    <t>5. Kosala - Srilanka</t>
  </si>
  <si>
    <t>5. Muhammad Noor - Australia</t>
  </si>
  <si>
    <t>5. Anish Babu - West Indies</t>
  </si>
  <si>
    <t>5. Partha Pratim - Bangladesh</t>
  </si>
  <si>
    <t>6. Chiranjibi Samal - Australia</t>
  </si>
  <si>
    <t>6. Subaida Subi - Italy</t>
  </si>
  <si>
    <t>6. Thebseer - Scotland</t>
  </si>
  <si>
    <t>6. Binara - Srilanka</t>
  </si>
  <si>
    <t>6. Zeeshan Yaqoob Gujjar - Australia</t>
  </si>
  <si>
    <t>6. Kaushik Kalita - Bangladesh</t>
  </si>
  <si>
    <t>6. Aaiz Khan - Pakistan</t>
  </si>
  <si>
    <t>7. Abrar Ali - Australia</t>
  </si>
  <si>
    <t>7. Kiran Nath - Netherlands</t>
  </si>
  <si>
    <t>7. Salimax - Scotland</t>
  </si>
  <si>
    <t>7. Umar Khan - Afghanistan</t>
  </si>
  <si>
    <t>7. Shajahan - South Africa</t>
  </si>
  <si>
    <t>7. Shibasis - Newzealand</t>
  </si>
  <si>
    <t>7. Sidra - Pakistan</t>
  </si>
  <si>
    <t>8. Sidharth - Bangladesh</t>
  </si>
  <si>
    <t>8. Marami Ahmed - Netherlands</t>
  </si>
  <si>
    <t>8. Rizwan Mansoori - Australia</t>
  </si>
  <si>
    <t>8. Aash Muhammad - England</t>
  </si>
  <si>
    <t>8. Amith - West Indies</t>
  </si>
  <si>
    <t>8. Manish Indoria - Australia</t>
  </si>
  <si>
    <t>9. Hasan Musabbir - Newzealand</t>
  </si>
  <si>
    <t>9. Debajit - Netherlands</t>
  </si>
  <si>
    <t>9. Asthu - Scotland</t>
  </si>
  <si>
    <t>9. Anurag Raj - Australia</t>
  </si>
  <si>
    <t>9. Sri Vishnu - England</t>
  </si>
  <si>
    <t>9. Chappy - Scotland</t>
  </si>
  <si>
    <t>9. Bhavesh B - South Africa</t>
  </si>
  <si>
    <t>10. Ahsan Siddique - Bangladesh</t>
  </si>
  <si>
    <t>10. Miraj Cool - Srilanka</t>
  </si>
  <si>
    <t>10. Ghamshad - Spain</t>
  </si>
  <si>
    <t>10. Bhavin Kumar - South Africa</t>
  </si>
  <si>
    <t>10. Hizbullah Sahito - Pakistan</t>
  </si>
  <si>
    <t>10. Hari - Scotland</t>
  </si>
  <si>
    <t>10. Sakesth Balne - South Africa</t>
  </si>
  <si>
    <t>11. Rasith Wijethunga - Srilanka</t>
  </si>
  <si>
    <t>11. Hirak Jyoti - Netherlands</t>
  </si>
  <si>
    <t>11. Sajjad Kapri - Canada</t>
  </si>
  <si>
    <t>11. Ans Sheikh - Qatar</t>
  </si>
  <si>
    <t>11. Irshad - Scotland</t>
  </si>
  <si>
    <t>11. Srinidhi K - South Africa</t>
  </si>
  <si>
    <t>12. Raja Zain Kashmiri - USA</t>
  </si>
  <si>
    <t>12. Saad Rizwan - Qatar</t>
  </si>
  <si>
    <t>12. Rahees - England</t>
  </si>
  <si>
    <t>12. Tejasvin Av - Newzealand</t>
  </si>
  <si>
    <t>12. Rao Abul - USA</t>
  </si>
  <si>
    <t>12. Sufaid - Scotland</t>
  </si>
  <si>
    <t>12. Blesson Devassi - Scotland</t>
  </si>
  <si>
    <t>13. Hafizul SK - USA</t>
  </si>
  <si>
    <t>13. Vishnu CV - Italy</t>
  </si>
  <si>
    <t>13. Nasrullah Kapri - Pakistan</t>
  </si>
  <si>
    <t>13. Hrushikesh HD - Newzealand</t>
  </si>
  <si>
    <t>13. Rahul Suresh - Rajasthan Royals</t>
  </si>
  <si>
    <t>13. Damitha Naranpawana - Srilanka</t>
  </si>
  <si>
    <t>13. Nirmal Baishya - Netherlands</t>
  </si>
  <si>
    <t>14. Aman Raj Singh - Papua New Guinea</t>
  </si>
  <si>
    <t>14. Kannan - West Indies</t>
  </si>
  <si>
    <t>14. Ashwin Thomas - West Indies</t>
  </si>
  <si>
    <t>14. Furqan Rasheed - Spain</t>
  </si>
  <si>
    <t>14. Payeez - Japan</t>
  </si>
  <si>
    <t>14. Sasith Jayawardane - Sri Lanka</t>
  </si>
  <si>
    <t>15. Talal Zahid Choudhary - Ireland</t>
  </si>
  <si>
    <t>15. Wajdan - Pakistan</t>
  </si>
  <si>
    <t>15. Muhammad Touqeer - Spain</t>
  </si>
  <si>
    <t>15. SK Haseeb Ali - Spain</t>
  </si>
  <si>
    <t>15. Seru Yuvi - Japan</t>
  </si>
  <si>
    <t>15. Sterin Joseph - West Indies</t>
  </si>
  <si>
    <t>16. Churami - Japan</t>
  </si>
  <si>
    <t>16. Adithya Mahajan - South Africa</t>
  </si>
  <si>
    <t>16. Malaram Patel - Australia</t>
  </si>
  <si>
    <t>16. Muhammad Talha - Spain</t>
  </si>
  <si>
    <t>16. Akhil Vijayan - Uganda</t>
  </si>
  <si>
    <t>16. Toby Joseph - New Zealand</t>
  </si>
  <si>
    <t>17. Naveen J - Papua New Guinea</t>
  </si>
  <si>
    <t>17. Talha Saeed Gujjar - USA</t>
  </si>
  <si>
    <t>17. Chintan Poojari - Australia</t>
  </si>
  <si>
    <t>17. Sammar Rehman - Ireland</t>
  </si>
  <si>
    <t>17. Abhilash PA - West Indies</t>
  </si>
  <si>
    <t>17. Zamam Usmani - South Africa</t>
  </si>
  <si>
    <t>18. Jabir Chockly - Papua New Guinea</t>
  </si>
  <si>
    <t>18. Mubhashir Khan - USA</t>
  </si>
  <si>
    <t>18. Harsh Dubey - USA</t>
  </si>
  <si>
    <t>18. Waleed Khan - Afghanistan</t>
  </si>
  <si>
    <t>18. Zuhair - Japan</t>
  </si>
  <si>
    <t>19. Diljith Das - England</t>
  </si>
  <si>
    <t>19. Umar Abbas - Pakistan</t>
  </si>
  <si>
    <t>19. Rohan Singh Rathore - USA</t>
  </si>
  <si>
    <t>19. Gokul G Nair - Uganda</t>
  </si>
  <si>
    <t>20. Sunaif - England</t>
  </si>
  <si>
    <t>20. Akshay Dileep - Ireland</t>
  </si>
  <si>
    <t>20. Jalal Jalu - Spain</t>
  </si>
  <si>
    <t>20. Abhishek - Ireland</t>
  </si>
  <si>
    <t xml:space="preserve">Official IOCF Board Ranking Systems </t>
  </si>
  <si>
    <t>Ranking System Calculation of Points</t>
  </si>
  <si>
    <t>Formats Available</t>
  </si>
  <si>
    <t>Match Performance</t>
  </si>
  <si>
    <t>Tournament Performance</t>
  </si>
  <si>
    <t>Wightage 60%</t>
  </si>
  <si>
    <t>Wightage 40%</t>
  </si>
  <si>
    <t>Club</t>
  </si>
  <si>
    <t>League score Formula= Win percentage * 6</t>
  </si>
  <si>
    <t>Major Tournament: Champion = 100 Points, Runner Up=50 Points</t>
  </si>
  <si>
    <t>Example: Matches Played=5, Matches Won=4, Win percentage 80%</t>
  </si>
  <si>
    <t>Minor Tournament: Champion = 50 Points, Runner Up=25 Points</t>
  </si>
  <si>
    <t>League Score : 80 * 6 = 480 Points</t>
  </si>
  <si>
    <t>Major Tournament Score Formula: (Champions * 100) + ( Runner up * 50)</t>
  </si>
  <si>
    <t>TEST</t>
  </si>
  <si>
    <t>Minor Tournament Score Formula: (Champions * 50) + ( Runner up * 25)</t>
  </si>
  <si>
    <t>Overall</t>
  </si>
  <si>
    <t>Final Tournament Score Formula = Major Tournament Score formula + Minor Tournament score Formula</t>
  </si>
  <si>
    <t>Example: Major Tournament Champions: 1 , Major Tournament Runner up: 1</t>
  </si>
  <si>
    <t>Tournament score: ( 1 * 100 ) + ( 1 * 70 ) = 170 points</t>
  </si>
  <si>
    <t>Final Ranking Calculation: League score + Tournament score = Final Ranking score</t>
  </si>
  <si>
    <t>Based on example: 480 points + 170 points = 650 Points</t>
  </si>
  <si>
    <t>T10 Ranking</t>
  </si>
  <si>
    <t>Matches Played</t>
  </si>
  <si>
    <t>Matches Won</t>
  </si>
  <si>
    <t>Champions/Runners up Details</t>
  </si>
  <si>
    <t>Winning Rate</t>
  </si>
  <si>
    <t>League Score</t>
  </si>
  <si>
    <t>Tournament Score</t>
  </si>
  <si>
    <t>NA</t>
  </si>
  <si>
    <t>T20 Ranking</t>
  </si>
  <si>
    <t>T20 World Cup Champions 2026 ( 100 )</t>
  </si>
  <si>
    <t>T20 World Cup Runners-up 2026 ( 70 )</t>
  </si>
  <si>
    <t>Club Ranking</t>
  </si>
  <si>
    <t>Emerging Talents League Runners Up 2026( 70 ) &amp; Lone Warrior Champion 2026 ( 50 )</t>
  </si>
  <si>
    <t>Emerging Talents League Champions 2026 ( 100 )</t>
  </si>
  <si>
    <t>Lone Warrior Runners up 2026 ( 25 )</t>
  </si>
  <si>
    <t>Women's Global League Runners Up 2026 (70)</t>
  </si>
  <si>
    <t>Women's Global League Champions 2026 (100)</t>
  </si>
  <si>
    <t>ODI Ranking</t>
  </si>
  <si>
    <t>Oceania Cup Champions 2026 (100)</t>
  </si>
  <si>
    <t>Euro Cup Champions 2026 (100)</t>
  </si>
  <si>
    <t>Asia Cup Runners up  2026 (70)</t>
  </si>
  <si>
    <t>Oceania Cup Runners up  2026 (70)</t>
  </si>
  <si>
    <t>ODI World Cup Runners Up 2026 (70)</t>
  </si>
  <si>
    <t>Asia Cup Champions 2026 (100)</t>
  </si>
  <si>
    <t>Euro Cup Runners up 2026 (70)</t>
  </si>
  <si>
    <t>ODI World Cup Champions 2026 (100)</t>
  </si>
  <si>
    <t>100 Balls Format Ranking</t>
  </si>
  <si>
    <t>Test Ranking</t>
  </si>
  <si>
    <t>Associate Nation Cup Runners-up 2026 (70)</t>
  </si>
  <si>
    <t>Associate Nation Cup Champions 2026 (100)</t>
  </si>
  <si>
    <t>Limited 4 Innings Ranking</t>
  </si>
  <si>
    <t>Overall Board Ranking</t>
  </si>
  <si>
    <t>T20 World Cup Champions 2026 ( 100 ) &amp; Emerging Talents League Champions 2026 ( 100 ), ODI World Cup Champions 2026 (100)</t>
  </si>
  <si>
    <t>T20 World Cup Runners-up 2026 ( 70 ), Emerging Talents League Runners Up 2026 ( 70 ) , Lone Warrior Champion 2026 ( 50 ) &amp; Euro Cup Champions 2026 (100)</t>
  </si>
  <si>
    <t>Euro Cup Runners up 2026 (70), Women's Global League Runners Up 2026 (70)</t>
  </si>
  <si>
    <t>Asia Cup Runners up  2026 (70), Women's Global League Champions 2026 (100)</t>
  </si>
  <si>
    <t>Chairman: Rahil Agarwal</t>
  </si>
  <si>
    <t>Credits left: 125700</t>
  </si>
  <si>
    <t>Stadium: -60000</t>
  </si>
  <si>
    <t>IOCF T20 WORLD CUP 🏆( No Participation): 20000</t>
  </si>
  <si>
    <t>International Series: 30000</t>
  </si>
  <si>
    <t>Umpires Credits : 23000</t>
  </si>
  <si>
    <t>1. Radheshyam Tripathi</t>
  </si>
  <si>
    <t>Dubai ( Level 3 )</t>
  </si>
  <si>
    <t>Fantasy League Runner</t>
  </si>
  <si>
    <t>1. Dutch Gulf ( Away )</t>
  </si>
  <si>
    <t>1. Rdx</t>
  </si>
  <si>
    <t>2. Arvind Kumar</t>
  </si>
  <si>
    <t>Sharjah ( Level 3 )</t>
  </si>
  <si>
    <t>Radheshyam: 20000</t>
  </si>
  <si>
    <t>2. Atlantic Arab ( Away )</t>
  </si>
  <si>
    <t>International Series: 10</t>
  </si>
  <si>
    <t>3. Prince Meghani</t>
  </si>
  <si>
    <t>Fantasy League 5th Place</t>
  </si>
  <si>
    <t>3. Desert Indus ( Home )</t>
  </si>
  <si>
    <t>Franchise League(100): 5</t>
  </si>
  <si>
    <t>4. Shahryar Hussain</t>
  </si>
  <si>
    <t>Prince Meghani: 5000</t>
  </si>
  <si>
    <t>4. Falcon Kangaroo ( Home )</t>
  </si>
  <si>
    <t>International Series(T10): 1</t>
  </si>
  <si>
    <t>5. Kamlesh Choudhary</t>
  </si>
  <si>
    <t>2. Arvind</t>
  </si>
  <si>
    <t>6. Naveen Gupta</t>
  </si>
  <si>
    <t>International Series: 7</t>
  </si>
  <si>
    <t>7. Pawan kothari</t>
  </si>
  <si>
    <t>International Series(T10): 2</t>
  </si>
  <si>
    <t>3. Prince</t>
  </si>
  <si>
    <t>9. Awinash Dwivedi</t>
  </si>
  <si>
    <t>International Series: 3</t>
  </si>
  <si>
    <t>10. Adithya Shashank</t>
  </si>
  <si>
    <t>4. Rahil Agarwal</t>
  </si>
  <si>
    <t>11. Abhijeet Singh</t>
  </si>
  <si>
    <t>International Series: 5</t>
  </si>
  <si>
    <t>12. Karthik Sharma</t>
  </si>
  <si>
    <t>13. Bhargab Kashyap</t>
  </si>
  <si>
    <t>14. Subaida Subi</t>
  </si>
  <si>
    <t>15. Ashutosh</t>
  </si>
  <si>
    <t>16. Rahul mahapatra</t>
  </si>
  <si>
    <t>17. Sri vishnu</t>
  </si>
  <si>
    <t>18. Praveen Kumar Mahanty</t>
  </si>
  <si>
    <t>19. Manish Kumar</t>
  </si>
  <si>
    <t>20. Maaz Khan</t>
  </si>
  <si>
    <t>All Franchise League Credits Updates : 24200</t>
  </si>
  <si>
    <t>THE HUNDRED : 9900</t>
  </si>
  <si>
    <t>Team Profit: 1700</t>
  </si>
  <si>
    <t>1. Prince Meghani</t>
  </si>
  <si>
    <t>1. Sidharth</t>
  </si>
  <si>
    <t>Man of the match: 2( 1000 )</t>
  </si>
  <si>
    <t>Best Batsman: 3 ( 600 )</t>
  </si>
  <si>
    <t>Pakistan Super League : 14300</t>
  </si>
  <si>
    <t>Team Profit: 11600</t>
  </si>
  <si>
    <t>Team Profit: 2700</t>
  </si>
  <si>
    <t>3. Naveen Gupta</t>
  </si>
  <si>
    <t>5. RDX</t>
  </si>
  <si>
    <t>Chairman: Hafizul SK</t>
  </si>
  <si>
    <t>Credits left: 57500</t>
  </si>
  <si>
    <t>Stadium: -30000</t>
  </si>
  <si>
    <t>Umpires Credits : 500</t>
  </si>
  <si>
    <t>International Series: -20000</t>
  </si>
  <si>
    <t>Removed Players</t>
  </si>
  <si>
    <t>Traded Palyers: 6000</t>
  </si>
  <si>
    <t>1. Aahan Sharma</t>
  </si>
  <si>
    <t>Grand Texas ( Level 3 )</t>
  </si>
  <si>
    <t>1.Hafijul</t>
  </si>
  <si>
    <t>Away( Srilanka ): 5000 ( Lost )</t>
  </si>
  <si>
    <t>1. Harsh Rajput</t>
  </si>
  <si>
    <t>1. Ahsan Siddiqui to BD - 3k</t>
  </si>
  <si>
    <t>2. Ashfiya Nijhum</t>
  </si>
  <si>
    <t>International Series: 1</t>
  </si>
  <si>
    <t>Home ( West Indies ): 5000 ( Lost )</t>
  </si>
  <si>
    <t>2. Arun Sharma</t>
  </si>
  <si>
    <t>2. Harsha Dubey to BD - 3k</t>
  </si>
  <si>
    <t>3. Rajpari Ayat</t>
  </si>
  <si>
    <t>Away( Netherlands ): 5000 ( Lost )</t>
  </si>
  <si>
    <t>4. Rima Naskar</t>
  </si>
  <si>
    <t>Away ( Newzealand ): 5000 ( Lost )</t>
  </si>
  <si>
    <t>6. Saysha Malik</t>
  </si>
  <si>
    <t>7. Mostafa Islam</t>
  </si>
  <si>
    <t>8. Aryan</t>
  </si>
  <si>
    <t>9. Raj</t>
  </si>
  <si>
    <t>10. Ajay Thakur</t>
  </si>
  <si>
    <t>11. Prince Chettri</t>
  </si>
  <si>
    <t>13. Tabassum Khan</t>
  </si>
  <si>
    <t>14. Jishan</t>
  </si>
  <si>
    <t>15. Ariya</t>
  </si>
  <si>
    <t>All Franchise League Credits Updates : 1000</t>
  </si>
  <si>
    <t>THE HUNDRED : 1000</t>
  </si>
  <si>
    <t>Board: SOUTH AFRICA</t>
  </si>
  <si>
    <t>Chairman: Aashutosh</t>
  </si>
  <si>
    <t>Credits left: 58550</t>
  </si>
  <si>
    <t>International Series: 11000</t>
  </si>
  <si>
    <t>Whitewash Lose : -500</t>
  </si>
  <si>
    <t>Umpires Credits : 2250</t>
  </si>
  <si>
    <t>Removed players</t>
  </si>
  <si>
    <t>IOCF T20 WORLD CUP 🏆 : 12800</t>
  </si>
  <si>
    <t>1. Rahil</t>
  </si>
  <si>
    <t>Capetown ( Level 3 )</t>
  </si>
  <si>
    <t>Away( Australia ): 5000 bet ( Lost )</t>
  </si>
  <si>
    <t>1. Gayle Devilliers ( Away )</t>
  </si>
  <si>
    <t>Against Australia: 1</t>
  </si>
  <si>
    <t>1. Sagar</t>
  </si>
  <si>
    <t>2. Arvind kumar</t>
  </si>
  <si>
    <t>Johannesburg ( Level 3 )</t>
  </si>
  <si>
    <t>Away( West Indies): 5000 bet ( Won )</t>
  </si>
  <si>
    <t>2. Hadle Kallis ( Away )</t>
  </si>
  <si>
    <t>2. Marami</t>
  </si>
  <si>
    <t>Players Awards: 2800</t>
  </si>
  <si>
    <t>3. Nirmal</t>
  </si>
  <si>
    <t>Away( Newzealand): 5000 bet ( Won )</t>
  </si>
  <si>
    <t>3. Kallis Rashid ( Home )</t>
  </si>
  <si>
    <t>3. Dhurbo</t>
  </si>
  <si>
    <t>1. Aravind</t>
  </si>
  <si>
    <t>4. Bishwa</t>
  </si>
  <si>
    <t>Home ( Afghanistan): 6000 bet ( Won )</t>
  </si>
  <si>
    <t>4. Naresh</t>
  </si>
  <si>
    <t>5. Bitupan</t>
  </si>
  <si>
    <t>Home ( West iNDIES): 6000 bet ( Lost )</t>
  </si>
  <si>
    <t>3. Aravind</t>
  </si>
  <si>
    <t>5. Akash Jyothi</t>
  </si>
  <si>
    <t>6. Pinku</t>
  </si>
  <si>
    <t>6. Debajit</t>
  </si>
  <si>
    <t>2. Siddiqui</t>
  </si>
  <si>
    <t>7. Mayank</t>
  </si>
  <si>
    <t>7. Devashish</t>
  </si>
  <si>
    <t>8. Biki Basistha</t>
  </si>
  <si>
    <t>8. Rishi</t>
  </si>
  <si>
    <t>9. Manav</t>
  </si>
  <si>
    <t>9. Rahul</t>
  </si>
  <si>
    <t>3. Biswajit</t>
  </si>
  <si>
    <t>10. Siddiqui</t>
  </si>
  <si>
    <t>10. Veer</t>
  </si>
  <si>
    <t>• Most Sixes: 1</t>
  </si>
  <si>
    <t>11. Prince Meghani</t>
  </si>
  <si>
    <t>11. Kiran</t>
  </si>
  <si>
    <t>12. Radheshyam Tripathi</t>
  </si>
  <si>
    <t>13. Hafijul SK</t>
  </si>
  <si>
    <t>Added players</t>
  </si>
  <si>
    <t>4. Subaida</t>
  </si>
  <si>
    <t>14. Harsh Dubey</t>
  </si>
  <si>
    <t>1. Manav</t>
  </si>
  <si>
    <t>16. Ayush Soni</t>
  </si>
  <si>
    <t>17. Rakshith Raksh</t>
  </si>
  <si>
    <t>4. Radhe</t>
  </si>
  <si>
    <t>18. Naveen Gupta</t>
  </si>
  <si>
    <t>5. Hafijul</t>
  </si>
  <si>
    <t>• vs WI: 300</t>
  </si>
  <si>
    <t>19. Bhargab Kashyap</t>
  </si>
  <si>
    <t>7. Ayush soni</t>
  </si>
  <si>
    <t>8. Bhargab Kashyap</t>
  </si>
  <si>
    <t>Eliminated in Super six: 15000</t>
  </si>
  <si>
    <t>10. Rakshith Raksh</t>
  </si>
  <si>
    <t>Traded Player: -7000</t>
  </si>
  <si>
    <t>1. Subaida from England: 7000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</si>
</sst>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h:mm am/pm"/>
    <numFmt numFmtId="166" formatCode="mmmm d"/>
  </numFmts>
  <fonts count="6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4C113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rgb="FF000000"/>
      <name val="Arial"/>
      <scheme val="minor"/>
    </font>
    <font>
      <color rgb="FFB7B7B7"/>
      <name val="Arial"/>
      <scheme val="minor"/>
    </font>
    <font>
      <color rgb="FFFFFFFF"/>
      <name val="Arial"/>
      <scheme val="minor"/>
    </font>
    <font>
      <color rgb="FF999999"/>
      <name val="Arial"/>
      <scheme val="minor"/>
    </font>
    <font>
      <b/>
      <color rgb="FF000000"/>
      <name val="Arial"/>
      <scheme val="minor"/>
    </font>
    <font>
      <b/>
      <color theme="1"/>
      <name val="Arial"/>
    </font>
    <font>
      <color rgb="FFFFFFFF"/>
      <name val="Arial"/>
    </font>
    <font>
      <color theme="1"/>
      <name val="Arial"/>
    </font>
    <font>
      <b/>
      <i/>
      <color rgb="FFFFFFFF"/>
      <name val="Arial"/>
      <scheme val="minor"/>
    </font>
    <font>
      <b/>
      <color rgb="FFB7B7B7"/>
      <name val="Arial"/>
      <scheme val="minor"/>
    </font>
    <font>
      <b/>
      <i/>
      <sz val="10.0"/>
      <color theme="1"/>
      <name val="Arial"/>
      <scheme val="minor"/>
    </font>
    <font>
      <b/>
      <sz val="10.0"/>
      <color rgb="FFFFFFFF"/>
      <name val="Arial"/>
    </font>
    <font>
      <b/>
      <color rgb="FFD9D9D9"/>
      <name val="Arial"/>
      <scheme val="minor"/>
    </font>
    <font>
      <b/>
      <i/>
      <color theme="1"/>
      <name val="Arial"/>
    </font>
    <font>
      <b/>
      <u/>
      <color rgb="FF0000FF"/>
    </font>
    <font>
      <color rgb="FFEFEFEF"/>
      <name val="Arial"/>
      <scheme val="minor"/>
    </font>
    <font>
      <b/>
      <i/>
      <color rgb="FF000000"/>
      <name val="Arial"/>
      <scheme val="minor"/>
    </font>
    <font>
      <b/>
      <u/>
      <color rgb="FF0000FF"/>
    </font>
    <font>
      <i/>
      <color theme="1"/>
      <name val="Arial"/>
      <scheme val="minor"/>
    </font>
    <font>
      <color rgb="FFD9D9D9"/>
      <name val="Arial"/>
      <scheme val="minor"/>
    </font>
    <font>
      <color rgb="FFEFEFEF"/>
      <name val="Arial"/>
    </font>
    <font>
      <b/>
      <u/>
      <color rgb="FF0000FF"/>
    </font>
    <font>
      <b/>
      <color rgb="FFD9D9D9"/>
      <name val="Arial"/>
    </font>
    <font>
      <color rgb="FFCCCCCC"/>
      <name val="Arial"/>
      <scheme val="minor"/>
    </font>
    <font>
      <b/>
      <u/>
      <color rgb="FF0000FF"/>
    </font>
    <font>
      <color rgb="FFE6B8AF"/>
      <name val="Arial"/>
      <scheme val="minor"/>
    </font>
    <font>
      <sz val="10.0"/>
      <color rgb="FF000000"/>
      <name val="System-ui"/>
    </font>
    <font>
      <b/>
      <u/>
      <color rgb="FF0000FF"/>
    </font>
    <font>
      <sz val="10.0"/>
      <color theme="1"/>
      <name val="Arial"/>
      <scheme val="minor"/>
    </font>
    <font>
      <color rgb="FF274E13"/>
      <name val="Arial"/>
      <scheme val="minor"/>
    </font>
    <font>
      <b/>
      <u/>
      <color rgb="FF0000FF"/>
    </font>
    <font>
      <b/>
      <color rgb="FFEFEFEF"/>
      <name val="Arial"/>
      <scheme val="minor"/>
    </font>
    <font>
      <color rgb="FFF3F3F3"/>
      <name val="Arial"/>
      <scheme val="minor"/>
    </font>
    <font>
      <sz val="10.0"/>
      <color rgb="FF000000"/>
      <name val="Arial"/>
    </font>
    <font>
      <sz val="10.0"/>
      <color rgb="FF000000"/>
      <name val="-apple-system-font"/>
    </font>
    <font>
      <b/>
      <u/>
      <color rgb="FF0000FF"/>
    </font>
    <font>
      <b/>
      <color rgb="FFB7B7B7"/>
      <name val="Arial"/>
    </font>
    <font>
      <b/>
      <u/>
      <color rgb="FF0000FF"/>
    </font>
    <font>
      <sz val="11.0"/>
      <color rgb="FF000000"/>
      <name val="Arial"/>
    </font>
    <font>
      <sz val="11.0"/>
      <color rgb="FFF5F5F5"/>
      <name val="Arial"/>
    </font>
    <font>
      <b/>
      <color theme="0"/>
      <name val="Arial"/>
      <scheme val="minor"/>
    </font>
    <font>
      <b/>
      <color rgb="FFFFE599"/>
      <name val="Arial"/>
      <scheme val="minor"/>
    </font>
    <font>
      <b/>
      <color rgb="FFEAD1DC"/>
      <name val="Arial"/>
      <scheme val="minor"/>
    </font>
    <font>
      <b/>
      <color rgb="FF741B47"/>
      <name val="Arial"/>
      <scheme val="minor"/>
    </font>
    <font>
      <b/>
      <color rgb="FFFFFF00"/>
      <name val="Arial"/>
      <scheme val="minor"/>
    </font>
    <font>
      <i/>
      <color rgb="FFFFFFFF"/>
      <name val="Arial"/>
      <scheme val="minor"/>
    </font>
    <font>
      <b/>
      <sz val="10.0"/>
      <color theme="1"/>
      <name val="Arial"/>
      <scheme val="minor"/>
    </font>
    <font>
      <color rgb="FF000000"/>
      <name val="Arial"/>
    </font>
    <font>
      <b/>
      <i/>
      <color rgb="FF000000"/>
      <name val="Arial"/>
    </font>
    <font>
      <sz val="10.0"/>
      <color theme="1"/>
      <name val="Arial"/>
    </font>
    <font>
      <b/>
      <color rgb="FFD5A6BD"/>
      <name val="Arial"/>
      <scheme val="minor"/>
    </font>
    <font>
      <b/>
      <color rgb="FFF3F3F3"/>
      <name val="Arial"/>
      <scheme val="minor"/>
    </font>
    <font>
      <b/>
      <color rgb="FF20124D"/>
      <name val="Arial"/>
      <scheme val="minor"/>
    </font>
    <font>
      <b/>
      <color rgb="FFD9D2E9"/>
      <name val="Arial"/>
      <scheme val="minor"/>
    </font>
    <font>
      <sz val="10.0"/>
      <color rgb="FF0C1014"/>
      <name val="Arial"/>
      <scheme val="minor"/>
    </font>
    <font>
      <b/>
      <color rgb="FF0C343D"/>
      <name val="Arial"/>
    </font>
    <font>
      <color rgb="FF0C343D"/>
      <name val="Arial"/>
      <scheme val="minor"/>
    </font>
    <font>
      <b/>
      <color rgb="FFFFFFFF"/>
      <name val="Arial"/>
    </font>
    <font>
      <color rgb="FF0C343D"/>
      <name val="Arial"/>
    </font>
    <font>
      <b/>
      <color rgb="FF0C343D"/>
      <name val="Arial"/>
      <scheme val="minor"/>
    </font>
  </fonts>
  <fills count="66">
    <fill>
      <patternFill patternType="none"/>
    </fill>
    <fill>
      <patternFill patternType="lightGray"/>
    </fill>
    <fill>
      <patternFill patternType="solid">
        <fgColor rgb="FF4C1130"/>
        <bgColor rgb="FF4C113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5B0F00"/>
        <bgColor rgb="FF5B0F00"/>
      </patternFill>
    </fill>
    <fill>
      <patternFill patternType="solid">
        <fgColor rgb="FF1C4587"/>
        <bgColor rgb="FF1C4587"/>
      </patternFill>
    </fill>
    <fill>
      <patternFill patternType="solid">
        <fgColor rgb="FF274E13"/>
        <bgColor rgb="FF274E13"/>
      </patternFill>
    </fill>
    <fill>
      <patternFill patternType="solid">
        <fgColor rgb="FF7F6000"/>
        <bgColor rgb="FF7F6000"/>
      </patternFill>
    </fill>
    <fill>
      <patternFill patternType="solid">
        <fgColor rgb="FF741B47"/>
        <bgColor rgb="FF741B47"/>
      </patternFill>
    </fill>
    <fill>
      <patternFill patternType="solid">
        <fgColor rgb="FFD9EAD3"/>
        <bgColor rgb="FFD9EAD3"/>
      </patternFill>
    </fill>
    <fill>
      <patternFill patternType="solid">
        <fgColor rgb="FFDD7E6B"/>
        <bgColor rgb="FFDD7E6B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A61C00"/>
        <bgColor rgb="FFA61C00"/>
      </patternFill>
    </fill>
    <fill>
      <patternFill patternType="solid">
        <fgColor rgb="FF9FC5E8"/>
        <bgColor rgb="FF9FC5E8"/>
      </patternFill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0C343D"/>
        <bgColor rgb="FF0C343D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1155CC"/>
        <bgColor rgb="FF1155CC"/>
      </patternFill>
    </fill>
    <fill>
      <patternFill patternType="solid">
        <fgColor rgb="FFCC4125"/>
        <bgColor rgb="FFCC4125"/>
      </patternFill>
    </fill>
    <fill>
      <patternFill patternType="solid">
        <fgColor rgb="FF0000FF"/>
        <bgColor rgb="FF0000FF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990000"/>
        <bgColor rgb="FF990000"/>
      </patternFill>
    </fill>
    <fill>
      <patternFill patternType="solid">
        <fgColor rgb="FFD0E0E3"/>
        <bgColor rgb="FFD0E0E3"/>
      </patternFill>
    </fill>
    <fill>
      <patternFill patternType="solid">
        <fgColor rgb="FF45818E"/>
        <bgColor rgb="FF45818E"/>
      </patternFill>
    </fill>
    <fill>
      <patternFill patternType="solid">
        <fgColor rgb="FFE6B8AF"/>
        <bgColor rgb="FFE6B8AF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20124D"/>
        <bgColor rgb="FF20124D"/>
      </patternFill>
    </fill>
    <fill>
      <patternFill patternType="solid">
        <fgColor rgb="FFD9D2E9"/>
        <bgColor rgb="FFD9D2E9"/>
      </patternFill>
    </fill>
    <fill>
      <patternFill patternType="solid">
        <fgColor rgb="FF660000"/>
        <bgColor rgb="FF660000"/>
      </patternFill>
    </fill>
    <fill>
      <patternFill patternType="solid">
        <fgColor rgb="FF85200C"/>
        <bgColor rgb="FF85200C"/>
      </patternFill>
    </fill>
    <fill>
      <patternFill patternType="solid">
        <fgColor rgb="FFF4CCCC"/>
        <bgColor rgb="FFF4CCCC"/>
      </patternFill>
    </fill>
    <fill>
      <patternFill patternType="solid">
        <fgColor rgb="FF76A5AF"/>
        <bgColor rgb="FF76A5AF"/>
      </patternFill>
    </fill>
    <fill>
      <patternFill patternType="solid">
        <fgColor rgb="FFEA9999"/>
        <bgColor rgb="FFEA9999"/>
      </patternFill>
    </fill>
    <fill>
      <patternFill patternType="solid">
        <fgColor rgb="FFE69138"/>
        <bgColor rgb="FFE69138"/>
      </patternFill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A2C4C9"/>
        <bgColor rgb="FFA2C4C9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4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/>
    </xf>
    <xf borderId="0" fillId="5" fontId="4" numFmtId="0" xfId="0" applyAlignment="1" applyFill="1" applyFont="1">
      <alignment horizontal="center"/>
    </xf>
    <xf borderId="0" fillId="6" fontId="4" numFmtId="0" xfId="0" applyAlignment="1" applyFill="1" applyFont="1">
      <alignment horizontal="center"/>
    </xf>
    <xf borderId="0" fillId="0" fontId="3" numFmtId="0" xfId="0" applyAlignment="1" applyFont="1">
      <alignment horizontal="center"/>
    </xf>
    <xf borderId="0" fillId="7" fontId="3" numFmtId="0" xfId="0" applyAlignment="1" applyFill="1" applyFont="1">
      <alignment horizontal="center"/>
    </xf>
    <xf borderId="0" fillId="0" fontId="3" numFmtId="0" xfId="0" applyFont="1"/>
    <xf borderId="0" fillId="8" fontId="4" numFmtId="0" xfId="0" applyAlignment="1" applyFill="1" applyFont="1">
      <alignment horizontal="center"/>
    </xf>
    <xf borderId="0" fillId="7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 vertical="center"/>
    </xf>
    <xf borderId="0" fillId="10" fontId="5" numFmtId="0" xfId="0" applyAlignment="1" applyFill="1" applyFont="1">
      <alignment horizontal="center" readingOrder="0" vertical="center"/>
    </xf>
    <xf borderId="0" fillId="10" fontId="5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 vertical="center"/>
    </xf>
    <xf borderId="0" fillId="12" fontId="3" numFmtId="0" xfId="0" applyAlignment="1" applyFill="1" applyFont="1">
      <alignment horizontal="center" readingOrder="0"/>
    </xf>
    <xf borderId="0" fillId="12" fontId="3" numFmtId="0" xfId="0" applyAlignment="1" applyFill="1" applyFont="1">
      <alignment horizontal="center" readingOrder="0" vertical="center"/>
    </xf>
    <xf borderId="0" fillId="12" fontId="4" numFmtId="0" xfId="0" applyAlignment="1" applyFill="1" applyFont="1">
      <alignment horizontal="center" readingOrder="0"/>
    </xf>
    <xf borderId="0" fillId="12" fontId="4" numFmtId="0" xfId="0" applyAlignment="1" applyFill="1" applyFont="1">
      <alignment horizontal="center" readingOrder="0" vertical="center"/>
    </xf>
    <xf borderId="0" fillId="13" fontId="3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 vertical="center"/>
    </xf>
    <xf borderId="0" fillId="12" fontId="4" numFmtId="0" xfId="0" applyAlignment="1" applyFill="1" applyFont="1">
      <alignment readingOrder="0" vertical="center"/>
    </xf>
    <xf borderId="0" fillId="7" fontId="4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14" fontId="1" numFmtId="0" xfId="0" applyAlignment="1" applyFill="1" applyFont="1">
      <alignment horizontal="center" readingOrder="0"/>
    </xf>
    <xf borderId="0" fillId="15" fontId="1" numFmtId="0" xfId="0" applyAlignment="1" applyFill="1" applyFont="1">
      <alignment horizontal="center" readingOrder="0"/>
    </xf>
    <xf borderId="0" fillId="16" fontId="1" numFmtId="0" xfId="0" applyAlignment="1" applyFill="1" applyFont="1">
      <alignment horizontal="center" readingOrder="0"/>
    </xf>
    <xf borderId="0" fillId="17" fontId="1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18" fontId="1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20" fontId="4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15" fontId="8" numFmtId="0" xfId="0" applyAlignment="1" applyFill="1" applyFont="1">
      <alignment horizontal="center" readingOrder="0"/>
    </xf>
    <xf borderId="0" fillId="21" fontId="8" numFmtId="0" xfId="0" applyAlignment="1" applyFill="1" applyFont="1">
      <alignment horizontal="center" readingOrder="0"/>
    </xf>
    <xf borderId="0" fillId="21" fontId="9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7" fontId="3" numFmtId="0" xfId="0" applyAlignment="1" applyFill="1" applyFont="1">
      <alignment readingOrder="0"/>
    </xf>
    <xf borderId="0" fillId="22" fontId="4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 readingOrder="0"/>
    </xf>
    <xf borderId="0" fillId="23" fontId="10" numFmtId="0" xfId="0" applyAlignment="1" applyFill="1" applyFont="1">
      <alignment horizontal="center" readingOrder="0"/>
    </xf>
    <xf borderId="0" fillId="20" fontId="10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24" fontId="4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7" numFmtId="0" xfId="0" applyAlignment="1" applyFill="1" applyFont="1">
      <alignment horizontal="center" readingOrder="0"/>
    </xf>
    <xf borderId="0" fillId="25" fontId="8" numFmtId="0" xfId="0" applyAlignment="1" applyFill="1" applyFont="1">
      <alignment horizontal="center" readingOrder="0"/>
    </xf>
    <xf borderId="0" fillId="26" fontId="4" numFmtId="0" xfId="0" applyAlignment="1" applyFill="1" applyFont="1">
      <alignment horizontal="center" readingOrder="0"/>
    </xf>
    <xf borderId="0" fillId="17" fontId="9" numFmtId="3" xfId="0" applyAlignment="1" applyFill="1" applyFont="1" applyNumberFormat="1">
      <alignment horizontal="center"/>
    </xf>
    <xf borderId="0" fillId="0" fontId="11" numFmtId="0" xfId="0" applyAlignment="1" applyFont="1">
      <alignment horizontal="center" readingOrder="0" vertical="bottom"/>
    </xf>
    <xf borderId="0" fillId="17" fontId="9" numFmtId="0" xfId="0" applyAlignment="1" applyFill="1" applyFont="1">
      <alignment horizontal="center" readingOrder="0"/>
    </xf>
    <xf borderId="0" fillId="17" fontId="12" numFmtId="0" xfId="0" applyAlignment="1" applyFill="1" applyFont="1">
      <alignment horizontal="center" vertical="bottom"/>
    </xf>
    <xf borderId="0" fillId="17" fontId="12" numFmtId="3" xfId="0" applyAlignment="1" applyFill="1" applyFont="1" applyNumberFormat="1">
      <alignment horizontal="center" vertical="bottom"/>
    </xf>
    <xf borderId="0" fillId="17" fontId="8" numFmtId="0" xfId="0" applyAlignment="1" applyFill="1" applyFont="1">
      <alignment horizontal="center" readingOrder="0"/>
    </xf>
    <xf borderId="0" fillId="13" fontId="3" numFmtId="0" xfId="0" applyAlignment="1" applyFill="1" applyFont="1">
      <alignment readingOrder="0"/>
    </xf>
    <xf borderId="0" fillId="11" fontId="4" numFmtId="0" xfId="0" applyAlignment="1" applyFill="1" applyFont="1">
      <alignment horizontal="center" readingOrder="0"/>
    </xf>
    <xf borderId="0" fillId="0" fontId="11" numFmtId="0" xfId="0" applyAlignment="1" applyFont="1">
      <alignment horizontal="center" vertical="bottom"/>
    </xf>
    <xf borderId="0" fillId="12" fontId="13" numFmtId="0" xfId="0" applyAlignment="1" applyFill="1" applyFont="1">
      <alignment horizontal="center" vertical="center"/>
    </xf>
    <xf borderId="0" fillId="12" fontId="13" numFmtId="3" xfId="0" applyAlignment="1" applyFill="1" applyFont="1" applyNumberFormat="1">
      <alignment horizontal="center" vertical="center"/>
    </xf>
    <xf borderId="0" fillId="12" fontId="3" numFmtId="0" xfId="0" applyAlignment="1" applyFill="1" applyFont="1">
      <alignment horizontal="center"/>
    </xf>
    <xf borderId="0" fillId="7" fontId="6" numFmtId="0" xfId="0" applyAlignment="1" applyFill="1" applyFont="1">
      <alignment readingOrder="0"/>
    </xf>
    <xf borderId="0" fillId="9" fontId="4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left" readingOrder="0"/>
    </xf>
    <xf borderId="0" fillId="0" fontId="3" numFmtId="0" xfId="0" applyAlignment="1" applyFont="1">
      <alignment horizontal="center" readingOrder="0" vertical="center"/>
    </xf>
    <xf borderId="0" fillId="27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12" fontId="3" numFmtId="0" xfId="0" applyAlignment="1" applyFill="1" applyFont="1">
      <alignment readingOrder="0" vertical="center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7" fontId="3" numFmtId="0" xfId="0" applyFill="1" applyFont="1"/>
    <xf borderId="0" fillId="0" fontId="3" numFmtId="3" xfId="0" applyAlignment="1" applyFont="1" applyNumberFormat="1">
      <alignment horizontal="center" readingOrder="0"/>
    </xf>
    <xf borderId="0" fillId="13" fontId="3" numFmtId="0" xfId="0" applyFill="1" applyFont="1"/>
    <xf borderId="0" fillId="13" fontId="5" numFmtId="0" xfId="0" applyAlignment="1" applyFill="1" applyFont="1">
      <alignment readingOrder="0"/>
    </xf>
    <xf borderId="0" fillId="7" fontId="6" numFmtId="0" xfId="0" applyFill="1" applyFont="1"/>
    <xf borderId="0" fillId="28" fontId="4" numFmtId="0" xfId="0" applyAlignment="1" applyFill="1" applyFont="1">
      <alignment horizontal="center" readingOrder="0"/>
    </xf>
    <xf borderId="0" fillId="12" fontId="3" numFmtId="0" xfId="0" applyAlignment="1" applyFill="1" applyFont="1">
      <alignment horizontal="left" readingOrder="0" vertical="center"/>
    </xf>
    <xf borderId="0" fillId="0" fontId="5" numFmtId="0" xfId="0" applyAlignment="1" applyFont="1">
      <alignment readingOrder="0"/>
    </xf>
    <xf borderId="0" fillId="29" fontId="3" numFmtId="0" xfId="0" applyFill="1" applyFont="1"/>
    <xf borderId="0" fillId="30" fontId="4" numFmtId="0" xfId="0" applyAlignment="1" applyFill="1" applyFont="1">
      <alignment horizontal="center" readingOrder="0"/>
    </xf>
    <xf borderId="0" fillId="19" fontId="4" numFmtId="0" xfId="0" applyAlignment="1" applyFill="1" applyFont="1">
      <alignment horizontal="center" readingOrder="0"/>
    </xf>
    <xf borderId="0" fillId="12" fontId="5" numFmtId="0" xfId="0" applyAlignment="1" applyFill="1" applyFont="1">
      <alignment horizontal="center" readingOrder="0"/>
    </xf>
    <xf borderId="0" fillId="31" fontId="14" numFmtId="0" xfId="0" applyAlignment="1" applyFill="1" applyFont="1">
      <alignment horizontal="center" readingOrder="0"/>
    </xf>
    <xf borderId="0" fillId="32" fontId="10" numFmtId="0" xfId="0" applyAlignment="1" applyFill="1" applyFont="1">
      <alignment horizontal="center" readingOrder="0"/>
    </xf>
    <xf borderId="0" fillId="33" fontId="3" numFmtId="0" xfId="0" applyAlignment="1" applyFill="1" applyFont="1">
      <alignment readingOrder="0"/>
    </xf>
    <xf borderId="0" fillId="34" fontId="10" numFmtId="0" xfId="0" applyAlignment="1" applyFill="1" applyFont="1">
      <alignment horizontal="center" readingOrder="0"/>
    </xf>
    <xf borderId="0" fillId="16" fontId="15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0" fillId="29" fontId="17" numFmtId="0" xfId="0" applyAlignment="1" applyFill="1" applyFont="1">
      <alignment horizontal="center" readingOrder="0"/>
    </xf>
    <xf borderId="0" fillId="35" fontId="10" numFmtId="0" xfId="0" applyAlignment="1" applyFill="1" applyFont="1">
      <alignment horizontal="center" readingOrder="0"/>
    </xf>
    <xf borderId="0" fillId="36" fontId="18" numFmtId="0" xfId="0" applyAlignment="1" applyFill="1" applyFont="1">
      <alignment horizontal="center" readingOrder="0"/>
    </xf>
    <xf borderId="0" fillId="0" fontId="19" numFmtId="0" xfId="0" applyAlignment="1" applyFont="1">
      <alignment horizontal="center" readingOrder="0" vertical="bottom"/>
    </xf>
    <xf borderId="0" fillId="37" fontId="10" numFmtId="0" xfId="0" applyAlignment="1" applyFill="1" applyFont="1">
      <alignment horizontal="center" readingOrder="0"/>
    </xf>
    <xf borderId="0" fillId="22" fontId="10" numFmtId="0" xfId="0" applyAlignment="1" applyFill="1" applyFont="1">
      <alignment horizontal="center" readingOrder="0"/>
    </xf>
    <xf borderId="0" fillId="38" fontId="18" numFmtId="0" xfId="0" applyAlignment="1" applyFill="1" applyFont="1">
      <alignment horizontal="center" readingOrder="0"/>
    </xf>
    <xf borderId="0" fillId="0" fontId="19" numFmtId="0" xfId="0" applyAlignment="1" applyFont="1">
      <alignment horizontal="center" vertical="bottom"/>
    </xf>
    <xf borderId="0" fillId="20" fontId="3" numFmtId="0" xfId="0" applyAlignment="1" applyFill="1" applyFont="1">
      <alignment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11" fontId="10" numFmtId="0" xfId="0" applyAlignment="1" applyFill="1" applyFont="1">
      <alignment horizontal="center" readingOrder="0"/>
    </xf>
    <xf borderId="0" fillId="27" fontId="10" numFmtId="0" xfId="0" applyAlignment="1" applyFill="1" applyFont="1">
      <alignment horizontal="center" readingOrder="0"/>
    </xf>
    <xf borderId="0" fillId="34" fontId="4" numFmtId="0" xfId="0" applyAlignment="1" applyFill="1" applyFont="1">
      <alignment horizontal="center" readingOrder="0"/>
    </xf>
    <xf borderId="0" fillId="34" fontId="20" numFmtId="0" xfId="0" applyAlignment="1" applyFill="1" applyFont="1">
      <alignment horizontal="center" readingOrder="0"/>
    </xf>
    <xf borderId="0" fillId="34" fontId="3" numFmtId="0" xfId="0" applyAlignment="1" applyFill="1" applyFont="1">
      <alignment horizontal="center" readingOrder="0"/>
    </xf>
    <xf borderId="0" fillId="16" fontId="7" numFmtId="3" xfId="0" applyAlignment="1" applyFill="1" applyFont="1" applyNumberFormat="1">
      <alignment horizontal="center" readingOrder="0"/>
    </xf>
    <xf borderId="0" fillId="39" fontId="4" numFmtId="0" xfId="0" applyAlignment="1" applyFill="1" applyFont="1">
      <alignment horizontal="center" readingOrder="0"/>
    </xf>
    <xf borderId="0" fillId="39" fontId="4" numFmtId="0" xfId="0" applyAlignment="1" applyFill="1" applyFont="1">
      <alignment readingOrder="0"/>
    </xf>
    <xf borderId="0" fillId="39" fontId="10" numFmtId="0" xfId="0" applyAlignment="1" applyFill="1" applyFont="1">
      <alignment horizontal="center" readingOrder="0"/>
    </xf>
    <xf borderId="0" fillId="16" fontId="7" numFmtId="0" xfId="0" applyAlignment="1" applyFill="1" applyFont="1">
      <alignment horizontal="center" readingOrder="0"/>
    </xf>
    <xf borderId="0" fillId="39" fontId="3" numFmtId="0" xfId="0" applyAlignment="1" applyFill="1" applyFont="1">
      <alignment readingOrder="0"/>
    </xf>
    <xf borderId="0" fillId="16" fontId="8" numFmtId="0" xfId="0" applyAlignment="1" applyFill="1" applyFont="1">
      <alignment horizontal="center" readingOrder="0"/>
    </xf>
    <xf borderId="0" fillId="16" fontId="8" numFmtId="3" xfId="0" applyAlignment="1" applyFill="1" applyFont="1" applyNumberFormat="1">
      <alignment horizontal="center" readingOrder="0"/>
    </xf>
    <xf borderId="0" fillId="16" fontId="9" numFmtId="0" xfId="0" applyAlignment="1" applyFill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0" fillId="39" fontId="3" numFmtId="0" xfId="0" applyAlignment="1" applyFill="1" applyFont="1">
      <alignment horizontal="center" readingOrder="0"/>
    </xf>
    <xf borderId="0" fillId="39" fontId="6" numFmtId="0" xfId="0" applyAlignment="1" applyFill="1" applyFont="1">
      <alignment horizontal="center" readingOrder="0"/>
    </xf>
    <xf borderId="0" fillId="39" fontId="6" numFmtId="3" xfId="0" applyAlignment="1" applyFill="1" applyFont="1" applyNumberFormat="1">
      <alignment horizontal="center" readingOrder="0"/>
    </xf>
    <xf borderId="0" fillId="39" fontId="3" numFmtId="0" xfId="0" applyAlignment="1" applyFill="1" applyFont="1">
      <alignment readingOrder="0" vertical="center"/>
    </xf>
    <xf borderId="0" fillId="39" fontId="3" numFmtId="0" xfId="0" applyAlignment="1" applyFill="1" applyFont="1">
      <alignment horizontal="center"/>
    </xf>
    <xf borderId="0" fillId="40" fontId="4" numFmtId="0" xfId="0" applyAlignment="1" applyFill="1" applyFont="1">
      <alignment horizontal="center" readingOrder="0"/>
    </xf>
    <xf borderId="0" fillId="40" fontId="3" numFmtId="0" xfId="0" applyAlignment="1" applyFill="1" applyFont="1">
      <alignment horizontal="center" readingOrder="0"/>
    </xf>
    <xf borderId="0" fillId="40" fontId="3" numFmtId="0" xfId="0" applyAlignment="1" applyFill="1" applyFont="1">
      <alignment horizontal="center"/>
    </xf>
    <xf borderId="0" fillId="7" fontId="6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16" fontId="21" numFmtId="0" xfId="0" applyAlignment="1" applyFill="1" applyFont="1">
      <alignment horizontal="center" readingOrder="0"/>
    </xf>
    <xf borderId="0" fillId="41" fontId="7" numFmtId="0" xfId="0" applyAlignment="1" applyFill="1" applyFont="1">
      <alignment horizontal="center" readingOrder="0"/>
    </xf>
    <xf borderId="0" fillId="19" fontId="4" numFmtId="0" xfId="0" applyAlignment="1" applyFill="1" applyFont="1">
      <alignment horizontal="center" readingOrder="0" vertical="center"/>
    </xf>
    <xf borderId="0" fillId="41" fontId="21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/>
    </xf>
    <xf borderId="0" fillId="34" fontId="22" numFmtId="0" xfId="0" applyAlignment="1" applyFill="1" applyFont="1">
      <alignment horizontal="center" readingOrder="0"/>
    </xf>
    <xf borderId="0" fillId="41" fontId="15" numFmtId="0" xfId="0" applyAlignment="1" applyFill="1" applyFont="1">
      <alignment horizontal="center" readingOrder="0"/>
    </xf>
    <xf borderId="0" fillId="0" fontId="19" numFmtId="0" xfId="0" applyAlignment="1" applyFont="1">
      <alignment vertical="bottom"/>
    </xf>
    <xf borderId="0" fillId="42" fontId="3" numFmtId="0" xfId="0" applyAlignment="1" applyFill="1" applyFont="1">
      <alignment readingOrder="0"/>
    </xf>
    <xf borderId="0" fillId="43" fontId="3" numFmtId="0" xfId="0" applyAlignment="1" applyFill="1" applyFont="1">
      <alignment horizontal="center" readingOrder="0"/>
    </xf>
    <xf borderId="0" fillId="43" fontId="4" numFmtId="0" xfId="0" applyAlignment="1" applyFill="1" applyFont="1">
      <alignment horizontal="center" readingOrder="0"/>
    </xf>
    <xf borderId="0" fillId="44" fontId="7" numFmtId="0" xfId="0" applyAlignment="1" applyFill="1" applyFont="1">
      <alignment horizontal="center" readingOrder="0"/>
    </xf>
    <xf borderId="0" fillId="45" fontId="10" numFmtId="0" xfId="0" applyAlignment="1" applyFill="1" applyFont="1">
      <alignment horizontal="center" readingOrder="0"/>
    </xf>
    <xf borderId="0" fillId="0" fontId="11" numFmtId="0" xfId="0" applyAlignment="1" applyFont="1">
      <alignment horizontal="center" readingOrder="0" vertical="center"/>
    </xf>
    <xf borderId="0" fillId="42" fontId="21" numFmtId="0" xfId="0" applyAlignment="1" applyFill="1" applyFont="1">
      <alignment horizontal="center" readingOrder="0"/>
    </xf>
    <xf borderId="0" fillId="42" fontId="8" numFmtId="0" xfId="0" applyAlignment="1" applyFill="1" applyFont="1">
      <alignment horizontal="center" readingOrder="0"/>
    </xf>
    <xf borderId="0" fillId="23" fontId="12" numFmtId="0" xfId="0" applyAlignment="1" applyFill="1" applyFont="1">
      <alignment horizontal="center" vertical="center"/>
    </xf>
    <xf borderId="0" fillId="45" fontId="4" numFmtId="0" xfId="0" applyAlignment="1" applyFill="1" applyFont="1">
      <alignment horizontal="center" readingOrder="0"/>
    </xf>
    <xf borderId="0" fillId="0" fontId="11" numFmtId="0" xfId="0" applyAlignment="1" applyFont="1">
      <alignment horizontal="center" vertical="center"/>
    </xf>
    <xf borderId="0" fillId="45" fontId="3" numFmtId="0" xfId="0" applyAlignment="1" applyFill="1" applyFont="1">
      <alignment readingOrder="0" vertical="center"/>
    </xf>
    <xf borderId="0" fillId="45" fontId="3" numFmtId="0" xfId="0" applyAlignment="1" applyFill="1" applyFont="1">
      <alignment horizontal="center" readingOrder="0"/>
    </xf>
    <xf borderId="0" fillId="45" fontId="3" numFmtId="0" xfId="0" applyAlignment="1" applyFill="1" applyFont="1">
      <alignment horizontal="center"/>
    </xf>
    <xf borderId="0" fillId="20" fontId="13" numFmtId="0" xfId="0" applyAlignment="1" applyFill="1" applyFont="1">
      <alignment horizontal="center" vertical="center"/>
    </xf>
    <xf borderId="0" fillId="46" fontId="3" numFmtId="0" xfId="0" applyAlignment="1" applyFill="1" applyFont="1">
      <alignment horizontal="center" readingOrder="0"/>
    </xf>
    <xf borderId="0" fillId="46" fontId="3" numFmtId="0" xfId="0" applyAlignment="1" applyFill="1" applyFont="1">
      <alignment horizontal="center"/>
    </xf>
    <xf borderId="0" fillId="37" fontId="4" numFmtId="0" xfId="0" applyAlignment="1" applyFill="1" applyFont="1">
      <alignment horizontal="center" readingOrder="0" vertical="center"/>
    </xf>
    <xf borderId="0" fillId="47" fontId="4" numFmtId="0" xfId="0" applyAlignment="1" applyFill="1" applyFont="1">
      <alignment readingOrder="0"/>
    </xf>
    <xf borderId="0" fillId="14" fontId="7" numFmtId="0" xfId="0" applyAlignment="1" applyFill="1" applyFont="1">
      <alignment horizontal="center" readingOrder="0"/>
    </xf>
    <xf borderId="0" fillId="7" fontId="10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48" fontId="4" numFmtId="0" xfId="0" applyAlignment="1" applyFill="1" applyFont="1">
      <alignment horizontal="center" readingOrder="0"/>
    </xf>
    <xf borderId="0" fillId="48" fontId="23" numFmtId="0" xfId="0" applyAlignment="1" applyFill="1" applyFont="1">
      <alignment horizontal="center" readingOrder="0"/>
    </xf>
    <xf borderId="0" fillId="48" fontId="3" numFmtId="0" xfId="0" applyAlignment="1" applyFill="1" applyFont="1">
      <alignment horizontal="center" readingOrder="0"/>
    </xf>
    <xf borderId="0" fillId="25" fontId="21" numFmtId="0" xfId="0" applyAlignment="1" applyFill="1" applyFont="1">
      <alignment horizontal="center" readingOrder="0"/>
    </xf>
    <xf borderId="0" fillId="24" fontId="10" numFmtId="0" xfId="0" applyAlignment="1" applyFill="1" applyFont="1">
      <alignment horizontal="center" readingOrder="0"/>
    </xf>
    <xf borderId="0" fillId="25" fontId="12" numFmtId="0" xfId="0" applyAlignment="1" applyFill="1" applyFont="1">
      <alignment horizontal="center" vertical="bottom"/>
    </xf>
    <xf borderId="0" fillId="25" fontId="9" numFmtId="0" xfId="0" applyAlignment="1" applyFill="1" applyFont="1">
      <alignment horizontal="center" readingOrder="0"/>
    </xf>
    <xf borderId="0" fillId="7" fontId="21" numFmtId="0" xfId="0" applyAlignment="1" applyFill="1" applyFont="1">
      <alignment horizontal="center" readingOrder="0"/>
    </xf>
    <xf borderId="0" fillId="25" fontId="1" numFmtId="0" xfId="0" applyAlignment="1" applyFill="1" applyFont="1">
      <alignment horizontal="center" readingOrder="0"/>
    </xf>
    <xf borderId="0" fillId="45" fontId="13" numFmtId="0" xfId="0" applyAlignment="1" applyFill="1" applyFont="1">
      <alignment horizontal="center" vertical="bottom"/>
    </xf>
    <xf borderId="0" fillId="24" fontId="6" numFmtId="0" xfId="0" applyAlignment="1" applyFill="1" applyFont="1">
      <alignment horizontal="center" readingOrder="0"/>
    </xf>
    <xf borderId="0" fillId="22" fontId="3" numFmtId="0" xfId="0" applyAlignment="1" applyFill="1" applyFont="1">
      <alignment readingOrder="0" vertical="center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/>
    </xf>
    <xf borderId="0" fillId="49" fontId="4" numFmtId="0" xfId="0" applyAlignment="1" applyFill="1" applyFont="1">
      <alignment horizontal="center" readingOrder="0"/>
    </xf>
    <xf borderId="0" fillId="50" fontId="3" numFmtId="0" xfId="0" applyAlignment="1" applyFill="1" applyFont="1">
      <alignment horizontal="center" readingOrder="0"/>
    </xf>
    <xf borderId="0" fillId="50" fontId="3" numFmtId="0" xfId="0" applyAlignment="1" applyFill="1" applyFont="1">
      <alignment horizontal="center"/>
    </xf>
    <xf borderId="0" fillId="22" fontId="4" numFmtId="0" xfId="0" applyAlignment="1" applyFill="1" applyFont="1">
      <alignment horizontal="center" readingOrder="0" vertical="center"/>
    </xf>
    <xf borderId="0" fillId="28" fontId="5" numFmtId="0" xfId="0" applyAlignment="1" applyFill="1" applyFont="1">
      <alignment horizontal="center" readingOrder="0"/>
    </xf>
    <xf borderId="0" fillId="37" fontId="3" numFmtId="0" xfId="0" applyAlignment="1" applyFill="1" applyFont="1">
      <alignment readingOrder="0"/>
    </xf>
    <xf borderId="0" fillId="0" fontId="24" numFmtId="0" xfId="0" applyAlignment="1" applyFont="1">
      <alignment horizontal="center" readingOrder="0"/>
    </xf>
    <xf borderId="0" fillId="49" fontId="3" numFmtId="0" xfId="0" applyAlignment="1" applyFill="1" applyFont="1">
      <alignment horizontal="center" readingOrder="0"/>
    </xf>
    <xf borderId="0" fillId="36" fontId="25" numFmtId="0" xfId="0" applyAlignment="1" applyFill="1" applyFont="1">
      <alignment horizontal="center" readingOrder="0"/>
    </xf>
    <xf borderId="0" fillId="36" fontId="8" numFmtId="0" xfId="0" applyAlignment="1" applyFill="1" applyFont="1">
      <alignment horizontal="center" readingOrder="0"/>
    </xf>
    <xf borderId="0" fillId="36" fontId="9" numFmtId="0" xfId="0" applyAlignment="1" applyFill="1" applyFont="1">
      <alignment horizontal="center" readingOrder="0"/>
    </xf>
    <xf borderId="0" fillId="35" fontId="4" numFmtId="0" xfId="0" applyAlignment="1" applyFill="1" applyFont="1">
      <alignment horizontal="center" readingOrder="0"/>
    </xf>
    <xf borderId="0" fillId="7" fontId="25" numFmtId="0" xfId="0" applyAlignment="1" applyFill="1" applyFont="1">
      <alignment horizontal="center" readingOrder="0"/>
    </xf>
    <xf borderId="0" fillId="36" fontId="1" numFmtId="0" xfId="0" applyAlignment="1" applyFill="1" applyFont="1">
      <alignment horizontal="center" readingOrder="0"/>
    </xf>
    <xf borderId="0" fillId="28" fontId="6" numFmtId="0" xfId="0" applyAlignment="1" applyFill="1" applyFont="1">
      <alignment horizontal="center" readingOrder="0" vertical="center"/>
    </xf>
    <xf borderId="0" fillId="49" fontId="4" numFmtId="0" xfId="0" applyAlignment="1" applyFill="1" applyFont="1">
      <alignment horizontal="center" readingOrder="0" vertical="center"/>
    </xf>
    <xf borderId="0" fillId="24" fontId="3" numFmtId="0" xfId="0" applyAlignment="1" applyFill="1" applyFont="1">
      <alignment horizontal="center"/>
    </xf>
    <xf borderId="0" fillId="0" fontId="3" numFmtId="0" xfId="0" applyAlignment="1" applyFont="1">
      <alignment vertical="center"/>
    </xf>
    <xf borderId="0" fillId="36" fontId="26" numFmtId="0" xfId="0" applyAlignment="1" applyFill="1" applyFon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22" fontId="3" numFmtId="0" xfId="0" applyAlignment="1" applyFill="1" applyFont="1">
      <alignment horizontal="left" readingOrder="0" vertical="center"/>
    </xf>
    <xf borderId="0" fillId="35" fontId="22" numFmtId="0" xfId="0" applyAlignment="1" applyFill="1" applyFont="1">
      <alignment horizontal="center" readingOrder="0"/>
    </xf>
    <xf borderId="0" fillId="0" fontId="13" numFmtId="0" xfId="0" applyAlignment="1" applyFont="1">
      <alignment readingOrder="0" vertical="bottom"/>
    </xf>
    <xf borderId="0" fillId="39" fontId="27" numFmtId="0" xfId="0" applyAlignment="1" applyFill="1" applyFont="1">
      <alignment horizontal="center" readingOrder="0"/>
    </xf>
    <xf borderId="0" fillId="41" fontId="7" numFmtId="3" xfId="0" applyAlignment="1" applyFill="1" applyFont="1" applyNumberFormat="1">
      <alignment horizontal="center" readingOrder="0"/>
    </xf>
    <xf borderId="0" fillId="41" fontId="8" numFmtId="0" xfId="0" applyAlignment="1" applyFill="1" applyFont="1">
      <alignment horizontal="center" readingOrder="0"/>
    </xf>
    <xf borderId="0" fillId="41" fontId="12" numFmtId="3" xfId="0" applyAlignment="1" applyFill="1" applyFont="1" applyNumberFormat="1">
      <alignment horizontal="center" vertical="center"/>
    </xf>
    <xf borderId="0" fillId="39" fontId="13" numFmtId="3" xfId="0" applyAlignment="1" applyFill="1" applyFont="1" applyNumberFormat="1">
      <alignment horizontal="center" vertical="center"/>
    </xf>
    <xf borderId="0" fillId="34" fontId="4" numFmtId="0" xfId="0" applyAlignment="1" applyFill="1" applyFont="1">
      <alignment horizontal="center" readingOrder="0" vertical="center"/>
    </xf>
    <xf borderId="0" fillId="22" fontId="11" numFmtId="0" xfId="0" applyAlignment="1" applyFill="1" applyFont="1">
      <alignment horizontal="center" vertical="bottom"/>
    </xf>
    <xf borderId="0" fillId="38" fontId="28" numFmtId="0" xfId="0" applyAlignment="1" applyFill="1" applyFont="1">
      <alignment horizontal="center" vertical="bottom"/>
    </xf>
    <xf borderId="0" fillId="51" fontId="4" numFmtId="0" xfId="0" applyAlignment="1" applyFill="1" applyFont="1">
      <alignment horizontal="center" readingOrder="0"/>
    </xf>
    <xf borderId="0" fillId="51" fontId="3" numFmtId="0" xfId="0" applyAlignment="1" applyFill="1" applyFont="1">
      <alignment horizontal="center" readingOrder="0"/>
    </xf>
    <xf borderId="0" fillId="2" fontId="8" numFmtId="0" xfId="0" applyAlignment="1" applyFill="1" applyFont="1">
      <alignment horizontal="center" readingOrder="0"/>
    </xf>
    <xf borderId="0" fillId="2" fontId="12" numFmtId="0" xfId="0" applyAlignment="1" applyFill="1" applyFont="1">
      <alignment horizontal="center" vertical="bottom"/>
    </xf>
    <xf borderId="0" fillId="18" fontId="8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3" fontId="13" numFmtId="0" xfId="0" applyAlignment="1" applyFill="1" applyFont="1">
      <alignment horizontal="center" vertical="bottom"/>
    </xf>
    <xf borderId="0" fillId="4" fontId="6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 vertical="center"/>
    </xf>
    <xf borderId="0" fillId="52" fontId="4" numFmtId="0" xfId="0" applyAlignment="1" applyFill="1" applyFont="1">
      <alignment horizontal="center" readingOrder="0"/>
    </xf>
    <xf borderId="0" fillId="52" fontId="3" numFmtId="0" xfId="0" applyAlignment="1" applyFill="1" applyFont="1">
      <alignment horizontal="center" readingOrder="0"/>
    </xf>
    <xf borderId="0" fillId="53" fontId="7" numFmtId="0" xfId="0" applyAlignment="1" applyFill="1" applyFont="1">
      <alignment horizontal="center" readingOrder="0"/>
    </xf>
    <xf borderId="0" fillId="53" fontId="25" numFmtId="0" xfId="0" applyAlignment="1" applyFill="1" applyFont="1">
      <alignment horizontal="center" readingOrder="0"/>
    </xf>
    <xf borderId="0" fillId="53" fontId="29" numFmtId="0" xfId="0" applyAlignment="1" applyFill="1" applyFont="1">
      <alignment horizontal="center" readingOrder="0"/>
    </xf>
    <xf borderId="0" fillId="53" fontId="8" numFmtId="0" xfId="0" applyAlignment="1" applyFill="1" applyFont="1">
      <alignment horizontal="center" readingOrder="0"/>
    </xf>
    <xf borderId="0" fillId="54" fontId="4" numFmtId="0" xfId="0" applyAlignment="1" applyFill="1" applyFont="1">
      <alignment horizontal="center" readingOrder="0"/>
    </xf>
    <xf borderId="0" fillId="52" fontId="3" numFmtId="0" xfId="0" applyAlignment="1" applyFill="1" applyFont="1">
      <alignment horizontal="center"/>
    </xf>
    <xf borderId="0" fillId="46" fontId="4" numFmtId="0" xfId="0" applyAlignment="1" applyFill="1" applyFont="1">
      <alignment horizontal="center" readingOrder="0"/>
    </xf>
    <xf borderId="0" fillId="31" fontId="7" numFmtId="0" xfId="0" applyAlignment="1" applyFill="1" applyFont="1">
      <alignment horizontal="center" readingOrder="0"/>
    </xf>
    <xf borderId="0" fillId="31" fontId="8" numFmtId="0" xfId="0" applyAlignment="1" applyFill="1" applyFont="1">
      <alignment horizontal="center" readingOrder="0"/>
    </xf>
    <xf borderId="0" fillId="31" fontId="29" numFmtId="0" xfId="0" applyAlignment="1" applyFill="1" applyFont="1">
      <alignment horizontal="center" readingOrder="0"/>
    </xf>
    <xf borderId="0" fillId="43" fontId="30" numFmtId="0" xfId="0" applyAlignment="1" applyFill="1" applyFont="1">
      <alignment horizontal="center" readingOrder="0"/>
    </xf>
    <xf borderId="0" fillId="55" fontId="7" numFmtId="0" xfId="0" applyAlignment="1" applyFill="1" applyFont="1">
      <alignment horizontal="center" readingOrder="0"/>
    </xf>
    <xf borderId="0" fillId="55" fontId="8" numFmtId="0" xfId="0" applyAlignment="1" applyFill="1" applyFont="1">
      <alignment horizontal="center" readingOrder="0"/>
    </xf>
    <xf borderId="0" fillId="14" fontId="8" numFmtId="0" xfId="0" applyAlignment="1" applyFill="1" applyFont="1">
      <alignment horizontal="center" readingOrder="0"/>
    </xf>
    <xf borderId="0" fillId="56" fontId="21" numFmtId="0" xfId="0" applyAlignment="1" applyFill="1" applyFont="1">
      <alignment horizontal="center" readingOrder="0"/>
    </xf>
    <xf borderId="0" fillId="14" fontId="31" numFmtId="0" xfId="0" applyAlignment="1" applyFill="1" applyFont="1">
      <alignment horizontal="center" readingOrder="0"/>
    </xf>
    <xf borderId="0" fillId="47" fontId="10" numFmtId="0" xfId="0" applyAlignment="1" applyFill="1" applyFont="1">
      <alignment horizontal="center" readingOrder="0"/>
    </xf>
    <xf borderId="0" fillId="14" fontId="12" numFmtId="0" xfId="0" applyAlignment="1" applyFill="1" applyFont="1">
      <alignment horizontal="center" vertical="bottom"/>
    </xf>
    <xf borderId="0" fillId="14" fontId="9" numFmtId="0" xfId="0" applyAlignment="1" applyFill="1" applyFont="1">
      <alignment horizontal="center" readingOrder="0"/>
    </xf>
    <xf borderId="0" fillId="7" fontId="31" numFmtId="0" xfId="0" applyAlignment="1" applyFill="1" applyFont="1">
      <alignment horizontal="center" readingOrder="0"/>
    </xf>
    <xf borderId="0" fillId="47" fontId="4" numFmtId="0" xfId="0" applyAlignment="1" applyFill="1" applyFont="1">
      <alignment horizontal="center" readingOrder="0"/>
    </xf>
    <xf borderId="0" fillId="47" fontId="13" numFmtId="0" xfId="0" applyAlignment="1" applyFill="1" applyFont="1">
      <alignment horizontal="center" vertical="center"/>
    </xf>
    <xf borderId="0" fillId="47" fontId="3" numFmtId="0" xfId="0" applyAlignment="1" applyFill="1" applyFont="1">
      <alignment readingOrder="0" vertical="center"/>
    </xf>
    <xf borderId="0" fillId="47" fontId="3" numFmtId="0" xfId="0" applyAlignment="1" applyFill="1" applyFont="1">
      <alignment horizontal="center" readingOrder="0"/>
    </xf>
    <xf borderId="0" fillId="47" fontId="3" numFmtId="0" xfId="0" applyAlignment="1" applyFill="1" applyFont="1">
      <alignment horizontal="center"/>
    </xf>
    <xf borderId="0" fillId="43" fontId="4" numFmtId="0" xfId="0" applyAlignment="1" applyFill="1" applyFont="1">
      <alignment horizontal="center" readingOrder="0" vertical="center"/>
    </xf>
    <xf borderId="0" fillId="7" fontId="32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/>
    </xf>
    <xf borderId="0" fillId="32" fontId="3" numFmtId="0" xfId="0" applyAlignment="1" applyFill="1" applyFont="1">
      <alignment horizontal="center" readingOrder="0"/>
    </xf>
    <xf borderId="0" fillId="32" fontId="4" numFmtId="0" xfId="0" applyAlignment="1" applyFill="1" applyFont="1">
      <alignment horizontal="center" readingOrder="0"/>
    </xf>
    <xf borderId="0" fillId="32" fontId="33" numFmtId="0" xfId="0" applyAlignment="1" applyFill="1" applyFont="1">
      <alignment horizontal="center" readingOrder="0"/>
    </xf>
    <xf borderId="0" fillId="29" fontId="8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5" fontId="10" numFmtId="0" xfId="0" applyAlignment="1" applyFill="1" applyFont="1">
      <alignment horizontal="center" readingOrder="0"/>
    </xf>
    <xf borderId="0" fillId="29" fontId="21" numFmtId="0" xfId="0" applyAlignment="1" applyFill="1" applyFont="1">
      <alignment horizontal="center" readingOrder="0"/>
    </xf>
    <xf borderId="0" fillId="7" fontId="8" numFmtId="0" xfId="0" applyAlignment="1" applyFill="1" applyFont="1">
      <alignment horizontal="center" readingOrder="0"/>
    </xf>
    <xf borderId="0" fillId="29" fontId="1" numFmtId="0" xfId="0" applyAlignment="1" applyFill="1" applyFont="1">
      <alignment horizontal="center" readingOrder="0"/>
    </xf>
    <xf borderId="0" fillId="29" fontId="8" numFmtId="0" xfId="0" applyAlignment="1" applyFill="1" applyFont="1">
      <alignment horizontal="center"/>
    </xf>
    <xf borderId="0" fillId="5" fontId="3" numFmtId="0" xfId="0" applyAlignment="1" applyFill="1" applyFont="1">
      <alignment readingOrder="0" vertical="center"/>
    </xf>
    <xf borderId="0" fillId="6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/>
    </xf>
    <xf borderId="0" fillId="32" fontId="3" numFmtId="0" xfId="0" applyAlignment="1" applyFill="1" applyFont="1">
      <alignment horizontal="center"/>
    </xf>
    <xf borderId="0" fillId="5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/>
    </xf>
    <xf borderId="0" fillId="5" fontId="4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left" readingOrder="0" vertical="center"/>
    </xf>
    <xf borderId="0" fillId="6" fontId="3" numFmtId="0" xfId="0" applyAlignment="1" applyFill="1" applyFont="1">
      <alignment readingOrder="0" vertical="center"/>
    </xf>
    <xf borderId="0" fillId="43" fontId="3" numFmtId="0" xfId="0" applyAlignment="1" applyFill="1" applyFont="1">
      <alignment readingOrder="0"/>
    </xf>
    <xf borderId="0" fillId="32" fontId="22" numFmtId="0" xfId="0" applyAlignment="1" applyFill="1" applyFont="1">
      <alignment horizontal="center" readingOrder="0"/>
    </xf>
    <xf borderId="0" fillId="0" fontId="34" numFmtId="0" xfId="0" applyAlignment="1" applyFont="1">
      <alignment horizontal="left" readingOrder="0" shrinkToFit="0" vertical="bottom" wrapText="0"/>
    </xf>
    <xf borderId="0" fillId="34" fontId="11" numFmtId="0" xfId="0" applyAlignment="1" applyFill="1" applyFont="1">
      <alignment horizontal="center" readingOrder="0"/>
    </xf>
    <xf borderId="0" fillId="19" fontId="10" numFmtId="0" xfId="0" applyAlignment="1" applyFill="1" applyFont="1">
      <alignment horizontal="center" readingOrder="0"/>
    </xf>
    <xf borderId="0" fillId="41" fontId="8" numFmtId="3" xfId="0" applyAlignment="1" applyFill="1" applyFont="1" applyNumberFormat="1">
      <alignment horizontal="center" readingOrder="0"/>
    </xf>
    <xf borderId="0" fillId="41" fontId="1" numFmtId="0" xfId="0" applyAlignment="1" applyFill="1" applyFont="1">
      <alignment horizontal="center" readingOrder="0"/>
    </xf>
    <xf borderId="0" fillId="39" fontId="3" numFmtId="0" xfId="0" applyAlignment="1" applyFill="1" applyFont="1">
      <alignment horizontal="left" readingOrder="0" vertical="center"/>
    </xf>
    <xf borderId="0" fillId="19" fontId="5" numFmtId="0" xfId="0" applyAlignment="1" applyFill="1" applyFont="1">
      <alignment horizontal="center" readingOrder="0"/>
    </xf>
    <xf borderId="0" fillId="17" fontId="7" numFmtId="0" xfId="0" applyAlignment="1" applyFill="1" applyFont="1">
      <alignment horizontal="center" readingOrder="0"/>
    </xf>
    <xf borderId="0" fillId="34" fontId="35" numFmtId="0" xfId="0" applyAlignment="1" applyFill="1" applyFont="1">
      <alignment horizontal="center" readingOrder="0"/>
    </xf>
    <xf borderId="0" fillId="34" fontId="6" numFmtId="0" xfId="0" applyAlignment="1" applyFill="1" applyFont="1">
      <alignment horizontal="center" readingOrder="0"/>
    </xf>
    <xf borderId="0" fillId="27" fontId="3" numFmtId="0" xfId="0" applyAlignment="1" applyFill="1" applyFont="1">
      <alignment readingOrder="0" vertical="center"/>
    </xf>
    <xf borderId="0" fillId="9" fontId="3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/>
    </xf>
    <xf borderId="0" fillId="40" fontId="8" numFmtId="0" xfId="0" applyAlignment="1" applyFill="1" applyFont="1">
      <alignment horizontal="center" readingOrder="0"/>
    </xf>
    <xf borderId="0" fillId="20" fontId="36" numFmtId="0" xfId="0" applyAlignment="1" applyFill="1" applyFont="1">
      <alignment horizontal="center" readingOrder="0"/>
    </xf>
    <xf borderId="0" fillId="14" fontId="21" numFmtId="3" xfId="0" applyAlignment="1" applyFill="1" applyFont="1" applyNumberFormat="1">
      <alignment horizontal="center" readingOrder="0"/>
    </xf>
    <xf borderId="0" fillId="14" fontId="25" numFmtId="0" xfId="0" applyAlignment="1" applyFill="1" applyFont="1">
      <alignment horizontal="center" readingOrder="0"/>
    </xf>
    <xf borderId="0" fillId="14" fontId="8" numFmtId="0" xfId="0" applyAlignment="1" applyFill="1" applyFont="1">
      <alignment horizontal="center" readingOrder="0" vertical="center"/>
    </xf>
    <xf borderId="0" fillId="14" fontId="8" numFmtId="3" xfId="0" applyAlignment="1" applyFill="1" applyFont="1" applyNumberFormat="1">
      <alignment horizontal="center" readingOrder="0" vertical="center"/>
    </xf>
    <xf borderId="0" fillId="57" fontId="4" numFmtId="0" xfId="0" applyAlignment="1" applyFill="1" applyFont="1">
      <alignment horizontal="center" readingOrder="0"/>
    </xf>
    <xf borderId="0" fillId="55" fontId="1" numFmtId="0" xfId="0" applyAlignment="1" applyFill="1" applyFont="1">
      <alignment horizontal="center" readingOrder="0"/>
    </xf>
    <xf borderId="0" fillId="47" fontId="6" numFmtId="0" xfId="0" applyAlignment="1" applyFill="1" applyFont="1">
      <alignment horizontal="center" readingOrder="0" vertical="center"/>
    </xf>
    <xf borderId="0" fillId="47" fontId="6" numFmtId="3" xfId="0" applyAlignment="1" applyFill="1" applyFont="1" applyNumberFormat="1">
      <alignment horizontal="center" readingOrder="0" vertical="center"/>
    </xf>
    <xf borderId="0" fillId="20" fontId="4" numFmtId="0" xfId="0" applyAlignment="1" applyFill="1" applyFont="1">
      <alignment horizontal="center" readingOrder="0" vertical="center"/>
    </xf>
    <xf borderId="0" fillId="37" fontId="3" numFmtId="0" xfId="0" applyAlignment="1" applyFill="1" applyFont="1">
      <alignment horizontal="center" readingOrder="0"/>
    </xf>
    <xf borderId="0" fillId="37" fontId="3" numFmtId="0" xfId="0" applyAlignment="1" applyFill="1" applyFont="1">
      <alignment horizontal="center"/>
    </xf>
    <xf borderId="0" fillId="0" fontId="24" numFmtId="0" xfId="0" applyAlignment="1" applyFont="1">
      <alignment readingOrder="0"/>
    </xf>
    <xf borderId="0" fillId="14" fontId="21" numFmtId="0" xfId="0" applyAlignment="1" applyFill="1" applyFont="1">
      <alignment horizontal="center" readingOrder="0"/>
    </xf>
    <xf borderId="0" fillId="57" fontId="4" numFmtId="0" xfId="0" applyAlignment="1" applyFill="1" applyFont="1">
      <alignment horizontal="center" readingOrder="0" vertical="center"/>
    </xf>
    <xf borderId="0" fillId="34" fontId="5" numFmtId="0" xfId="0" applyAlignment="1" applyFill="1" applyFont="1">
      <alignment horizontal="center" readingOrder="0"/>
    </xf>
    <xf borderId="0" fillId="7" fontId="37" numFmtId="0" xfId="0" applyAlignment="1" applyFill="1" applyFont="1">
      <alignment horizontal="center" readingOrder="0"/>
    </xf>
    <xf borderId="0" fillId="37" fontId="22" numFmtId="0" xfId="0" applyAlignment="1" applyFill="1" applyFont="1">
      <alignment horizontal="center" readingOrder="0"/>
    </xf>
    <xf borderId="0" fillId="53" fontId="38" numFmtId="3" xfId="0" applyAlignment="1" applyFill="1" applyFont="1" applyNumberFormat="1">
      <alignment horizontal="center" readingOrder="0"/>
    </xf>
    <xf borderId="0" fillId="54" fontId="10" numFmtId="0" xfId="0" applyAlignment="1" applyFill="1" applyFont="1">
      <alignment horizontal="center" readingOrder="0"/>
    </xf>
    <xf borderId="0" fillId="53" fontId="38" numFmtId="0" xfId="0" applyAlignment="1" applyFill="1" applyFont="1">
      <alignment horizontal="center" readingOrder="0"/>
    </xf>
    <xf borderId="0" fillId="53" fontId="21" numFmtId="0" xfId="0" applyAlignment="1" applyFill="1" applyFont="1">
      <alignment horizontal="center" readingOrder="0"/>
    </xf>
    <xf borderId="0" fillId="53" fontId="8" numFmtId="3" xfId="0" applyAlignment="1" applyFill="1" applyFont="1" applyNumberFormat="1">
      <alignment horizontal="center" readingOrder="0"/>
    </xf>
    <xf borderId="0" fillId="7" fontId="38" numFmtId="0" xfId="0" applyAlignment="1" applyFill="1" applyFont="1">
      <alignment horizontal="center" readingOrder="0"/>
    </xf>
    <xf borderId="0" fillId="53" fontId="1" numFmtId="0" xfId="0" applyAlignment="1" applyFill="1" applyFont="1">
      <alignment horizontal="center" readingOrder="0"/>
    </xf>
    <xf borderId="0" fillId="52" fontId="8" numFmtId="3" xfId="0" applyAlignment="1" applyFill="1" applyFont="1" applyNumberFormat="1">
      <alignment horizontal="center"/>
    </xf>
    <xf borderId="0" fillId="3" fontId="3" numFmtId="0" xfId="0" applyAlignment="1" applyFill="1" applyFont="1">
      <alignment readingOrder="0" vertical="center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/>
    </xf>
    <xf borderId="0" fillId="51" fontId="3" numFmtId="0" xfId="0" applyAlignment="1" applyFill="1" applyFont="1">
      <alignment horizontal="center"/>
    </xf>
    <xf borderId="0" fillId="53" fontId="26" numFmtId="0" xfId="0" applyAlignment="1" applyFill="1" applyFont="1">
      <alignment horizontal="center" readingOrder="0" vertical="bottom"/>
    </xf>
    <xf borderId="0" fillId="54" fontId="4" numFmtId="0" xfId="0" applyAlignment="1" applyFill="1" applyFont="1">
      <alignment horizontal="center" readingOrder="0" vertical="center"/>
    </xf>
    <xf borderId="0" fillId="32" fontId="11" numFmtId="0" xfId="0" applyAlignment="1" applyFill="1" applyFont="1">
      <alignment horizontal="center" vertical="bottom"/>
    </xf>
    <xf borderId="0" fillId="22" fontId="22" numFmtId="0" xfId="0" applyAlignment="1" applyFill="1" applyFont="1">
      <alignment horizontal="center" readingOrder="0"/>
    </xf>
    <xf borderId="0" fillId="0" fontId="39" numFmtId="0" xfId="0" applyAlignment="1" applyFont="1">
      <alignment readingOrder="0"/>
    </xf>
    <xf borderId="0" fillId="0" fontId="40" numFmtId="0" xfId="0" applyAlignment="1" applyFont="1">
      <alignment readingOrder="0"/>
    </xf>
    <xf borderId="0" fillId="40" fontId="41" numFmtId="0" xfId="0" applyAlignment="1" applyFill="1" applyFont="1">
      <alignment horizontal="center" readingOrder="0"/>
    </xf>
    <xf borderId="0" fillId="16" fontId="12" numFmtId="0" xfId="0" applyAlignment="1" applyFill="1" applyFont="1">
      <alignment horizontal="center" vertical="bottom"/>
    </xf>
    <xf borderId="0" fillId="16" fontId="12" numFmtId="3" xfId="0" applyAlignment="1" applyFill="1" applyFont="1" applyNumberFormat="1">
      <alignment horizontal="center" vertical="bottom"/>
    </xf>
    <xf borderId="0" fillId="19" fontId="13" numFmtId="0" xfId="0" applyAlignment="1" applyFill="1" applyFont="1">
      <alignment horizontal="center" vertical="center"/>
    </xf>
    <xf borderId="0" fillId="19" fontId="13" numFmtId="3" xfId="0" applyAlignment="1" applyFill="1" applyFont="1" applyNumberFormat="1">
      <alignment horizontal="center" vertical="center"/>
    </xf>
    <xf borderId="0" fillId="40" fontId="4" numFmtId="0" xfId="0" applyAlignment="1" applyFill="1" applyFont="1">
      <alignment horizontal="center" readingOrder="0" vertical="center"/>
    </xf>
    <xf borderId="0" fillId="39" fontId="3" numFmtId="0" xfId="0" applyAlignment="1" applyFill="1" applyFont="1">
      <alignment horizontal="center" readingOrder="0" vertical="center"/>
    </xf>
    <xf borderId="0" fillId="10" fontId="5" numFmtId="0" xfId="0" applyAlignment="1" applyFill="1" applyFont="1">
      <alignment horizontal="center"/>
    </xf>
    <xf borderId="0" fillId="0" fontId="19" numFmtId="0" xfId="0" applyAlignment="1" applyFont="1">
      <alignment horizontal="center" vertical="bottom"/>
    </xf>
    <xf borderId="0" fillId="34" fontId="11" numFmtId="0" xfId="0" applyAlignment="1" applyFill="1" applyFont="1">
      <alignment horizontal="center" vertical="bottom"/>
    </xf>
    <xf borderId="0" fillId="16" fontId="42" numFmtId="0" xfId="0" applyAlignment="1" applyFill="1" applyFont="1">
      <alignment horizontal="center" vertical="bottom"/>
    </xf>
    <xf borderId="0" fillId="11" fontId="3" numFmtId="0" xfId="0" applyAlignment="1" applyFill="1" applyFont="1">
      <alignment horizontal="center" readingOrder="0"/>
    </xf>
    <xf borderId="0" fillId="56" fontId="7" numFmtId="0" xfId="0" applyAlignment="1" applyFill="1" applyFont="1">
      <alignment horizontal="center" readingOrder="0"/>
    </xf>
    <xf borderId="0" fillId="12" fontId="10" numFmtId="0" xfId="0" applyAlignment="1" applyFill="1" applyFont="1">
      <alignment horizontal="center" readingOrder="0"/>
    </xf>
    <xf borderId="0" fillId="14" fontId="29" numFmtId="0" xfId="0" applyAlignment="1" applyFill="1" applyFont="1">
      <alignment horizontal="center" readingOrder="0"/>
    </xf>
    <xf borderId="0" fillId="56" fontId="8" numFmtId="0" xfId="0" applyAlignment="1" applyFill="1" applyFont="1">
      <alignment horizontal="center" readingOrder="0"/>
    </xf>
    <xf borderId="0" fillId="56" fontId="9" numFmtId="0" xfId="0" applyAlignment="1" applyFill="1" applyFont="1">
      <alignment horizontal="center" readingOrder="0"/>
    </xf>
    <xf borderId="0" fillId="7" fontId="3" numFmtId="0" xfId="0" applyAlignment="1" applyFill="1" applyFont="1">
      <alignment readingOrder="0" vertical="center"/>
    </xf>
    <xf borderId="0" fillId="31" fontId="29" numFmtId="3" xfId="0" applyAlignment="1" applyFill="1" applyFont="1" applyNumberFormat="1">
      <alignment horizontal="center" readingOrder="0"/>
    </xf>
    <xf borderId="0" fillId="31" fontId="8" numFmtId="3" xfId="0" applyAlignment="1" applyFill="1" applyFont="1" applyNumberFormat="1">
      <alignment horizontal="center" readingOrder="0"/>
    </xf>
    <xf borderId="0" fillId="7" fontId="29" numFmtId="0" xfId="0" applyAlignment="1" applyFill="1" applyFont="1">
      <alignment horizontal="center" readingOrder="0"/>
    </xf>
    <xf borderId="0" fillId="31" fontId="1" numFmtId="0" xfId="0" applyAlignment="1" applyFill="1" applyFont="1">
      <alignment horizontal="center" readingOrder="0"/>
    </xf>
    <xf borderId="0" fillId="45" fontId="6" numFmtId="0" xfId="0" applyAlignment="1" applyFill="1" applyFont="1">
      <alignment horizontal="center" readingOrder="0"/>
    </xf>
    <xf borderId="0" fillId="45" fontId="6" numFmtId="3" xfId="0" applyAlignment="1" applyFill="1" applyFont="1" applyNumberFormat="1">
      <alignment horizontal="center" readingOrder="0"/>
    </xf>
    <xf borderId="0" fillId="45" fontId="4" numFmtId="0" xfId="0" applyAlignment="1" applyFill="1" applyFont="1">
      <alignment horizontal="center" readingOrder="0" vertical="center"/>
    </xf>
    <xf borderId="0" fillId="34" fontId="11" numFmtId="0" xfId="0" applyAlignment="1" applyFill="1" applyFont="1">
      <alignment horizontal="center" vertical="bottom"/>
    </xf>
    <xf borderId="0" fillId="16" fontId="42" numFmtId="0" xfId="0" applyAlignment="1" applyFill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58" fontId="3" numFmtId="0" xfId="0" applyAlignment="1" applyFill="1" applyFont="1">
      <alignment horizontal="center" readingOrder="0"/>
    </xf>
    <xf borderId="0" fillId="58" fontId="4" numFmtId="0" xfId="0" applyAlignment="1" applyFill="1" applyFont="1">
      <alignment horizontal="center" readingOrder="0"/>
    </xf>
    <xf borderId="0" fillId="31" fontId="38" numFmtId="0" xfId="0" applyAlignment="1" applyFill="1" applyFont="1">
      <alignment horizontal="center" readingOrder="0"/>
    </xf>
    <xf borderId="0" fillId="31" fontId="12" numFmtId="0" xfId="0" applyAlignment="1" applyFill="1" applyFont="1">
      <alignment horizontal="center" vertical="center"/>
    </xf>
    <xf borderId="0" fillId="45" fontId="13" numFmtId="0" xfId="0" applyAlignment="1" applyFill="1" applyFont="1">
      <alignment horizontal="center" vertical="center"/>
    </xf>
    <xf borderId="0" fillId="46" fontId="4" numFmtId="0" xfId="0" applyAlignment="1" applyFill="1" applyFont="1">
      <alignment horizontal="center" readingOrder="0" vertical="center"/>
    </xf>
    <xf borderId="0" fillId="44" fontId="21" numFmtId="0" xfId="0" applyAlignment="1" applyFill="1" applyFont="1">
      <alignment horizontal="center" readingOrder="0"/>
    </xf>
    <xf borderId="0" fillId="44" fontId="8" numFmtId="0" xfId="0" applyAlignment="1" applyFill="1" applyFont="1">
      <alignment horizontal="center" readingOrder="0"/>
    </xf>
    <xf borderId="0" fillId="42" fontId="3" numFmtId="0" xfId="0" applyAlignment="1" applyFill="1" applyFont="1">
      <alignment horizontal="center" readingOrder="0"/>
    </xf>
    <xf borderId="0" fillId="42" fontId="3" numFmtId="0" xfId="0" applyAlignment="1" applyFill="1" applyFont="1">
      <alignment horizontal="center"/>
    </xf>
    <xf borderId="0" fillId="36" fontId="7" numFmtId="0" xfId="0" applyAlignment="1" applyFill="1" applyFont="1">
      <alignment horizontal="center" readingOrder="0"/>
    </xf>
    <xf borderId="0" fillId="36" fontId="21" numFmtId="0" xfId="0" applyAlignment="1" applyFill="1" applyFont="1">
      <alignment horizontal="center" readingOrder="0"/>
    </xf>
    <xf borderId="0" fillId="36" fontId="12" numFmtId="0" xfId="0" applyAlignment="1" applyFill="1" applyFont="1">
      <alignment horizontal="center" vertical="center"/>
    </xf>
    <xf borderId="0" fillId="49" fontId="13" numFmtId="0" xfId="0" applyAlignment="1" applyFill="1" applyFont="1">
      <alignment horizontal="center" vertical="center"/>
    </xf>
    <xf borderId="0" fillId="28" fontId="4" numFmtId="0" xfId="0" applyAlignment="1" applyFill="1" applyFont="1">
      <alignment horizontal="center" readingOrder="0" vertical="center"/>
    </xf>
    <xf borderId="0" fillId="49" fontId="3" numFmtId="0" xfId="0" applyAlignment="1" applyFill="1" applyFont="1">
      <alignment horizontal="center"/>
    </xf>
    <xf borderId="0" fillId="37" fontId="43" numFmtId="0" xfId="0" applyAlignment="1" applyFill="1" applyFont="1">
      <alignment horizontal="center" readingOrder="0"/>
    </xf>
    <xf borderId="0" fillId="37" fontId="6" numFmtId="0" xfId="0" applyAlignment="1" applyFill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47" fontId="3" numFmtId="0" xfId="0" applyAlignment="1" applyFill="1" applyFont="1">
      <alignment horizontal="left" readingOrder="0" vertical="center"/>
    </xf>
    <xf borderId="0" fillId="59" fontId="3" numFmtId="0" xfId="0" applyAlignment="1" applyFill="1" applyFont="1">
      <alignment readingOrder="0"/>
    </xf>
    <xf borderId="0" fillId="17" fontId="29" numFmtId="0" xfId="0" applyAlignment="1" applyFill="1" applyFont="1">
      <alignment horizontal="center" readingOrder="0"/>
    </xf>
    <xf borderId="0" fillId="17" fontId="21" numFmtId="0" xfId="0" applyAlignment="1" applyFill="1" applyFont="1">
      <alignment horizontal="center" readingOrder="0"/>
    </xf>
    <xf borderId="0" fillId="17" fontId="12" numFmtId="0" xfId="0" applyAlignment="1" applyFill="1" applyFont="1">
      <alignment horizontal="center" vertical="center"/>
    </xf>
    <xf borderId="0" fillId="60" fontId="13" numFmtId="0" xfId="0" applyAlignment="1" applyFill="1" applyFont="1">
      <alignment horizontal="center" vertical="center"/>
    </xf>
    <xf borderId="0" fillId="17" fontId="4" numFmtId="0" xfId="0" applyAlignment="1" applyFill="1" applyFont="1">
      <alignment horizontal="center" readingOrder="0" vertical="center"/>
    </xf>
    <xf borderId="0" fillId="3" fontId="24" numFmtId="0" xfId="0" applyAlignment="1" applyFill="1" applyFont="1">
      <alignment horizontal="center" readingOrder="0"/>
    </xf>
    <xf borderId="0" fillId="61" fontId="3" numFmtId="0" xfId="0" applyAlignment="1" applyFill="1" applyFont="1">
      <alignment horizontal="center"/>
    </xf>
    <xf borderId="0" fillId="27" fontId="4" numFmtId="0" xfId="0" applyAlignment="1" applyFill="1" applyFont="1">
      <alignment horizontal="center" readingOrder="0"/>
    </xf>
    <xf borderId="0" fillId="62" fontId="4" numFmtId="0" xfId="0" applyAlignment="1" applyFill="1" applyFont="1">
      <alignment horizontal="center" readingOrder="0"/>
    </xf>
    <xf borderId="0" fillId="7" fontId="44" numFmtId="0" xfId="0" applyAlignment="1" applyFill="1" applyFont="1">
      <alignment readingOrder="0"/>
    </xf>
    <xf borderId="0" fillId="7" fontId="45" numFmtId="0" xfId="0" applyAlignment="1" applyFill="1" applyFont="1">
      <alignment readingOrder="0"/>
    </xf>
    <xf borderId="0" fillId="29" fontId="46" numFmtId="0" xfId="0" applyAlignment="1" applyFill="1" applyFont="1">
      <alignment horizontal="center" readingOrder="0"/>
    </xf>
    <xf borderId="0" fillId="18" fontId="47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40" fontId="3" numFmtId="0" xfId="0" applyAlignment="1" applyFill="1" applyFont="1">
      <alignment readingOrder="0"/>
    </xf>
    <xf borderId="0" fillId="18" fontId="48" numFmtId="0" xfId="0" applyAlignment="1" applyFill="1" applyFont="1">
      <alignment horizontal="center" readingOrder="0"/>
    </xf>
    <xf borderId="0" fillId="3" fontId="49" numFmtId="0" xfId="0" applyAlignment="1" applyFill="1" applyFont="1">
      <alignment horizontal="center" readingOrder="0"/>
    </xf>
    <xf borderId="0" fillId="59" fontId="3" numFmtId="0" xfId="0" applyAlignment="1" applyFill="1" applyFont="1">
      <alignment horizontal="center" readingOrder="0"/>
    </xf>
    <xf borderId="0" fillId="0" fontId="3" numFmtId="165" xfId="0" applyAlignment="1" applyFont="1" applyNumberFormat="1">
      <alignment readingOrder="0"/>
    </xf>
    <xf borderId="0" fillId="0" fontId="3" numFmtId="165" xfId="0" applyAlignment="1" applyFont="1" applyNumberFormat="1">
      <alignment horizontal="center" readingOrder="0"/>
    </xf>
    <xf borderId="0" fillId="29" fontId="50" numFmtId="0" xfId="0" applyAlignment="1" applyFill="1" applyFont="1">
      <alignment horizontal="center" readingOrder="0"/>
    </xf>
    <xf borderId="0" fillId="29" fontId="51" numFmtId="0" xfId="0" applyAlignment="1" applyFill="1" applyFont="1">
      <alignment horizontal="center" readingOrder="0"/>
    </xf>
    <xf borderId="0" fillId="63" fontId="4" numFmtId="0" xfId="0" applyAlignment="1" applyFill="1" applyFont="1">
      <alignment horizontal="center" readingOrder="0"/>
    </xf>
    <xf borderId="0" fillId="64" fontId="4" numFmtId="0" xfId="0" applyAlignment="1" applyFill="1" applyFont="1">
      <alignment horizontal="center" readingOrder="0"/>
    </xf>
    <xf borderId="0" fillId="39" fontId="52" numFmtId="0" xfId="0" applyAlignment="1" applyFill="1" applyFont="1">
      <alignment horizontal="center" readingOrder="0" shrinkToFit="0" vertical="bottom" wrapText="0"/>
    </xf>
    <xf borderId="0" fillId="0" fontId="34" numFmtId="0" xfId="0" applyAlignment="1" applyFont="1">
      <alignment horizontal="left" shrinkToFit="0" vertical="bottom" wrapText="0"/>
    </xf>
    <xf borderId="0" fillId="0" fontId="52" numFmtId="0" xfId="0" applyAlignment="1" applyFont="1">
      <alignment horizontal="center" readingOrder="0" shrinkToFit="0" vertical="bottom" wrapText="0"/>
    </xf>
    <xf borderId="0" fillId="7" fontId="0" numFmtId="0" xfId="0" applyAlignment="1" applyFill="1" applyFont="1">
      <alignment horizontal="left" readingOrder="0" shrinkToFit="0" vertical="bottom" wrapText="0"/>
    </xf>
    <xf borderId="0" fillId="7" fontId="0" numFmtId="0" xfId="0" applyAlignment="1" applyFill="1" applyFont="1">
      <alignment horizontal="left" readingOrder="0"/>
    </xf>
    <xf borderId="0" fillId="0" fontId="34" numFmtId="0" xfId="0" applyAlignment="1" applyFont="1">
      <alignment horizontal="center" readingOrder="0" shrinkToFit="0" vertical="bottom" wrapText="0"/>
    </xf>
    <xf borderId="0" fillId="0" fontId="34" numFmtId="0" xfId="0" applyAlignment="1" applyFont="1">
      <alignment horizontal="center" shrinkToFit="0" vertical="bottom" wrapText="0"/>
    </xf>
    <xf borderId="0" fillId="0" fontId="53" numFmtId="0" xfId="0" applyAlignment="1" applyFont="1">
      <alignment horizontal="center" readingOrder="0"/>
    </xf>
    <xf borderId="0" fillId="0" fontId="39" numFmtId="0" xfId="0" applyAlignment="1" applyFont="1">
      <alignment horizontal="center" readingOrder="0"/>
    </xf>
    <xf borderId="0" fillId="0" fontId="0" numFmtId="0" xfId="0" applyAlignment="1" applyFont="1">
      <alignment horizontal="center" readingOrder="0" shrinkToFit="0" vertical="bottom" wrapText="0"/>
    </xf>
    <xf borderId="0" fillId="0" fontId="0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40" numFmtId="0" xfId="0" applyAlignment="1" applyFont="1">
      <alignment horizontal="center"/>
    </xf>
    <xf borderId="0" fillId="0" fontId="0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/>
    </xf>
    <xf borderId="0" fillId="0" fontId="39" numFmtId="0" xfId="0" applyAlignment="1" applyFont="1">
      <alignment horizontal="center"/>
    </xf>
    <xf borderId="0" fillId="0" fontId="54" numFmtId="0" xfId="0" applyAlignment="1" applyFont="1">
      <alignment horizontal="center" readingOrder="0"/>
    </xf>
    <xf borderId="0" fillId="0" fontId="54" numFmtId="0" xfId="0" applyAlignment="1" applyFont="1">
      <alignment horizontal="center"/>
    </xf>
    <xf borderId="0" fillId="28" fontId="52" numFmtId="0" xfId="0" applyAlignment="1" applyFill="1" applyFont="1">
      <alignment horizontal="center" readingOrder="0" shrinkToFit="0" vertical="bottom" wrapText="0"/>
    </xf>
    <xf borderId="0" fillId="7" fontId="39" numFmtId="0" xfId="0" applyAlignment="1" applyFill="1" applyFont="1">
      <alignment readingOrder="0"/>
    </xf>
    <xf borderId="0" fillId="0" fontId="55" numFmtId="0" xfId="0" applyAlignment="1" applyFont="1">
      <alignment readingOrder="0"/>
    </xf>
    <xf borderId="0" fillId="0" fontId="34" numFmtId="0" xfId="0" applyAlignment="1" applyFont="1">
      <alignment readingOrder="0"/>
    </xf>
    <xf borderId="0" fillId="2" fontId="56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53" fontId="57" numFmtId="0" xfId="0" applyAlignment="1" applyFill="1" applyFont="1">
      <alignment horizontal="center" readingOrder="0"/>
    </xf>
    <xf borderId="0" fillId="54" fontId="58" numFmtId="0" xfId="0" applyAlignment="1" applyFill="1" applyFont="1">
      <alignment horizontal="center" readingOrder="0"/>
    </xf>
    <xf borderId="0" fillId="53" fontId="59" numFmtId="0" xfId="0" applyAlignment="1" applyFill="1" applyFont="1">
      <alignment horizontal="center" readingOrder="0"/>
    </xf>
    <xf borderId="0" fillId="65" fontId="1" numFmtId="0" xfId="0" applyAlignment="1" applyFill="1" applyFon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7" fontId="60" numFmtId="0" xfId="0" applyAlignment="1" applyFill="1" applyFont="1">
      <alignment horizontal="center" readingOrder="0"/>
    </xf>
    <xf borderId="0" fillId="7" fontId="3" numFmtId="164" xfId="0" applyAlignment="1" applyFill="1" applyFont="1" applyNumberFormat="1">
      <alignment horizontal="center" readingOrder="0"/>
    </xf>
    <xf borderId="0" fillId="45" fontId="61" numFmtId="0" xfId="0" applyAlignment="1" applyFill="1" applyFont="1">
      <alignment horizontal="center" readingOrder="0" vertical="bottom"/>
    </xf>
    <xf borderId="0" fillId="7" fontId="62" numFmtId="0" xfId="0" applyAlignment="1" applyFill="1" applyFont="1">
      <alignment horizontal="center" readingOrder="0"/>
    </xf>
    <xf borderId="0" fillId="31" fontId="63" numFmtId="0" xfId="0" applyAlignment="1" applyFill="1" applyFont="1">
      <alignment horizontal="center" readingOrder="0" vertical="bottom"/>
    </xf>
    <xf borderId="0" fillId="31" fontId="63" numFmtId="0" xfId="0" applyAlignment="1" applyFill="1" applyFont="1">
      <alignment horizontal="center" vertical="bottom"/>
    </xf>
    <xf borderId="0" fillId="29" fontId="63" numFmtId="0" xfId="0" applyAlignment="1" applyFill="1" applyFont="1">
      <alignment horizontal="center" vertical="bottom"/>
    </xf>
    <xf borderId="0" fillId="0" fontId="13" numFmtId="0" xfId="0" applyAlignment="1" applyFont="1">
      <alignment horizontal="left" readingOrder="0" vertical="bottom"/>
    </xf>
    <xf borderId="0" fillId="7" fontId="64" numFmtId="0" xfId="0" applyAlignment="1" applyFill="1" applyFont="1">
      <alignment horizontal="left" readingOrder="0" vertical="bottom"/>
    </xf>
    <xf borderId="0" fillId="7" fontId="64" numFmtId="0" xfId="0" applyAlignment="1" applyFill="1" applyFont="1">
      <alignment horizontal="center" readingOrder="0" vertical="bottom"/>
    </xf>
    <xf borderId="0" fillId="7" fontId="65" numFmtId="0" xfId="0" applyAlignment="1" applyFill="1" applyFont="1">
      <alignment horizontal="center" readingOrder="0"/>
    </xf>
    <xf borderId="0" fillId="7" fontId="61" numFmtId="0" xfId="0" applyAlignment="1" applyFill="1" applyFont="1">
      <alignment horizontal="center" readingOrder="0" vertical="bottom"/>
    </xf>
    <xf borderId="0" fillId="45" fontId="65" numFmtId="0" xfId="0" applyAlignment="1" applyFill="1" applyFont="1">
      <alignment horizontal="center" readingOrder="0"/>
    </xf>
    <xf borderId="0" fillId="7" fontId="62" numFmtId="0" xfId="0" applyAlignment="1" applyFill="1" applyFont="1">
      <alignment horizontal="left" readingOrder="0"/>
    </xf>
    <xf borderId="0" fillId="7" fontId="46" numFmtId="0" xfId="0" applyAlignment="1" applyFill="1" applyFont="1">
      <alignment horizontal="center" readingOrder="0"/>
    </xf>
    <xf borderId="0" fillId="7" fontId="13" numFmtId="0" xfId="0" applyAlignment="1" applyFill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7" fontId="13" numFmtId="0" xfId="0" applyAlignment="1" applyFill="1" applyFont="1">
      <alignment vertical="bottom"/>
    </xf>
    <xf borderId="0" fillId="20" fontId="52" numFmtId="0" xfId="0" applyAlignment="1" applyFill="1" applyFont="1">
      <alignment horizontal="center" readingOrder="0" shrinkToFit="0" vertical="bottom" wrapText="0"/>
    </xf>
    <xf borderId="0" fillId="20" fontId="11" numFmtId="0" xfId="0" applyAlignment="1" applyFill="1" applyFont="1">
      <alignment horizontal="center" readingOrder="0" vertical="bottom"/>
    </xf>
    <xf borderId="0" fillId="7" fontId="11" numFmtId="0" xfId="0" applyAlignment="1" applyFill="1" applyFont="1">
      <alignment horizontal="center" vertical="bottom"/>
    </xf>
    <xf borderId="0" fillId="37" fontId="4" numFmtId="0" xfId="0" applyAlignment="1" applyFill="1" applyFont="1">
      <alignment horizontal="center" readingOrder="0"/>
    </xf>
    <xf borderId="0" fillId="2" fontId="48" numFmtId="0" xfId="0" applyAlignment="1" applyFill="1" applyFont="1">
      <alignment horizontal="center" readingOrder="0"/>
    </xf>
    <xf borderId="0" fillId="7" fontId="48" numFmtId="0" xfId="0" applyAlignment="1" applyFill="1" applyFont="1">
      <alignment horizontal="center" readingOrder="0"/>
    </xf>
    <xf borderId="0" fillId="34" fontId="3" numFmtId="0" xfId="0" applyAlignment="1" applyFill="1" applyFont="1">
      <alignment readingOrder="0"/>
    </xf>
    <xf borderId="0" fillId="34" fontId="3" numFmtId="0" xfId="0" applyAlignment="1" applyFill="1" applyFont="1">
      <alignment horizontal="left" readingOrder="0"/>
    </xf>
    <xf borderId="0" fillId="37" fontId="3" numFmtId="0" xfId="0" applyAlignment="1" applyFill="1" applyFont="1">
      <alignment horizontal="left" readingOrder="0"/>
    </xf>
    <xf borderId="0" fillId="3" fontId="3" numFmtId="0" xfId="0" applyAlignment="1" applyFill="1" applyFont="1">
      <alignment horizontal="center" readingOrder="0" vertical="center"/>
    </xf>
    <xf borderId="0" fillId="2" fontId="8" numFmtId="0" xfId="0" applyAlignment="1" applyFill="1" applyFont="1">
      <alignment readingOrder="0"/>
    </xf>
    <xf borderId="0" fillId="2" fontId="8" numFmtId="0" xfId="0" applyFill="1" applyFont="1"/>
    <xf borderId="0" fillId="0" fontId="3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craziecric.asmr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cricketcircle07/" TargetMode="External"/><Relationship Id="rId2" Type="http://schemas.openxmlformats.org/officeDocument/2006/relationships/hyperlink" Target="https://www.instagram.com/smark.sportswears/" TargetMode="External"/><Relationship Id="rId3" Type="http://schemas.openxmlformats.org/officeDocument/2006/relationships/hyperlink" Target="https://www.instagram.com/brand_sports_kasaragod/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vylax_clothing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cricketholicpk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crictv.edits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://techysphere.com/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cricket.bhu/" TargetMode="External"/><Relationship Id="rId2" Type="http://schemas.openxmlformats.org/officeDocument/2006/relationships/hyperlink" Target="https://www.instagram.com/cricwithmitt/" TargetMode="External"/><Relationship Id="rId3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womenscricinsight/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0.25"/>
    <col customWidth="1" min="3" max="3" width="27.75"/>
    <col customWidth="1" min="4" max="5" width="46.25"/>
    <col customWidth="1" min="6" max="6" width="36.0"/>
    <col customWidth="1" min="7" max="7" width="42.75"/>
    <col customWidth="1" min="8" max="8" width="26.13"/>
    <col customWidth="1" min="9" max="9" width="23.88"/>
    <col customWidth="1" min="10" max="10" width="34.75"/>
    <col customWidth="1" min="11" max="11" width="46.13"/>
    <col customWidth="1" min="12" max="12" width="23.75"/>
    <col customWidth="1" min="13" max="13" width="20.5"/>
    <col customWidth="1" min="14" max="14" width="26.0"/>
    <col customWidth="1" min="15" max="15" width="25.75"/>
    <col customWidth="1" min="16" max="16" width="23.75"/>
    <col customWidth="1" min="17" max="17" width="59.13"/>
    <col customWidth="1" min="18" max="18" width="23.88"/>
    <col customWidth="1" min="19" max="19" width="21.75"/>
  </cols>
  <sheetData>
    <row r="1">
      <c r="A1" s="1" t="s">
        <v>0</v>
      </c>
      <c r="D1" s="1" t="s">
        <v>1</v>
      </c>
    </row>
    <row r="2">
      <c r="A2" s="2" t="s">
        <v>2</v>
      </c>
      <c r="B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>
      <c r="A3" s="4" t="s">
        <v>13</v>
      </c>
      <c r="B3" s="5">
        <f>Scotland!A4</f>
        <v>17724615</v>
      </c>
      <c r="D3" s="6" t="str">
        <f t="array" ref="D3:D15">Australia!B7:B19</f>
        <v>Level 3 Stadiums</v>
      </c>
      <c r="E3" s="6" t="str">
        <f t="array" ref="E3:E15">Bangladesh!B8:B20</f>
        <v>Level 3 Stadiums</v>
      </c>
      <c r="F3" s="6" t="str">
        <f t="array" ref="F3:F21">England!B10:B28</f>
        <v>Level 3 Stadiums</v>
      </c>
      <c r="G3" s="6" t="str">
        <f t="array" ref="G3:G12">India!B7:B16</f>
        <v>Level 3 Stadiums</v>
      </c>
      <c r="H3" s="6" t="str">
        <f t="array" ref="H3:H11">Italy!B7:B15</f>
        <v>Level 3 Stadiums</v>
      </c>
      <c r="I3" s="6" t="str">
        <f t="array" ref="I3:I13">Netherlands!B7:B17</f>
        <v>Level 3 Stadiums</v>
      </c>
      <c r="J3" s="6" t="str">
        <f t="array" ref="J3:J14">Newzealand!B8:B19</f>
        <v>Level 3 Stadiums</v>
      </c>
      <c r="K3" s="6" t="str">
        <f t="array" ref="K3:K15">Pakistan!B7:B19</f>
        <v>Level 3 Stadiums</v>
      </c>
      <c r="L3" s="6" t="str">
        <f t="array" ref="L3:L14">Qatar!B8:B19</f>
        <v>Level 3 Stadiums</v>
      </c>
      <c r="M3" s="6" t="str">
        <f t="array" ref="M3:M14">Scotland!C7:C18</f>
        <v>Level 3 Stadiums</v>
      </c>
      <c r="N3" s="6" t="str">
        <f t="array" ref="N3:N14">SA!B9:B20</f>
        <v>Level 3 Stadiums</v>
      </c>
      <c r="O3" s="6" t="str">
        <f t="array" ref="O3:O14">Srilanka!B7:B18</f>
        <v>Level 3 Stadiums</v>
      </c>
      <c r="P3" s="6" t="str">
        <f t="array" ref="P3:P14">UAE!B7:B18</f>
        <v>Level 3 Stadiums</v>
      </c>
      <c r="Q3" s="6" t="str">
        <f t="array" ref="Q3:Q16">WestIndies!B8:B21</f>
        <v>Level 3 Stadiums</v>
      </c>
      <c r="R3" s="7" t="str">
        <f t="array" ref="R3:R15">Zimbabwe!C7:C19</f>
        <v>Level 3 Stadiums</v>
      </c>
      <c r="S3" s="7" t="str">
        <f t="array" ref="S3:S14">Canada!B7:B18</f>
        <v>Level 3 Stadiums</v>
      </c>
    </row>
    <row r="4">
      <c r="A4" s="4" t="s">
        <v>4</v>
      </c>
      <c r="B4" s="5">
        <f>Australia!A4</f>
        <v>6851560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25</v>
      </c>
      <c r="J4" s="8" t="s">
        <v>26</v>
      </c>
      <c r="K4" s="8" t="s">
        <v>27</v>
      </c>
      <c r="L4" s="8" t="s">
        <v>28</v>
      </c>
      <c r="M4" s="8" t="s">
        <v>29</v>
      </c>
      <c r="N4" s="8" t="s">
        <v>30</v>
      </c>
      <c r="O4" s="8" t="s">
        <v>31</v>
      </c>
      <c r="P4" s="8" t="s">
        <v>32</v>
      </c>
      <c r="Q4" s="8" t="s">
        <v>33</v>
      </c>
      <c r="R4" s="8" t="s">
        <v>34</v>
      </c>
      <c r="S4" s="8" t="s">
        <v>35</v>
      </c>
    </row>
    <row r="5">
      <c r="A5" s="4" t="s">
        <v>10</v>
      </c>
      <c r="B5" s="8">
        <f>Newzealand!A5</f>
        <v>4298385</v>
      </c>
      <c r="D5" s="8" t="s">
        <v>36</v>
      </c>
      <c r="E5" s="8" t="s">
        <v>37</v>
      </c>
      <c r="F5" s="8" t="s">
        <v>38</v>
      </c>
      <c r="G5" s="8" t="s">
        <v>39</v>
      </c>
      <c r="H5" s="6" t="s">
        <v>40</v>
      </c>
      <c r="I5" s="8" t="s">
        <v>41</v>
      </c>
      <c r="J5" s="8" t="s">
        <v>42</v>
      </c>
      <c r="K5" s="8" t="s">
        <v>43</v>
      </c>
      <c r="L5" s="8" t="s">
        <v>44</v>
      </c>
      <c r="M5" s="9" t="s">
        <v>45</v>
      </c>
      <c r="N5" s="8" t="s">
        <v>46</v>
      </c>
      <c r="O5" s="8" t="s">
        <v>47</v>
      </c>
      <c r="P5" s="6" t="s">
        <v>48</v>
      </c>
      <c r="Q5" s="8" t="s">
        <v>49</v>
      </c>
      <c r="R5" s="7" t="s">
        <v>50</v>
      </c>
      <c r="S5" s="7" t="s">
        <v>48</v>
      </c>
    </row>
    <row r="6">
      <c r="A6" s="4" t="s">
        <v>5</v>
      </c>
      <c r="B6" s="5">
        <f>Bangladesh!A5</f>
        <v>5510745</v>
      </c>
      <c r="D6" s="8" t="s">
        <v>51</v>
      </c>
      <c r="E6" s="8" t="s">
        <v>52</v>
      </c>
      <c r="F6" s="8" t="s">
        <v>53</v>
      </c>
      <c r="G6" s="9" t="s">
        <v>54</v>
      </c>
      <c r="H6" s="8" t="s">
        <v>48</v>
      </c>
      <c r="I6" s="6" t="s">
        <v>55</v>
      </c>
      <c r="J6" s="8" t="s">
        <v>56</v>
      </c>
      <c r="K6" s="8" t="s">
        <v>57</v>
      </c>
      <c r="L6" s="6" t="s">
        <v>58</v>
      </c>
      <c r="M6" s="8" t="s">
        <v>59</v>
      </c>
      <c r="N6" s="6" t="s">
        <v>48</v>
      </c>
      <c r="O6" s="6" t="s">
        <v>48</v>
      </c>
      <c r="P6" s="8" t="s">
        <v>60</v>
      </c>
      <c r="Q6" s="9" t="s">
        <v>61</v>
      </c>
      <c r="R6" s="8" t="s">
        <v>48</v>
      </c>
      <c r="S6" s="8" t="s">
        <v>60</v>
      </c>
    </row>
    <row r="7">
      <c r="A7" s="4" t="s">
        <v>7</v>
      </c>
      <c r="B7" s="8">
        <f>India!A4</f>
        <v>3852710</v>
      </c>
      <c r="D7" s="8" t="s">
        <v>62</v>
      </c>
      <c r="E7" s="8" t="s">
        <v>63</v>
      </c>
      <c r="F7" s="8" t="s">
        <v>64</v>
      </c>
      <c r="G7" s="7" t="s">
        <v>48</v>
      </c>
      <c r="H7" s="6" t="s">
        <v>60</v>
      </c>
      <c r="I7" s="8" t="s">
        <v>65</v>
      </c>
      <c r="J7" s="8" t="s">
        <v>66</v>
      </c>
      <c r="K7" s="8" t="s">
        <v>67</v>
      </c>
      <c r="L7" s="8" t="s">
        <v>48</v>
      </c>
      <c r="M7" s="6" t="s">
        <v>68</v>
      </c>
      <c r="N7" s="8" t="s">
        <v>60</v>
      </c>
      <c r="O7" s="8" t="s">
        <v>60</v>
      </c>
      <c r="P7" s="6" t="s">
        <v>69</v>
      </c>
      <c r="Q7" s="8" t="s">
        <v>70</v>
      </c>
      <c r="R7" s="7" t="s">
        <v>60</v>
      </c>
      <c r="S7" s="7" t="s">
        <v>69</v>
      </c>
    </row>
    <row r="8">
      <c r="A8" s="4" t="s">
        <v>11</v>
      </c>
      <c r="B8" s="5">
        <f>Pakistan!A4</f>
        <v>6798500</v>
      </c>
      <c r="D8" s="8" t="s">
        <v>71</v>
      </c>
      <c r="E8" s="8" t="s">
        <v>72</v>
      </c>
      <c r="F8" s="8" t="s">
        <v>73</v>
      </c>
      <c r="G8" s="9" t="s">
        <v>60</v>
      </c>
      <c r="H8" s="8" t="s">
        <v>69</v>
      </c>
      <c r="I8" s="6" t="s">
        <v>74</v>
      </c>
      <c r="J8" s="6" t="s">
        <v>75</v>
      </c>
      <c r="K8" s="9" t="s">
        <v>76</v>
      </c>
      <c r="L8" s="6" t="s">
        <v>60</v>
      </c>
      <c r="M8" s="8" t="s">
        <v>48</v>
      </c>
      <c r="N8" s="6" t="s">
        <v>69</v>
      </c>
      <c r="O8" s="6" t="s">
        <v>69</v>
      </c>
      <c r="P8" s="8" t="s">
        <v>60</v>
      </c>
      <c r="Q8" s="9" t="s">
        <v>77</v>
      </c>
      <c r="R8" s="8" t="s">
        <v>69</v>
      </c>
      <c r="S8" s="8" t="s">
        <v>60</v>
      </c>
    </row>
    <row r="9">
      <c r="A9" s="4" t="s">
        <v>6</v>
      </c>
      <c r="B9" s="8">
        <f>England!A7</f>
        <v>3834985</v>
      </c>
      <c r="D9" s="8" t="s">
        <v>78</v>
      </c>
      <c r="E9" s="9" t="s">
        <v>79</v>
      </c>
      <c r="F9" s="8" t="s">
        <v>80</v>
      </c>
      <c r="G9" s="7" t="s">
        <v>69</v>
      </c>
      <c r="H9" s="8" t="s">
        <v>60</v>
      </c>
      <c r="I9" s="8" t="s">
        <v>48</v>
      </c>
      <c r="J9" s="8" t="s">
        <v>81</v>
      </c>
      <c r="K9" s="8" t="s">
        <v>82</v>
      </c>
      <c r="L9" s="8" t="s">
        <v>69</v>
      </c>
      <c r="M9" s="7" t="s">
        <v>60</v>
      </c>
      <c r="N9" s="8" t="s">
        <v>60</v>
      </c>
      <c r="O9" s="8" t="s">
        <v>60</v>
      </c>
      <c r="P9" s="8"/>
      <c r="Q9" s="8" t="s">
        <v>83</v>
      </c>
      <c r="R9" s="8" t="s">
        <v>60</v>
      </c>
      <c r="S9" s="8"/>
    </row>
    <row r="10">
      <c r="A10" s="4" t="s">
        <v>15</v>
      </c>
      <c r="B10" s="5">
        <f>Srilanka!A4</f>
        <v>1654300</v>
      </c>
      <c r="D10" s="8" t="s">
        <v>84</v>
      </c>
      <c r="E10" s="9" t="s">
        <v>85</v>
      </c>
      <c r="F10" s="9" t="s">
        <v>86</v>
      </c>
      <c r="G10" s="8" t="s">
        <v>87</v>
      </c>
      <c r="H10" s="8"/>
      <c r="I10" s="8" t="s">
        <v>60</v>
      </c>
      <c r="J10" s="6" t="s">
        <v>88</v>
      </c>
      <c r="K10" s="9" t="s">
        <v>89</v>
      </c>
      <c r="L10" s="8" t="s">
        <v>60</v>
      </c>
      <c r="M10" s="8" t="s">
        <v>69</v>
      </c>
      <c r="N10" s="8"/>
      <c r="O10" s="8"/>
      <c r="P10" s="8"/>
      <c r="Q10" s="8" t="s">
        <v>90</v>
      </c>
      <c r="R10" s="8"/>
      <c r="S10" s="8"/>
    </row>
    <row r="11">
      <c r="A11" s="4" t="s">
        <v>12</v>
      </c>
      <c r="B11" s="5">
        <f>Qatar!A5</f>
        <v>5621460</v>
      </c>
      <c r="D11" s="8" t="s">
        <v>91</v>
      </c>
      <c r="E11" s="7" t="s">
        <v>92</v>
      </c>
      <c r="F11" s="8" t="s">
        <v>93</v>
      </c>
      <c r="G11" s="8" t="s">
        <v>94</v>
      </c>
      <c r="H11" s="8"/>
      <c r="I11" s="8" t="s">
        <v>69</v>
      </c>
      <c r="J11" s="8" t="s">
        <v>95</v>
      </c>
      <c r="K11" s="8" t="s">
        <v>96</v>
      </c>
      <c r="L11" s="8"/>
      <c r="M11" s="8" t="s">
        <v>60</v>
      </c>
      <c r="N11" s="8"/>
      <c r="O11" s="8"/>
      <c r="P11" s="8"/>
      <c r="Q11" s="8" t="s">
        <v>97</v>
      </c>
      <c r="R11" s="8"/>
      <c r="S11" s="8"/>
    </row>
    <row r="12">
      <c r="A12" s="4" t="s">
        <v>17</v>
      </c>
      <c r="B12" s="8">
        <f>WestIndies!A5</f>
        <v>6625225</v>
      </c>
      <c r="D12" s="7" t="s">
        <v>48</v>
      </c>
      <c r="E12" s="9" t="s">
        <v>48</v>
      </c>
      <c r="F12" s="7" t="s">
        <v>48</v>
      </c>
      <c r="G12" s="8" t="s">
        <v>98</v>
      </c>
      <c r="H12" s="8"/>
      <c r="I12" s="8" t="s">
        <v>60</v>
      </c>
      <c r="J12" s="8" t="s">
        <v>48</v>
      </c>
      <c r="K12" s="7" t="s">
        <v>48</v>
      </c>
      <c r="L12" s="8"/>
      <c r="M12" s="8"/>
      <c r="N12" s="8"/>
      <c r="O12" s="8"/>
      <c r="P12" s="8"/>
      <c r="Q12" s="7" t="s">
        <v>99</v>
      </c>
      <c r="R12" s="10"/>
      <c r="S12" s="10"/>
    </row>
    <row r="13">
      <c r="A13" s="4" t="s">
        <v>8</v>
      </c>
      <c r="B13" s="8">
        <f>Italy!A4</f>
        <v>1781475</v>
      </c>
      <c r="D13" s="8" t="s">
        <v>60</v>
      </c>
      <c r="E13" s="7" t="s">
        <v>60</v>
      </c>
      <c r="F13" s="8" t="s">
        <v>100</v>
      </c>
      <c r="G13" s="8"/>
      <c r="H13" s="8"/>
      <c r="I13" s="8"/>
      <c r="J13" s="8" t="s">
        <v>60</v>
      </c>
      <c r="K13" s="8" t="s">
        <v>60</v>
      </c>
      <c r="L13" s="8"/>
      <c r="M13" s="8"/>
      <c r="N13" s="8"/>
      <c r="O13" s="8"/>
      <c r="P13" s="8"/>
      <c r="Q13" s="8" t="s">
        <v>48</v>
      </c>
      <c r="R13" s="10"/>
      <c r="S13" s="10"/>
    </row>
    <row r="14">
      <c r="A14" s="4" t="s">
        <v>9</v>
      </c>
      <c r="B14" s="8">
        <f>Netherlands!A4</f>
        <v>1087315</v>
      </c>
      <c r="D14" s="7" t="s">
        <v>69</v>
      </c>
      <c r="E14" s="8" t="s">
        <v>69</v>
      </c>
      <c r="F14" s="8" t="s">
        <v>101</v>
      </c>
      <c r="G14" s="8"/>
      <c r="H14" s="8"/>
      <c r="I14" s="8"/>
      <c r="J14" s="8" t="s">
        <v>69</v>
      </c>
      <c r="K14" s="7" t="s">
        <v>69</v>
      </c>
      <c r="L14" s="8"/>
      <c r="M14" s="8"/>
      <c r="N14" s="8" t="s">
        <v>102</v>
      </c>
      <c r="O14" s="8"/>
      <c r="P14" s="8"/>
      <c r="Q14" s="7" t="s">
        <v>60</v>
      </c>
      <c r="R14" s="10"/>
      <c r="S14" s="10"/>
    </row>
    <row r="15">
      <c r="A15" s="4" t="s">
        <v>14</v>
      </c>
      <c r="B15" s="5">
        <f>SA!A6</f>
        <v>5181100</v>
      </c>
      <c r="D15" s="8" t="s">
        <v>60</v>
      </c>
      <c r="E15" s="8" t="s">
        <v>60</v>
      </c>
      <c r="F15" s="11" t="s">
        <v>69</v>
      </c>
      <c r="G15" s="8"/>
      <c r="H15" s="8"/>
      <c r="I15" s="8"/>
      <c r="J15" s="8"/>
      <c r="K15" s="8" t="s">
        <v>60</v>
      </c>
      <c r="L15" s="8"/>
      <c r="M15" s="8"/>
      <c r="N15" s="8"/>
      <c r="O15" s="8"/>
      <c r="P15" s="8"/>
      <c r="Q15" s="8" t="s">
        <v>69</v>
      </c>
      <c r="R15" s="10"/>
    </row>
    <row r="16">
      <c r="A16" s="4" t="s">
        <v>16</v>
      </c>
      <c r="B16" s="8">
        <f>UAE!A4</f>
        <v>468725</v>
      </c>
      <c r="D16" s="8"/>
      <c r="E16" s="8"/>
      <c r="F16" s="8" t="s">
        <v>60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 t="s">
        <v>60</v>
      </c>
    </row>
    <row r="17">
      <c r="A17" s="4" t="s">
        <v>19</v>
      </c>
      <c r="B17" s="8">
        <f>Zimbabwe!A4</f>
        <v>139000</v>
      </c>
      <c r="F17" s="10"/>
      <c r="K17" s="8"/>
      <c r="L17" s="8"/>
      <c r="M17" s="8"/>
      <c r="N17" s="8"/>
      <c r="O17" s="8"/>
      <c r="P17" s="8"/>
      <c r="Q17" s="8"/>
    </row>
    <row r="18">
      <c r="A18" s="4" t="s">
        <v>18</v>
      </c>
      <c r="B18" s="8">
        <f>Canada!A4</f>
        <v>251500</v>
      </c>
      <c r="F18" s="10"/>
      <c r="K18" s="8"/>
      <c r="L18" s="8"/>
      <c r="M18" s="8"/>
      <c r="N18" s="8"/>
      <c r="O18" s="8"/>
      <c r="P18" s="8"/>
      <c r="Q18" s="8"/>
    </row>
    <row r="19">
      <c r="A19" s="4" t="s">
        <v>103</v>
      </c>
      <c r="B19" s="5">
        <f>Ireland!A5</f>
        <v>718775</v>
      </c>
      <c r="F19" s="10"/>
      <c r="K19" s="8"/>
      <c r="L19" s="8"/>
      <c r="M19" s="8"/>
      <c r="N19" s="8"/>
      <c r="O19" s="8"/>
      <c r="P19" s="8"/>
      <c r="Q19" s="8"/>
    </row>
    <row r="20">
      <c r="A20" s="4" t="s">
        <v>104</v>
      </c>
      <c r="B20" s="8">
        <f>Uganda!A4</f>
        <v>174825</v>
      </c>
      <c r="F20" s="10"/>
      <c r="K20" s="8"/>
      <c r="L20" s="8"/>
      <c r="M20" s="8"/>
      <c r="N20" s="8"/>
      <c r="O20" s="8"/>
      <c r="P20" s="8"/>
      <c r="Q20" s="8"/>
    </row>
    <row r="21">
      <c r="A21" s="4" t="s">
        <v>105</v>
      </c>
      <c r="B21" s="8">
        <f>USA!A4</f>
        <v>944725</v>
      </c>
      <c r="F21" s="10"/>
      <c r="K21" s="8"/>
      <c r="L21" s="8"/>
      <c r="M21" s="8"/>
      <c r="N21" s="8"/>
      <c r="O21" s="8"/>
      <c r="P21" s="8"/>
      <c r="Q21" s="8"/>
    </row>
    <row r="22">
      <c r="A22" s="4" t="s">
        <v>106</v>
      </c>
      <c r="B22" s="8">
        <f>'Dismantled Argentina'!A4</f>
        <v>33500</v>
      </c>
      <c r="E22" s="8"/>
      <c r="F22" s="8"/>
      <c r="G22" s="8"/>
      <c r="H22" s="8"/>
      <c r="I22" s="8"/>
      <c r="J22" s="8"/>
      <c r="L22" s="8"/>
      <c r="M22" s="8"/>
      <c r="N22" s="8"/>
      <c r="O22" s="8"/>
      <c r="P22" s="8"/>
      <c r="Q22" s="8"/>
    </row>
    <row r="23">
      <c r="A23" s="4" t="s">
        <v>107</v>
      </c>
      <c r="B23" s="8">
        <f>Kenya!A4</f>
        <v>127000</v>
      </c>
      <c r="E23" s="12"/>
      <c r="F23" s="13" t="s">
        <v>108</v>
      </c>
      <c r="L23" s="8"/>
      <c r="M23" s="8"/>
      <c r="N23" s="8"/>
      <c r="O23" s="8"/>
      <c r="P23" s="8"/>
      <c r="Q23" s="8"/>
    </row>
    <row r="24">
      <c r="A24" s="4" t="s">
        <v>109</v>
      </c>
      <c r="B24" s="8">
        <f>Nepal!A5</f>
        <v>164000</v>
      </c>
      <c r="F24" s="14" t="s">
        <v>110</v>
      </c>
      <c r="G24" s="15" t="s">
        <v>111</v>
      </c>
      <c r="H24" s="15" t="s">
        <v>112</v>
      </c>
      <c r="I24" s="15" t="s">
        <v>113</v>
      </c>
      <c r="J24" s="15" t="s">
        <v>114</v>
      </c>
      <c r="L24" s="8"/>
      <c r="M24" s="8"/>
      <c r="N24" s="8"/>
      <c r="O24" s="8"/>
      <c r="P24" s="8"/>
      <c r="Q24" s="8"/>
    </row>
    <row r="25">
      <c r="A25" s="4" t="s">
        <v>115</v>
      </c>
      <c r="B25" s="8">
        <f>PNG!A4</f>
        <v>253225</v>
      </c>
      <c r="D25" s="8"/>
      <c r="F25" s="16" t="s">
        <v>116</v>
      </c>
      <c r="G25" s="17" t="s">
        <v>117</v>
      </c>
      <c r="H25" s="17" t="s">
        <v>118</v>
      </c>
      <c r="I25" s="17" t="s">
        <v>119</v>
      </c>
      <c r="J25" s="17" t="s">
        <v>6</v>
      </c>
      <c r="L25" s="8"/>
      <c r="M25" s="8"/>
      <c r="N25" s="8"/>
      <c r="O25" s="8"/>
      <c r="P25" s="8"/>
      <c r="Q25" s="8"/>
    </row>
    <row r="26">
      <c r="A26" s="4" t="s">
        <v>120</v>
      </c>
      <c r="B26" s="8">
        <f>Portugal!A4</f>
        <v>72000</v>
      </c>
      <c r="G26" s="17" t="s">
        <v>121</v>
      </c>
      <c r="H26" s="17" t="s">
        <v>122</v>
      </c>
      <c r="I26" s="17" t="s">
        <v>119</v>
      </c>
      <c r="J26" s="17" t="s">
        <v>123</v>
      </c>
      <c r="L26" s="8"/>
      <c r="M26" s="8"/>
      <c r="N26" s="8"/>
      <c r="O26" s="8"/>
      <c r="P26" s="8"/>
      <c r="Q26" s="8"/>
    </row>
    <row r="27">
      <c r="G27" s="17" t="s">
        <v>124</v>
      </c>
      <c r="H27" s="17" t="s">
        <v>125</v>
      </c>
      <c r="I27" s="17" t="s">
        <v>126</v>
      </c>
      <c r="J27" s="17" t="s">
        <v>10</v>
      </c>
      <c r="L27" s="8"/>
      <c r="M27" s="8"/>
      <c r="N27" s="8"/>
      <c r="O27" s="8"/>
      <c r="P27" s="8"/>
      <c r="Q27" s="8"/>
    </row>
    <row r="28">
      <c r="A28" s="13" t="s">
        <v>127</v>
      </c>
      <c r="G28" s="17" t="s">
        <v>128</v>
      </c>
      <c r="H28" s="17" t="s">
        <v>129</v>
      </c>
      <c r="I28" s="17" t="s">
        <v>130</v>
      </c>
      <c r="J28" s="17" t="s">
        <v>6</v>
      </c>
    </row>
    <row r="29">
      <c r="A29" s="14" t="s">
        <v>131</v>
      </c>
      <c r="B29" s="14" t="s">
        <v>132</v>
      </c>
      <c r="C29" s="14" t="s">
        <v>133</v>
      </c>
      <c r="D29" s="14" t="s">
        <v>134</v>
      </c>
      <c r="G29" s="17" t="s">
        <v>135</v>
      </c>
      <c r="H29" s="17" t="s">
        <v>136</v>
      </c>
      <c r="I29" s="17" t="s">
        <v>130</v>
      </c>
      <c r="J29" s="17" t="s">
        <v>9</v>
      </c>
    </row>
    <row r="30">
      <c r="A30" s="16" t="s">
        <v>137</v>
      </c>
      <c r="B30" s="18" t="s">
        <v>138</v>
      </c>
      <c r="C30" s="18" t="s">
        <v>139</v>
      </c>
      <c r="D30" s="18" t="s">
        <v>6</v>
      </c>
      <c r="G30" s="17" t="s">
        <v>140</v>
      </c>
      <c r="H30" s="17" t="s">
        <v>141</v>
      </c>
      <c r="I30" s="17" t="s">
        <v>142</v>
      </c>
      <c r="J30" s="17" t="s">
        <v>7</v>
      </c>
    </row>
    <row r="31">
      <c r="B31" s="18" t="s">
        <v>143</v>
      </c>
      <c r="C31" s="18" t="s">
        <v>144</v>
      </c>
      <c r="D31" s="18" t="s">
        <v>4</v>
      </c>
      <c r="G31" s="19" t="s">
        <v>145</v>
      </c>
      <c r="H31" s="19" t="s">
        <v>130</v>
      </c>
    </row>
    <row r="32">
      <c r="B32" s="18" t="s">
        <v>146</v>
      </c>
      <c r="C32" s="18" t="s">
        <v>147</v>
      </c>
      <c r="D32" s="18" t="s">
        <v>15</v>
      </c>
      <c r="G32" s="19" t="s">
        <v>148</v>
      </c>
      <c r="H32" s="19" t="s">
        <v>126</v>
      </c>
    </row>
    <row r="33">
      <c r="B33" s="18" t="s">
        <v>149</v>
      </c>
      <c r="C33" s="18" t="s">
        <v>150</v>
      </c>
      <c r="D33" s="18" t="s">
        <v>11</v>
      </c>
      <c r="F33" s="20" t="s">
        <v>151</v>
      </c>
      <c r="G33" s="21" t="s">
        <v>117</v>
      </c>
      <c r="H33" s="21" t="s">
        <v>152</v>
      </c>
      <c r="I33" s="21" t="s">
        <v>153</v>
      </c>
      <c r="J33" s="21" t="s">
        <v>11</v>
      </c>
    </row>
    <row r="34">
      <c r="B34" s="18" t="s">
        <v>154</v>
      </c>
      <c r="C34" s="18" t="s">
        <v>155</v>
      </c>
      <c r="D34" s="18" t="s">
        <v>6</v>
      </c>
      <c r="G34" s="21" t="s">
        <v>124</v>
      </c>
      <c r="H34" s="21" t="s">
        <v>156</v>
      </c>
      <c r="I34" s="21" t="s">
        <v>153</v>
      </c>
      <c r="J34" s="21" t="s">
        <v>11</v>
      </c>
    </row>
    <row r="35">
      <c r="B35" s="18" t="s">
        <v>157</v>
      </c>
      <c r="C35" s="18" t="s">
        <v>158</v>
      </c>
      <c r="D35" s="18" t="s">
        <v>6</v>
      </c>
      <c r="G35" s="21" t="s">
        <v>159</v>
      </c>
      <c r="H35" s="21" t="s">
        <v>160</v>
      </c>
      <c r="I35" s="21" t="s">
        <v>153</v>
      </c>
      <c r="J35" s="21" t="s">
        <v>123</v>
      </c>
    </row>
    <row r="36">
      <c r="B36" s="18" t="s">
        <v>161</v>
      </c>
      <c r="C36" s="18" t="s">
        <v>155</v>
      </c>
      <c r="D36" s="18" t="s">
        <v>6</v>
      </c>
      <c r="G36" s="21" t="s">
        <v>135</v>
      </c>
      <c r="H36" s="21" t="s">
        <v>162</v>
      </c>
      <c r="I36" s="21" t="s">
        <v>163</v>
      </c>
      <c r="J36" s="21" t="s">
        <v>17</v>
      </c>
    </row>
    <row r="37">
      <c r="B37" s="18" t="s">
        <v>124</v>
      </c>
      <c r="C37" s="18" t="s">
        <v>164</v>
      </c>
      <c r="D37" s="18" t="s">
        <v>13</v>
      </c>
      <c r="G37" s="21" t="s">
        <v>140</v>
      </c>
      <c r="H37" s="21" t="s">
        <v>160</v>
      </c>
      <c r="I37" s="21" t="s">
        <v>153</v>
      </c>
      <c r="J37" s="21" t="s">
        <v>123</v>
      </c>
    </row>
    <row r="38">
      <c r="B38" s="18" t="s">
        <v>165</v>
      </c>
      <c r="C38" s="18" t="s">
        <v>166</v>
      </c>
      <c r="D38" s="18" t="s">
        <v>13</v>
      </c>
      <c r="G38" s="21" t="s">
        <v>167</v>
      </c>
      <c r="H38" s="21" t="s">
        <v>163</v>
      </c>
    </row>
    <row r="39">
      <c r="B39" s="18" t="s">
        <v>168</v>
      </c>
      <c r="C39" s="18" t="s">
        <v>169</v>
      </c>
      <c r="D39" s="18" t="s">
        <v>4</v>
      </c>
      <c r="G39" s="22" t="s">
        <v>170</v>
      </c>
      <c r="H39" s="22" t="s">
        <v>171</v>
      </c>
    </row>
    <row r="40">
      <c r="B40" s="18" t="s">
        <v>172</v>
      </c>
      <c r="C40" s="18" t="s">
        <v>173</v>
      </c>
      <c r="D40" s="18" t="s">
        <v>11</v>
      </c>
      <c r="G40" s="22" t="s">
        <v>148</v>
      </c>
      <c r="H40" s="22" t="s">
        <v>153</v>
      </c>
    </row>
    <row r="41">
      <c r="B41" s="18" t="s">
        <v>174</v>
      </c>
      <c r="C41" s="18" t="s">
        <v>175</v>
      </c>
      <c r="D41" s="18" t="s">
        <v>4</v>
      </c>
      <c r="F41" s="23" t="s">
        <v>176</v>
      </c>
      <c r="G41" s="17" t="s">
        <v>177</v>
      </c>
      <c r="H41" s="17" t="s">
        <v>178</v>
      </c>
      <c r="I41" s="17" t="s">
        <v>179</v>
      </c>
      <c r="J41" s="17" t="s">
        <v>4</v>
      </c>
    </row>
    <row r="42">
      <c r="B42" s="18" t="s">
        <v>180</v>
      </c>
      <c r="C42" s="18" t="s">
        <v>181</v>
      </c>
      <c r="D42" s="18" t="s">
        <v>17</v>
      </c>
      <c r="G42" s="17" t="s">
        <v>124</v>
      </c>
      <c r="H42" s="17" t="s">
        <v>182</v>
      </c>
      <c r="I42" s="17" t="s">
        <v>179</v>
      </c>
      <c r="J42" s="17" t="s">
        <v>183</v>
      </c>
    </row>
    <row r="43">
      <c r="B43" s="18" t="s">
        <v>159</v>
      </c>
      <c r="C43" s="18" t="s">
        <v>184</v>
      </c>
      <c r="D43" s="18" t="s">
        <v>13</v>
      </c>
      <c r="G43" s="17" t="s">
        <v>185</v>
      </c>
      <c r="H43" s="17" t="s">
        <v>186</v>
      </c>
      <c r="I43" s="17" t="s">
        <v>187</v>
      </c>
      <c r="J43" s="17" t="s">
        <v>11</v>
      </c>
    </row>
    <row r="44">
      <c r="B44" s="18" t="s">
        <v>135</v>
      </c>
      <c r="C44" s="18" t="s">
        <v>155</v>
      </c>
      <c r="D44" s="18" t="s">
        <v>6</v>
      </c>
      <c r="G44" s="17" t="s">
        <v>188</v>
      </c>
      <c r="H44" s="17" t="s">
        <v>189</v>
      </c>
      <c r="I44" s="17" t="s">
        <v>179</v>
      </c>
      <c r="J44" s="17" t="s">
        <v>4</v>
      </c>
    </row>
    <row r="45">
      <c r="B45" s="18" t="s">
        <v>190</v>
      </c>
      <c r="C45" s="18" t="s">
        <v>184</v>
      </c>
      <c r="D45" s="18" t="s">
        <v>13</v>
      </c>
      <c r="G45" s="17" t="s">
        <v>140</v>
      </c>
      <c r="H45" s="17" t="s">
        <v>189</v>
      </c>
      <c r="I45" s="17" t="s">
        <v>179</v>
      </c>
      <c r="J45" s="17" t="s">
        <v>4</v>
      </c>
    </row>
    <row r="46">
      <c r="B46" s="20" t="s">
        <v>145</v>
      </c>
      <c r="D46" s="20" t="s">
        <v>6</v>
      </c>
      <c r="G46" s="17" t="s">
        <v>167</v>
      </c>
      <c r="H46" s="17" t="s">
        <v>191</v>
      </c>
    </row>
    <row r="47">
      <c r="B47" s="20" t="s">
        <v>148</v>
      </c>
      <c r="D47" s="20" t="s">
        <v>13</v>
      </c>
      <c r="G47" s="19" t="s">
        <v>170</v>
      </c>
      <c r="H47" s="19" t="s">
        <v>187</v>
      </c>
    </row>
    <row r="48">
      <c r="A48" s="24" t="s">
        <v>192</v>
      </c>
      <c r="B48" s="21" t="s">
        <v>180</v>
      </c>
      <c r="C48" s="21" t="s">
        <v>193</v>
      </c>
      <c r="D48" s="21" t="s">
        <v>13</v>
      </c>
      <c r="G48" s="19" t="s">
        <v>148</v>
      </c>
      <c r="H48" s="19" t="s">
        <v>179</v>
      </c>
    </row>
    <row r="49">
      <c r="B49" s="21" t="s">
        <v>128</v>
      </c>
      <c r="C49" s="21" t="s">
        <v>194</v>
      </c>
      <c r="D49" s="21" t="s">
        <v>17</v>
      </c>
      <c r="F49" s="20" t="s">
        <v>195</v>
      </c>
      <c r="G49" s="21" t="s">
        <v>196</v>
      </c>
      <c r="H49" s="21" t="s">
        <v>197</v>
      </c>
      <c r="I49" s="21" t="s">
        <v>198</v>
      </c>
      <c r="J49" s="21" t="s">
        <v>10</v>
      </c>
    </row>
    <row r="50">
      <c r="B50" s="21" t="s">
        <v>135</v>
      </c>
      <c r="C50" s="21" t="s">
        <v>199</v>
      </c>
      <c r="D50" s="21" t="s">
        <v>6</v>
      </c>
      <c r="G50" s="21" t="s">
        <v>200</v>
      </c>
      <c r="H50" s="21" t="s">
        <v>201</v>
      </c>
      <c r="I50" s="21" t="s">
        <v>202</v>
      </c>
      <c r="J50" s="21" t="s">
        <v>8</v>
      </c>
    </row>
    <row r="51">
      <c r="B51" s="21" t="s">
        <v>140</v>
      </c>
      <c r="C51" s="21" t="s">
        <v>199</v>
      </c>
      <c r="D51" s="21" t="s">
        <v>6</v>
      </c>
      <c r="G51" s="21" t="s">
        <v>203</v>
      </c>
      <c r="H51" s="21" t="s">
        <v>204</v>
      </c>
      <c r="I51" s="21" t="s">
        <v>205</v>
      </c>
      <c r="J51" s="21" t="s">
        <v>4</v>
      </c>
    </row>
    <row r="52">
      <c r="B52" s="21" t="s">
        <v>206</v>
      </c>
      <c r="C52" s="21" t="s">
        <v>207</v>
      </c>
      <c r="G52" s="21" t="s">
        <v>208</v>
      </c>
      <c r="H52" s="21" t="s">
        <v>201</v>
      </c>
      <c r="I52" s="21" t="s">
        <v>202</v>
      </c>
      <c r="J52" s="21" t="s">
        <v>8</v>
      </c>
    </row>
    <row r="53">
      <c r="B53" s="21" t="s">
        <v>209</v>
      </c>
      <c r="C53" s="21" t="s">
        <v>210</v>
      </c>
      <c r="G53" s="21" t="s">
        <v>211</v>
      </c>
      <c r="H53" s="21" t="s">
        <v>160</v>
      </c>
      <c r="I53" s="21" t="s">
        <v>202</v>
      </c>
      <c r="J53" s="21" t="s">
        <v>123</v>
      </c>
    </row>
    <row r="54">
      <c r="B54" s="21" t="s">
        <v>212</v>
      </c>
      <c r="C54" s="21" t="s">
        <v>213</v>
      </c>
      <c r="G54" s="21" t="s">
        <v>214</v>
      </c>
      <c r="H54" s="21" t="s">
        <v>215</v>
      </c>
    </row>
    <row r="55">
      <c r="B55" s="22" t="s">
        <v>145</v>
      </c>
      <c r="C55" s="22" t="s">
        <v>6</v>
      </c>
      <c r="G55" s="22" t="s">
        <v>170</v>
      </c>
      <c r="H55" s="22" t="s">
        <v>205</v>
      </c>
    </row>
    <row r="56">
      <c r="B56" s="22" t="s">
        <v>148</v>
      </c>
      <c r="C56" s="22" t="s">
        <v>13</v>
      </c>
      <c r="G56" s="22" t="s">
        <v>148</v>
      </c>
      <c r="H56" s="22" t="s">
        <v>202</v>
      </c>
    </row>
    <row r="57">
      <c r="A57" s="23" t="s">
        <v>216</v>
      </c>
      <c r="B57" s="17" t="s">
        <v>217</v>
      </c>
      <c r="C57" s="17" t="s">
        <v>218</v>
      </c>
      <c r="D57" s="17" t="s">
        <v>219</v>
      </c>
      <c r="F57" s="23" t="s">
        <v>220</v>
      </c>
      <c r="G57" s="17" t="s">
        <v>117</v>
      </c>
      <c r="H57" s="17" t="s">
        <v>221</v>
      </c>
      <c r="I57" s="17" t="s">
        <v>222</v>
      </c>
      <c r="J57" s="17" t="s">
        <v>7</v>
      </c>
    </row>
    <row r="58">
      <c r="B58" s="19" t="s">
        <v>223</v>
      </c>
      <c r="C58" s="19" t="s">
        <v>224</v>
      </c>
      <c r="D58" s="19" t="s">
        <v>11</v>
      </c>
      <c r="G58" s="17" t="s">
        <v>124</v>
      </c>
      <c r="H58" s="17" t="s">
        <v>125</v>
      </c>
      <c r="I58" s="17" t="s">
        <v>225</v>
      </c>
      <c r="J58" s="17" t="s">
        <v>10</v>
      </c>
    </row>
    <row r="59">
      <c r="B59" s="19" t="s">
        <v>226</v>
      </c>
      <c r="C59" s="19" t="s">
        <v>158</v>
      </c>
      <c r="D59" s="19" t="s">
        <v>6</v>
      </c>
      <c r="G59" s="17" t="s">
        <v>227</v>
      </c>
      <c r="H59" s="17" t="s">
        <v>224</v>
      </c>
      <c r="I59" s="17" t="s">
        <v>222</v>
      </c>
      <c r="J59" s="17" t="s">
        <v>11</v>
      </c>
    </row>
    <row r="60">
      <c r="A60" s="20" t="s">
        <v>228</v>
      </c>
      <c r="B60" s="21" t="s">
        <v>229</v>
      </c>
      <c r="C60" s="21" t="s">
        <v>16</v>
      </c>
      <c r="G60" s="17" t="s">
        <v>230</v>
      </c>
      <c r="H60" s="17" t="s">
        <v>231</v>
      </c>
      <c r="I60" s="17" t="s">
        <v>222</v>
      </c>
      <c r="J60" s="17" t="s">
        <v>13</v>
      </c>
    </row>
    <row r="61">
      <c r="B61" s="21" t="s">
        <v>232</v>
      </c>
      <c r="C61" s="21" t="s">
        <v>233</v>
      </c>
      <c r="D61" s="21" t="s">
        <v>12</v>
      </c>
      <c r="G61" s="17" t="s">
        <v>140</v>
      </c>
      <c r="H61" s="17" t="s">
        <v>234</v>
      </c>
      <c r="I61" s="17" t="s">
        <v>235</v>
      </c>
      <c r="J61" s="17" t="s">
        <v>7</v>
      </c>
    </row>
    <row r="62">
      <c r="B62" s="21" t="s">
        <v>117</v>
      </c>
      <c r="C62" s="21" t="s">
        <v>236</v>
      </c>
      <c r="D62" s="21" t="s">
        <v>16</v>
      </c>
      <c r="G62" s="17" t="s">
        <v>167</v>
      </c>
      <c r="H62" s="17" t="s">
        <v>237</v>
      </c>
    </row>
    <row r="63">
      <c r="B63" s="21" t="s">
        <v>238</v>
      </c>
      <c r="C63" s="21" t="s">
        <v>239</v>
      </c>
      <c r="D63" s="21" t="s">
        <v>12</v>
      </c>
      <c r="G63" s="19" t="s">
        <v>170</v>
      </c>
      <c r="H63" s="19" t="s">
        <v>222</v>
      </c>
    </row>
    <row r="64">
      <c r="B64" s="21" t="s">
        <v>240</v>
      </c>
      <c r="C64" s="21" t="s">
        <v>241</v>
      </c>
      <c r="D64" s="21" t="s">
        <v>12</v>
      </c>
      <c r="G64" s="19" t="s">
        <v>148</v>
      </c>
      <c r="H64" s="19" t="s">
        <v>242</v>
      </c>
    </row>
    <row r="65">
      <c r="B65" s="21" t="s">
        <v>243</v>
      </c>
      <c r="C65" s="21" t="s">
        <v>241</v>
      </c>
      <c r="D65" s="21" t="s">
        <v>12</v>
      </c>
      <c r="F65" s="20" t="s">
        <v>244</v>
      </c>
      <c r="G65" s="21" t="s">
        <v>117</v>
      </c>
      <c r="H65" s="21" t="s">
        <v>245</v>
      </c>
      <c r="I65" s="21" t="s">
        <v>246</v>
      </c>
      <c r="J65" s="21" t="s">
        <v>17</v>
      </c>
    </row>
    <row r="66">
      <c r="B66" s="22" t="s">
        <v>145</v>
      </c>
      <c r="D66" s="22" t="s">
        <v>5</v>
      </c>
      <c r="G66" s="21" t="s">
        <v>124</v>
      </c>
      <c r="H66" s="21" t="s">
        <v>141</v>
      </c>
      <c r="I66" s="21" t="s">
        <v>247</v>
      </c>
      <c r="J66" s="21" t="s">
        <v>7</v>
      </c>
    </row>
    <row r="67">
      <c r="B67" s="22" t="s">
        <v>148</v>
      </c>
      <c r="D67" s="22" t="s">
        <v>12</v>
      </c>
      <c r="G67" s="21" t="s">
        <v>128</v>
      </c>
      <c r="H67" s="21" t="s">
        <v>248</v>
      </c>
      <c r="I67" s="21" t="s">
        <v>249</v>
      </c>
      <c r="J67" s="21" t="s">
        <v>17</v>
      </c>
    </row>
    <row r="68">
      <c r="A68" s="23" t="s">
        <v>250</v>
      </c>
      <c r="B68" s="17" t="s">
        <v>229</v>
      </c>
      <c r="C68" s="17" t="s">
        <v>13</v>
      </c>
      <c r="G68" s="21" t="s">
        <v>135</v>
      </c>
      <c r="H68" s="21" t="s">
        <v>251</v>
      </c>
      <c r="I68" s="21" t="s">
        <v>252</v>
      </c>
      <c r="J68" s="21" t="s">
        <v>17</v>
      </c>
    </row>
    <row r="69">
      <c r="B69" s="17" t="s">
        <v>232</v>
      </c>
      <c r="C69" s="17" t="s">
        <v>158</v>
      </c>
      <c r="D69" s="17" t="s">
        <v>6</v>
      </c>
      <c r="G69" s="21" t="s">
        <v>140</v>
      </c>
      <c r="H69" s="21" t="s">
        <v>204</v>
      </c>
      <c r="I69" s="21" t="s">
        <v>253</v>
      </c>
      <c r="J69" s="21" t="s">
        <v>4</v>
      </c>
    </row>
    <row r="70">
      <c r="B70" s="17" t="s">
        <v>117</v>
      </c>
      <c r="C70" s="17" t="s">
        <v>254</v>
      </c>
      <c r="D70" s="17" t="s">
        <v>9</v>
      </c>
      <c r="G70" s="21" t="s">
        <v>167</v>
      </c>
      <c r="H70" s="21" t="s">
        <v>247</v>
      </c>
    </row>
    <row r="71">
      <c r="B71" s="17" t="s">
        <v>238</v>
      </c>
      <c r="C71" s="17" t="s">
        <v>129</v>
      </c>
      <c r="D71" s="17" t="s">
        <v>6</v>
      </c>
      <c r="G71" s="22" t="s">
        <v>170</v>
      </c>
      <c r="H71" s="22" t="s">
        <v>252</v>
      </c>
    </row>
    <row r="72">
      <c r="B72" s="17" t="s">
        <v>240</v>
      </c>
      <c r="C72" s="17" t="s">
        <v>255</v>
      </c>
      <c r="D72" s="17" t="s">
        <v>6</v>
      </c>
      <c r="G72" s="22" t="s">
        <v>148</v>
      </c>
      <c r="H72" s="22" t="s">
        <v>249</v>
      </c>
    </row>
    <row r="73">
      <c r="B73" s="17" t="s">
        <v>243</v>
      </c>
      <c r="C73" s="17" t="s">
        <v>256</v>
      </c>
      <c r="D73" s="17" t="s">
        <v>8</v>
      </c>
      <c r="F73" s="23" t="s">
        <v>257</v>
      </c>
      <c r="G73" s="17" t="s">
        <v>117</v>
      </c>
      <c r="H73" s="17" t="s">
        <v>258</v>
      </c>
      <c r="I73" s="17" t="s">
        <v>259</v>
      </c>
      <c r="J73" s="17" t="s">
        <v>13</v>
      </c>
    </row>
    <row r="74">
      <c r="B74" s="19" t="s">
        <v>145</v>
      </c>
      <c r="D74" s="19" t="s">
        <v>8</v>
      </c>
      <c r="G74" s="17" t="s">
        <v>124</v>
      </c>
      <c r="H74" s="17" t="s">
        <v>260</v>
      </c>
      <c r="I74" s="17" t="s">
        <v>261</v>
      </c>
      <c r="J74" s="17" t="s">
        <v>10</v>
      </c>
    </row>
    <row r="75">
      <c r="B75" s="19" t="s">
        <v>148</v>
      </c>
      <c r="D75" s="19" t="s">
        <v>6</v>
      </c>
      <c r="G75" s="17" t="s">
        <v>128</v>
      </c>
      <c r="H75" s="17" t="s">
        <v>262</v>
      </c>
      <c r="I75" s="17" t="s">
        <v>263</v>
      </c>
      <c r="J75" s="17" t="s">
        <v>11</v>
      </c>
    </row>
    <row r="76">
      <c r="A76" s="20" t="s">
        <v>264</v>
      </c>
      <c r="B76" s="21" t="s">
        <v>229</v>
      </c>
      <c r="C76" s="21" t="s">
        <v>10</v>
      </c>
      <c r="G76" s="17" t="s">
        <v>135</v>
      </c>
      <c r="H76" s="17" t="s">
        <v>260</v>
      </c>
      <c r="I76" s="17" t="s">
        <v>261</v>
      </c>
      <c r="J76" s="17" t="s">
        <v>10</v>
      </c>
    </row>
    <row r="77">
      <c r="B77" s="21" t="s">
        <v>232</v>
      </c>
      <c r="C77" s="21" t="s">
        <v>139</v>
      </c>
      <c r="D77" s="21" t="s">
        <v>10</v>
      </c>
      <c r="G77" s="17" t="s">
        <v>140</v>
      </c>
      <c r="H77" s="17" t="s">
        <v>265</v>
      </c>
      <c r="I77" s="17" t="s">
        <v>261</v>
      </c>
      <c r="J77" s="17" t="s">
        <v>17</v>
      </c>
    </row>
    <row r="78">
      <c r="B78" s="21" t="s">
        <v>117</v>
      </c>
      <c r="C78" s="21" t="s">
        <v>266</v>
      </c>
      <c r="D78" s="21" t="s">
        <v>267</v>
      </c>
      <c r="G78" s="17" t="s">
        <v>167</v>
      </c>
      <c r="H78" s="17" t="s">
        <v>263</v>
      </c>
    </row>
    <row r="79">
      <c r="B79" s="21" t="s">
        <v>238</v>
      </c>
      <c r="C79" s="21" t="s">
        <v>268</v>
      </c>
      <c r="D79" s="21" t="s">
        <v>4</v>
      </c>
      <c r="G79" s="19" t="s">
        <v>170</v>
      </c>
      <c r="H79" s="19" t="s">
        <v>269</v>
      </c>
    </row>
    <row r="80">
      <c r="B80" s="21" t="s">
        <v>240</v>
      </c>
      <c r="C80" s="21" t="s">
        <v>270</v>
      </c>
      <c r="D80" s="21" t="s">
        <v>4</v>
      </c>
      <c r="G80" s="19" t="s">
        <v>148</v>
      </c>
      <c r="H80" s="19" t="s">
        <v>261</v>
      </c>
    </row>
    <row r="81">
      <c r="B81" s="21" t="s">
        <v>243</v>
      </c>
      <c r="C81" s="21" t="s">
        <v>268</v>
      </c>
      <c r="D81" s="21" t="s">
        <v>4</v>
      </c>
      <c r="F81" s="8"/>
      <c r="G81" s="8"/>
      <c r="H81" s="8"/>
      <c r="I81" s="8"/>
      <c r="J81" s="8"/>
    </row>
    <row r="82">
      <c r="B82" s="22" t="s">
        <v>145</v>
      </c>
      <c r="D82" s="22" t="s">
        <v>10</v>
      </c>
      <c r="F82" s="8"/>
      <c r="G82" s="8"/>
      <c r="H82" s="8"/>
      <c r="I82" s="8"/>
      <c r="J82" s="8"/>
    </row>
    <row r="83">
      <c r="B83" s="22" t="s">
        <v>148</v>
      </c>
      <c r="D83" s="22" t="s">
        <v>4</v>
      </c>
      <c r="F83" s="8"/>
      <c r="G83" s="8"/>
      <c r="H83" s="8"/>
      <c r="I83" s="8"/>
      <c r="J83" s="8"/>
    </row>
    <row r="84">
      <c r="A84" s="23" t="s">
        <v>271</v>
      </c>
      <c r="B84" s="17" t="s">
        <v>272</v>
      </c>
      <c r="C84" s="17" t="s">
        <v>273</v>
      </c>
      <c r="F84" s="8"/>
      <c r="G84" s="8"/>
      <c r="H84" s="8"/>
      <c r="I84" s="8"/>
      <c r="J84" s="8"/>
    </row>
    <row r="85">
      <c r="B85" s="17" t="s">
        <v>212</v>
      </c>
      <c r="C85" s="17" t="s">
        <v>212</v>
      </c>
      <c r="F85" s="8"/>
      <c r="G85" s="8"/>
      <c r="H85" s="8"/>
      <c r="I85" s="8"/>
      <c r="J85" s="8"/>
    </row>
    <row r="86">
      <c r="B86" s="17" t="s">
        <v>180</v>
      </c>
      <c r="C86" s="17" t="s">
        <v>274</v>
      </c>
      <c r="D86" s="17" t="s">
        <v>5</v>
      </c>
      <c r="F86" s="8"/>
      <c r="G86" s="8"/>
      <c r="H86" s="8"/>
      <c r="I86" s="8"/>
      <c r="J86" s="8"/>
    </row>
    <row r="87">
      <c r="B87" s="17" t="s">
        <v>128</v>
      </c>
      <c r="C87" s="17" t="s">
        <v>275</v>
      </c>
      <c r="D87" s="17" t="s">
        <v>5</v>
      </c>
      <c r="E87" s="25"/>
      <c r="F87" s="8"/>
      <c r="G87" s="8"/>
      <c r="H87" s="8"/>
      <c r="I87" s="8"/>
      <c r="J87" s="8"/>
    </row>
    <row r="88">
      <c r="B88" s="17" t="s">
        <v>135</v>
      </c>
      <c r="C88" s="17" t="s">
        <v>276</v>
      </c>
      <c r="D88" s="17" t="s">
        <v>6</v>
      </c>
      <c r="E88" s="26"/>
      <c r="F88" s="8"/>
      <c r="G88" s="8"/>
      <c r="H88" s="8"/>
      <c r="I88" s="8"/>
      <c r="J88" s="8"/>
    </row>
    <row r="89">
      <c r="B89" s="17" t="s">
        <v>140</v>
      </c>
      <c r="C89" s="17" t="s">
        <v>275</v>
      </c>
      <c r="D89" s="17" t="s">
        <v>5</v>
      </c>
      <c r="E89" s="26"/>
      <c r="F89" s="8"/>
      <c r="G89" s="8"/>
      <c r="H89" s="8"/>
      <c r="I89" s="8"/>
      <c r="J89" s="8"/>
    </row>
    <row r="90">
      <c r="B90" s="19" t="s">
        <v>145</v>
      </c>
      <c r="C90" s="19" t="s">
        <v>8</v>
      </c>
      <c r="E90" s="26"/>
      <c r="F90" s="8"/>
      <c r="G90" s="8"/>
      <c r="H90" s="8"/>
      <c r="I90" s="8"/>
      <c r="J90" s="8"/>
    </row>
    <row r="91">
      <c r="B91" s="19" t="s">
        <v>148</v>
      </c>
      <c r="C91" s="19" t="s">
        <v>5</v>
      </c>
      <c r="E91" s="26"/>
      <c r="F91" s="8"/>
      <c r="G91" s="8"/>
      <c r="H91" s="8"/>
      <c r="I91" s="8"/>
      <c r="J91" s="8"/>
    </row>
    <row r="92">
      <c r="A92" s="20" t="s">
        <v>277</v>
      </c>
      <c r="B92" s="21" t="s">
        <v>243</v>
      </c>
      <c r="C92" s="21" t="s">
        <v>278</v>
      </c>
      <c r="D92" s="21" t="s">
        <v>19</v>
      </c>
      <c r="E92" s="26"/>
      <c r="F92" s="8"/>
      <c r="G92" s="8"/>
      <c r="H92" s="8"/>
      <c r="I92" s="8"/>
      <c r="J92" s="8"/>
    </row>
    <row r="93">
      <c r="B93" s="21" t="s">
        <v>135</v>
      </c>
      <c r="C93" s="21" t="s">
        <v>279</v>
      </c>
      <c r="D93" s="21" t="s">
        <v>19</v>
      </c>
      <c r="E93" s="26"/>
      <c r="F93" s="8"/>
      <c r="G93" s="8"/>
      <c r="H93" s="8"/>
      <c r="I93" s="8"/>
      <c r="J93" s="8"/>
    </row>
    <row r="94">
      <c r="B94" s="21" t="s">
        <v>128</v>
      </c>
      <c r="C94" s="21" t="s">
        <v>280</v>
      </c>
      <c r="D94" s="21" t="s">
        <v>18</v>
      </c>
      <c r="E94" s="26"/>
      <c r="F94" s="8"/>
      <c r="G94" s="8"/>
      <c r="H94" s="8"/>
      <c r="I94" s="8"/>
      <c r="J94" s="8"/>
    </row>
    <row r="95">
      <c r="B95" s="21" t="s">
        <v>168</v>
      </c>
      <c r="C95" s="21" t="s">
        <v>281</v>
      </c>
      <c r="D95" s="21" t="s">
        <v>103</v>
      </c>
      <c r="E95" s="26"/>
      <c r="F95" s="8"/>
      <c r="G95" s="8"/>
      <c r="H95" s="8"/>
      <c r="I95" s="8"/>
      <c r="J95" s="8"/>
    </row>
    <row r="96">
      <c r="B96" s="21" t="s">
        <v>282</v>
      </c>
      <c r="C96" s="21" t="s">
        <v>283</v>
      </c>
      <c r="D96" s="21" t="s">
        <v>284</v>
      </c>
      <c r="E96" s="4"/>
      <c r="F96" s="8"/>
      <c r="G96" s="8"/>
      <c r="H96" s="8"/>
      <c r="I96" s="8"/>
      <c r="J96" s="8"/>
    </row>
    <row r="97">
      <c r="B97" s="21" t="s">
        <v>285</v>
      </c>
      <c r="C97" s="21" t="s">
        <v>278</v>
      </c>
      <c r="D97" s="21" t="s">
        <v>19</v>
      </c>
      <c r="E97" s="4"/>
      <c r="F97" s="8"/>
      <c r="G97" s="8"/>
      <c r="H97" s="8"/>
      <c r="I97" s="8"/>
      <c r="J97" s="8"/>
    </row>
    <row r="98">
      <c r="B98" s="21" t="s">
        <v>286</v>
      </c>
      <c r="C98" s="21" t="s">
        <v>105</v>
      </c>
      <c r="E98" s="4"/>
    </row>
    <row r="99">
      <c r="B99" s="22" t="s">
        <v>145</v>
      </c>
      <c r="C99" s="22" t="s">
        <v>19</v>
      </c>
      <c r="E99" s="4"/>
    </row>
    <row r="100">
      <c r="B100" s="22" t="s">
        <v>148</v>
      </c>
      <c r="C100" s="22" t="s">
        <v>103</v>
      </c>
      <c r="E100" s="4"/>
    </row>
    <row r="101">
      <c r="A101" s="23" t="s">
        <v>287</v>
      </c>
      <c r="B101" s="17" t="s">
        <v>288</v>
      </c>
      <c r="C101" s="17" t="s">
        <v>289</v>
      </c>
      <c r="D101" s="17" t="s">
        <v>11</v>
      </c>
      <c r="E101" s="4"/>
    </row>
    <row r="102">
      <c r="B102" s="17" t="s">
        <v>290</v>
      </c>
      <c r="C102" s="17" t="s">
        <v>173</v>
      </c>
      <c r="D102" s="17" t="s">
        <v>11</v>
      </c>
      <c r="E102" s="4"/>
    </row>
    <row r="103">
      <c r="B103" s="17" t="s">
        <v>291</v>
      </c>
      <c r="C103" s="17" t="s">
        <v>292</v>
      </c>
      <c r="D103" s="17" t="s">
        <v>5</v>
      </c>
      <c r="E103" s="4"/>
    </row>
    <row r="104">
      <c r="B104" s="17" t="s">
        <v>293</v>
      </c>
      <c r="C104" s="17" t="s">
        <v>294</v>
      </c>
      <c r="D104" s="17" t="s">
        <v>14</v>
      </c>
      <c r="E104" s="4"/>
    </row>
    <row r="105">
      <c r="B105" s="17" t="s">
        <v>295</v>
      </c>
      <c r="C105" s="17" t="s">
        <v>296</v>
      </c>
      <c r="D105" s="17" t="s">
        <v>9</v>
      </c>
      <c r="E105" s="4"/>
    </row>
    <row r="106">
      <c r="B106" s="17" t="s">
        <v>297</v>
      </c>
      <c r="C106" s="17" t="s">
        <v>298</v>
      </c>
      <c r="D106" s="17" t="s">
        <v>13</v>
      </c>
      <c r="E106" s="4"/>
    </row>
    <row r="107">
      <c r="B107" s="17" t="s">
        <v>299</v>
      </c>
      <c r="C107" s="17" t="s">
        <v>300</v>
      </c>
      <c r="D107" s="17" t="s">
        <v>11</v>
      </c>
      <c r="E107" s="4"/>
    </row>
    <row r="108">
      <c r="B108" s="17" t="s">
        <v>138</v>
      </c>
      <c r="C108" s="17" t="s">
        <v>141</v>
      </c>
      <c r="D108" s="17" t="s">
        <v>7</v>
      </c>
      <c r="E108" s="4"/>
    </row>
    <row r="109">
      <c r="B109" s="17" t="s">
        <v>301</v>
      </c>
      <c r="C109" s="17" t="s">
        <v>181</v>
      </c>
      <c r="D109" s="17" t="s">
        <v>17</v>
      </c>
      <c r="E109" s="4"/>
    </row>
    <row r="110">
      <c r="B110" s="17" t="s">
        <v>302</v>
      </c>
      <c r="C110" s="17" t="s">
        <v>303</v>
      </c>
      <c r="D110" s="17" t="s">
        <v>304</v>
      </c>
      <c r="E110" s="4"/>
    </row>
    <row r="111">
      <c r="B111" s="17" t="s">
        <v>305</v>
      </c>
      <c r="C111" s="17" t="s">
        <v>262</v>
      </c>
      <c r="D111" s="17" t="s">
        <v>11</v>
      </c>
      <c r="E111" s="4"/>
    </row>
    <row r="112">
      <c r="B112" s="17" t="s">
        <v>143</v>
      </c>
      <c r="C112" s="17" t="s">
        <v>298</v>
      </c>
      <c r="D112" s="17" t="s">
        <v>13</v>
      </c>
      <c r="E112" s="4"/>
    </row>
    <row r="113">
      <c r="B113" s="17" t="s">
        <v>124</v>
      </c>
      <c r="C113" s="17" t="s">
        <v>306</v>
      </c>
      <c r="D113" s="17" t="s">
        <v>13</v>
      </c>
      <c r="E113" s="4"/>
    </row>
    <row r="114">
      <c r="B114" s="17" t="s">
        <v>307</v>
      </c>
      <c r="C114" s="17" t="s">
        <v>268</v>
      </c>
      <c r="D114" s="17" t="s">
        <v>4</v>
      </c>
    </row>
    <row r="115">
      <c r="B115" s="17" t="s">
        <v>308</v>
      </c>
      <c r="C115" s="17" t="s">
        <v>306</v>
      </c>
      <c r="D115" s="17" t="s">
        <v>13</v>
      </c>
    </row>
    <row r="116">
      <c r="B116" s="17" t="s">
        <v>190</v>
      </c>
      <c r="C116" s="17" t="s">
        <v>306</v>
      </c>
      <c r="D116" s="17" t="s">
        <v>13</v>
      </c>
    </row>
    <row r="117">
      <c r="B117" s="19" t="s">
        <v>145</v>
      </c>
      <c r="C117" s="19" t="s">
        <v>14</v>
      </c>
    </row>
    <row r="118">
      <c r="B118" s="19" t="s">
        <v>148</v>
      </c>
      <c r="C118" s="19" t="s">
        <v>13</v>
      </c>
    </row>
  </sheetData>
  <mergeCells count="65">
    <mergeCell ref="A76:A83"/>
    <mergeCell ref="A84:A91"/>
    <mergeCell ref="A92:A100"/>
    <mergeCell ref="A101:A118"/>
    <mergeCell ref="A57:A59"/>
    <mergeCell ref="A60:A67"/>
    <mergeCell ref="B66:C66"/>
    <mergeCell ref="B67:C67"/>
    <mergeCell ref="A68:A75"/>
    <mergeCell ref="B74:C74"/>
    <mergeCell ref="B83:C83"/>
    <mergeCell ref="C99:D99"/>
    <mergeCell ref="C100:D100"/>
    <mergeCell ref="C117:D117"/>
    <mergeCell ref="C118:D118"/>
    <mergeCell ref="B75:C75"/>
    <mergeCell ref="B82:C82"/>
    <mergeCell ref="C84:D84"/>
    <mergeCell ref="C85:D85"/>
    <mergeCell ref="C90:D90"/>
    <mergeCell ref="C91:D91"/>
    <mergeCell ref="C98:D98"/>
    <mergeCell ref="F25:F32"/>
    <mergeCell ref="F33:F40"/>
    <mergeCell ref="F41:F48"/>
    <mergeCell ref="F49:F56"/>
    <mergeCell ref="F57:F64"/>
    <mergeCell ref="F65:F72"/>
    <mergeCell ref="F73:F80"/>
    <mergeCell ref="A1:B1"/>
    <mergeCell ref="D1:S1"/>
    <mergeCell ref="F23:J23"/>
    <mergeCell ref="A28:D28"/>
    <mergeCell ref="H31:J31"/>
    <mergeCell ref="H32:J32"/>
    <mergeCell ref="H40:J40"/>
    <mergeCell ref="C55:D55"/>
    <mergeCell ref="C56:D56"/>
    <mergeCell ref="C60:D60"/>
    <mergeCell ref="C68:D68"/>
    <mergeCell ref="C76:D76"/>
    <mergeCell ref="A30:A47"/>
    <mergeCell ref="B46:C46"/>
    <mergeCell ref="B47:C47"/>
    <mergeCell ref="A48:A56"/>
    <mergeCell ref="C52:D52"/>
    <mergeCell ref="C53:D53"/>
    <mergeCell ref="C54:D54"/>
    <mergeCell ref="H38:J38"/>
    <mergeCell ref="H39:J39"/>
    <mergeCell ref="H46:J46"/>
    <mergeCell ref="H47:J47"/>
    <mergeCell ref="H48:J48"/>
    <mergeCell ref="H54:J54"/>
    <mergeCell ref="H55:J55"/>
    <mergeCell ref="H78:J78"/>
    <mergeCell ref="H79:J79"/>
    <mergeCell ref="H80:J80"/>
    <mergeCell ref="H56:J56"/>
    <mergeCell ref="H62:J62"/>
    <mergeCell ref="H63:J63"/>
    <mergeCell ref="H64:J64"/>
    <mergeCell ref="H70:J70"/>
    <mergeCell ref="H71:J71"/>
    <mergeCell ref="H72:J7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9.25"/>
    <col customWidth="1" min="3" max="3" width="20.0"/>
    <col customWidth="1" min="4" max="4" width="21.13"/>
  </cols>
  <sheetData>
    <row r="1">
      <c r="A1" s="27" t="s">
        <v>309</v>
      </c>
      <c r="B1" s="28" t="s">
        <v>310</v>
      </c>
      <c r="C1" s="29" t="s">
        <v>311</v>
      </c>
      <c r="D1" s="30" t="s">
        <v>312</v>
      </c>
    </row>
    <row r="2">
      <c r="A2" s="31" t="s">
        <v>313</v>
      </c>
    </row>
    <row r="3">
      <c r="A3" s="31" t="s">
        <v>314</v>
      </c>
    </row>
    <row r="4">
      <c r="A4" s="31" t="s">
        <v>315</v>
      </c>
    </row>
    <row r="5">
      <c r="A5" s="31" t="s">
        <v>316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27.75"/>
    <col customWidth="1" min="5" max="5" width="38.75"/>
    <col customWidth="1" min="6" max="6" width="24.75"/>
    <col customWidth="1" min="7" max="7" width="21.75"/>
  </cols>
  <sheetData>
    <row r="1">
      <c r="A1" s="32" t="s">
        <v>317</v>
      </c>
      <c r="E1" s="12"/>
      <c r="F1" s="12"/>
      <c r="G1" s="12"/>
      <c r="H1" s="12"/>
    </row>
    <row r="2">
      <c r="A2" s="1" t="s">
        <v>318</v>
      </c>
      <c r="B2" s="1" t="s">
        <v>319</v>
      </c>
      <c r="C2" s="1" t="s">
        <v>320</v>
      </c>
      <c r="D2" s="1" t="s">
        <v>321</v>
      </c>
      <c r="E2" s="12"/>
      <c r="F2" s="12"/>
      <c r="G2" s="12"/>
      <c r="H2" s="12"/>
    </row>
    <row r="3">
      <c r="A3" s="33" t="s">
        <v>322</v>
      </c>
      <c r="B3" s="34" t="s">
        <v>323</v>
      </c>
      <c r="C3" s="34" t="s">
        <v>17</v>
      </c>
      <c r="D3" s="34">
        <v>125.0</v>
      </c>
      <c r="F3" s="35"/>
      <c r="G3" s="35"/>
      <c r="H3" s="35"/>
    </row>
    <row r="4">
      <c r="A4" s="33" t="s">
        <v>324</v>
      </c>
      <c r="B4" s="4" t="s">
        <v>251</v>
      </c>
      <c r="C4" s="4" t="s">
        <v>17</v>
      </c>
      <c r="D4" s="36">
        <v>46116.0</v>
      </c>
      <c r="E4" s="33"/>
      <c r="F4" s="4"/>
      <c r="G4" s="4"/>
      <c r="H4" s="4"/>
    </row>
    <row r="5">
      <c r="A5" s="33" t="s">
        <v>325</v>
      </c>
      <c r="E5" s="33"/>
      <c r="F5" s="4"/>
      <c r="G5" s="4"/>
      <c r="H5" s="4"/>
    </row>
    <row r="6">
      <c r="A6" s="33" t="s">
        <v>326</v>
      </c>
      <c r="B6" s="4" t="s">
        <v>5</v>
      </c>
      <c r="D6" s="4">
        <v>192.0</v>
      </c>
      <c r="E6" s="33"/>
      <c r="F6" s="8"/>
      <c r="G6" s="8"/>
      <c r="H6" s="8"/>
    </row>
    <row r="7">
      <c r="A7" s="33" t="s">
        <v>327</v>
      </c>
      <c r="B7" s="4"/>
      <c r="D7" s="4"/>
      <c r="F7" s="4"/>
      <c r="G7" s="4"/>
      <c r="H7" s="4"/>
    </row>
    <row r="8">
      <c r="A8" s="33" t="s">
        <v>328</v>
      </c>
      <c r="B8" s="4"/>
      <c r="D8" s="4"/>
      <c r="E8" s="33"/>
      <c r="F8" s="4"/>
      <c r="G8" s="4"/>
      <c r="H8" s="4"/>
    </row>
    <row r="9">
      <c r="A9" s="33"/>
      <c r="B9" s="4"/>
      <c r="C9" s="4"/>
      <c r="D9" s="4"/>
      <c r="E9" s="33"/>
      <c r="F9" s="4"/>
      <c r="G9" s="4"/>
      <c r="H9" s="4"/>
    </row>
    <row r="10">
      <c r="A10" s="32" t="s">
        <v>329</v>
      </c>
      <c r="E10" s="33"/>
      <c r="F10" s="4"/>
      <c r="G10" s="4"/>
      <c r="H10" s="4"/>
    </row>
    <row r="11">
      <c r="A11" s="1" t="s">
        <v>318</v>
      </c>
      <c r="B11" s="1" t="s">
        <v>319</v>
      </c>
      <c r="C11" s="1" t="s">
        <v>320</v>
      </c>
      <c r="D11" s="1" t="s">
        <v>321</v>
      </c>
      <c r="E11" s="33"/>
    </row>
    <row r="12">
      <c r="A12" s="33" t="s">
        <v>322</v>
      </c>
      <c r="B12" s="26" t="s">
        <v>330</v>
      </c>
      <c r="C12" s="26" t="s">
        <v>109</v>
      </c>
      <c r="D12" s="26">
        <v>122.0</v>
      </c>
      <c r="E12" s="33"/>
      <c r="F12" s="4"/>
      <c r="G12" s="4"/>
      <c r="H12" s="4"/>
    </row>
    <row r="13">
      <c r="A13" s="33" t="s">
        <v>324</v>
      </c>
      <c r="B13" s="4"/>
      <c r="C13" s="4"/>
      <c r="D13" s="36"/>
      <c r="E13" s="33"/>
      <c r="F13" s="4"/>
      <c r="G13" s="4"/>
      <c r="H13" s="4"/>
    </row>
    <row r="14">
      <c r="A14" s="33" t="s">
        <v>325</v>
      </c>
      <c r="B14" s="4" t="s">
        <v>17</v>
      </c>
      <c r="D14" s="4">
        <v>216.0</v>
      </c>
      <c r="E14" s="8"/>
      <c r="F14" s="8"/>
      <c r="G14" s="8"/>
      <c r="H14" s="8"/>
    </row>
    <row r="15">
      <c r="A15" s="33" t="s">
        <v>326</v>
      </c>
      <c r="B15" s="4"/>
      <c r="D15" s="4"/>
    </row>
    <row r="16">
      <c r="A16" s="33" t="s">
        <v>327</v>
      </c>
      <c r="B16" s="4"/>
      <c r="D16" s="4"/>
    </row>
    <row r="17">
      <c r="A17" s="33" t="s">
        <v>328</v>
      </c>
      <c r="B17" s="4"/>
      <c r="D17" s="4"/>
    </row>
    <row r="19">
      <c r="A19" s="32" t="s">
        <v>331</v>
      </c>
    </row>
    <row r="20">
      <c r="A20" s="1" t="s">
        <v>318</v>
      </c>
      <c r="B20" s="1" t="s">
        <v>319</v>
      </c>
      <c r="C20" s="1" t="s">
        <v>320</v>
      </c>
      <c r="D20" s="1" t="s">
        <v>321</v>
      </c>
    </row>
    <row r="21">
      <c r="A21" s="33" t="s">
        <v>322</v>
      </c>
      <c r="B21" s="26" t="s">
        <v>332</v>
      </c>
      <c r="C21" s="26" t="s">
        <v>10</v>
      </c>
      <c r="D21" s="26">
        <v>217.0</v>
      </c>
    </row>
    <row r="22">
      <c r="A22" s="33" t="s">
        <v>324</v>
      </c>
      <c r="B22" s="4"/>
      <c r="C22" s="4"/>
      <c r="D22" s="36"/>
    </row>
    <row r="23">
      <c r="A23" s="33" t="s">
        <v>325</v>
      </c>
      <c r="B23" s="4" t="s">
        <v>6</v>
      </c>
      <c r="D23" s="4">
        <v>386.0</v>
      </c>
    </row>
    <row r="24">
      <c r="A24" s="33" t="s">
        <v>326</v>
      </c>
      <c r="B24" s="4"/>
      <c r="D24" s="4"/>
    </row>
    <row r="25">
      <c r="A25" s="33" t="s">
        <v>327</v>
      </c>
      <c r="B25" s="4"/>
      <c r="D25" s="4"/>
    </row>
    <row r="26">
      <c r="A26" s="33" t="s">
        <v>328</v>
      </c>
      <c r="B26" s="4"/>
      <c r="D26" s="4"/>
    </row>
    <row r="28">
      <c r="A28" s="32" t="s">
        <v>333</v>
      </c>
    </row>
    <row r="29">
      <c r="A29" s="1" t="s">
        <v>318</v>
      </c>
      <c r="B29" s="1" t="s">
        <v>319</v>
      </c>
      <c r="C29" s="1" t="s">
        <v>320</v>
      </c>
      <c r="D29" s="1" t="s">
        <v>321</v>
      </c>
    </row>
    <row r="30">
      <c r="A30" s="33" t="s">
        <v>322</v>
      </c>
      <c r="B30" s="26" t="s">
        <v>262</v>
      </c>
      <c r="C30" s="26" t="s">
        <v>11</v>
      </c>
      <c r="D30" s="26">
        <v>201.0</v>
      </c>
    </row>
    <row r="31">
      <c r="A31" s="33" t="s">
        <v>324</v>
      </c>
      <c r="B31" s="4"/>
      <c r="C31" s="4"/>
      <c r="D31" s="36"/>
    </row>
    <row r="32">
      <c r="A32" s="33" t="s">
        <v>325</v>
      </c>
      <c r="B32" s="4" t="s">
        <v>12</v>
      </c>
      <c r="D32" s="4">
        <v>472.0</v>
      </c>
    </row>
    <row r="33">
      <c r="A33" s="33" t="s">
        <v>326</v>
      </c>
      <c r="B33" s="4"/>
      <c r="D33" s="4"/>
    </row>
    <row r="34">
      <c r="A34" s="33" t="s">
        <v>327</v>
      </c>
      <c r="B34" s="4"/>
      <c r="D34" s="4"/>
    </row>
    <row r="35">
      <c r="A35" s="33" t="s">
        <v>328</v>
      </c>
      <c r="B35" s="4"/>
      <c r="D35" s="4"/>
    </row>
    <row r="37">
      <c r="A37" s="32" t="s">
        <v>334</v>
      </c>
    </row>
    <row r="38">
      <c r="A38" s="1" t="s">
        <v>318</v>
      </c>
      <c r="B38" s="1" t="s">
        <v>319</v>
      </c>
      <c r="C38" s="1" t="s">
        <v>320</v>
      </c>
      <c r="D38" s="1" t="s">
        <v>321</v>
      </c>
    </row>
    <row r="39">
      <c r="A39" s="33" t="s">
        <v>322</v>
      </c>
      <c r="B39" s="26" t="s">
        <v>335</v>
      </c>
      <c r="C39" s="26" t="s">
        <v>9</v>
      </c>
      <c r="D39" s="26">
        <v>176.0</v>
      </c>
    </row>
    <row r="40">
      <c r="A40" s="33" t="s">
        <v>324</v>
      </c>
      <c r="B40" s="4"/>
      <c r="C40" s="4"/>
      <c r="D40" s="36"/>
    </row>
    <row r="41">
      <c r="A41" s="33" t="s">
        <v>325</v>
      </c>
      <c r="B41" s="4" t="s">
        <v>14</v>
      </c>
      <c r="D41" s="4">
        <v>351.0</v>
      </c>
    </row>
    <row r="42">
      <c r="A42" s="33" t="s">
        <v>326</v>
      </c>
      <c r="B42" s="4"/>
      <c r="D42" s="4"/>
    </row>
    <row r="43">
      <c r="A43" s="33" t="s">
        <v>327</v>
      </c>
      <c r="B43" s="4"/>
      <c r="D43" s="4"/>
    </row>
    <row r="44">
      <c r="A44" s="33" t="s">
        <v>328</v>
      </c>
      <c r="B44" s="4"/>
      <c r="D44" s="4"/>
    </row>
    <row r="46">
      <c r="A46" s="37"/>
      <c r="B46" s="37"/>
      <c r="C46" s="37"/>
      <c r="D46" s="37"/>
    </row>
    <row r="47">
      <c r="A47" s="37"/>
      <c r="B47" s="37"/>
      <c r="C47" s="37"/>
      <c r="D47" s="37"/>
    </row>
    <row r="48">
      <c r="A48" s="37"/>
      <c r="B48" s="37"/>
      <c r="C48" s="37"/>
      <c r="D48" s="37"/>
    </row>
    <row r="49">
      <c r="A49" s="37"/>
      <c r="B49" s="37"/>
      <c r="C49" s="37"/>
      <c r="D49" s="37"/>
    </row>
    <row r="50">
      <c r="A50" s="37"/>
      <c r="B50" s="37"/>
      <c r="C50" s="37"/>
      <c r="D50" s="37"/>
    </row>
    <row r="51">
      <c r="A51" s="37"/>
      <c r="B51" s="37"/>
      <c r="C51" s="37"/>
      <c r="D51" s="37"/>
    </row>
    <row r="52">
      <c r="A52" s="37"/>
      <c r="B52" s="37"/>
      <c r="C52" s="37"/>
      <c r="D52" s="37"/>
    </row>
    <row r="53">
      <c r="A53" s="37"/>
      <c r="B53" s="37"/>
      <c r="C53" s="37"/>
      <c r="D53" s="37"/>
    </row>
  </sheetData>
  <mergeCells count="24">
    <mergeCell ref="A1:D1"/>
    <mergeCell ref="B6:C6"/>
    <mergeCell ref="B7:C7"/>
    <mergeCell ref="B8:C8"/>
    <mergeCell ref="A10:D10"/>
    <mergeCell ref="B14:C14"/>
    <mergeCell ref="B15:C15"/>
    <mergeCell ref="B16:C16"/>
    <mergeCell ref="B17:C17"/>
    <mergeCell ref="A19:D19"/>
    <mergeCell ref="B23:C23"/>
    <mergeCell ref="B24:C24"/>
    <mergeCell ref="B25:C25"/>
    <mergeCell ref="A28:D28"/>
    <mergeCell ref="B42:C42"/>
    <mergeCell ref="B43:C43"/>
    <mergeCell ref="B44:C44"/>
    <mergeCell ref="B26:C26"/>
    <mergeCell ref="B32:C32"/>
    <mergeCell ref="B33:C33"/>
    <mergeCell ref="B34:C34"/>
    <mergeCell ref="B35:C35"/>
    <mergeCell ref="A37:D37"/>
    <mergeCell ref="B41:C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7.25"/>
    <col customWidth="1" min="3" max="3" width="31.25"/>
    <col customWidth="1" min="4" max="4" width="35.63"/>
    <col customWidth="1" min="5" max="5" width="26.38"/>
    <col customWidth="1" min="6" max="6" width="33.75"/>
  </cols>
  <sheetData>
    <row r="1">
      <c r="A1" s="38" t="s">
        <v>336</v>
      </c>
    </row>
    <row r="2">
      <c r="A2" s="38" t="s">
        <v>337</v>
      </c>
    </row>
    <row r="3">
      <c r="A3" s="39" t="s">
        <v>338</v>
      </c>
    </row>
    <row r="4">
      <c r="A4" s="40">
        <f>100000+B6+A21+D6+E6+E14+C6</f>
        <v>83000</v>
      </c>
    </row>
    <row r="5">
      <c r="A5" s="33" t="s">
        <v>339</v>
      </c>
      <c r="B5" s="33" t="s">
        <v>340</v>
      </c>
      <c r="C5" s="33" t="s">
        <v>341</v>
      </c>
      <c r="D5" s="25" t="s">
        <v>342</v>
      </c>
      <c r="E5" s="25" t="s">
        <v>343</v>
      </c>
      <c r="F5" s="25" t="s">
        <v>344</v>
      </c>
    </row>
    <row r="6">
      <c r="A6" s="31" t="s">
        <v>345</v>
      </c>
      <c r="B6" s="41">
        <v>-20000.0</v>
      </c>
      <c r="C6" s="42">
        <v>-30000.0</v>
      </c>
      <c r="D6" s="43">
        <v>7000.0</v>
      </c>
      <c r="E6" s="43">
        <v>1000.0</v>
      </c>
      <c r="F6" s="31" t="s">
        <v>346</v>
      </c>
    </row>
    <row r="7">
      <c r="A7" s="31" t="s">
        <v>347</v>
      </c>
      <c r="B7" s="31" t="s">
        <v>348</v>
      </c>
      <c r="C7" s="44" t="s">
        <v>349</v>
      </c>
      <c r="D7" s="31" t="s">
        <v>350</v>
      </c>
      <c r="E7" s="45" t="s">
        <v>351</v>
      </c>
    </row>
    <row r="8">
      <c r="A8" s="31" t="s">
        <v>352</v>
      </c>
      <c r="C8" s="26" t="s">
        <v>353</v>
      </c>
      <c r="E8" s="45"/>
    </row>
    <row r="9">
      <c r="A9" s="31" t="s">
        <v>354</v>
      </c>
      <c r="E9" s="45"/>
    </row>
    <row r="10">
      <c r="A10" s="31" t="s">
        <v>355</v>
      </c>
      <c r="E10" s="45"/>
    </row>
    <row r="11">
      <c r="A11" s="31" t="s">
        <v>356</v>
      </c>
    </row>
    <row r="12">
      <c r="A12" s="31" t="s">
        <v>357</v>
      </c>
    </row>
    <row r="13">
      <c r="A13" s="31" t="s">
        <v>358</v>
      </c>
      <c r="E13" s="46" t="s">
        <v>359</v>
      </c>
      <c r="I13" s="31"/>
    </row>
    <row r="14">
      <c r="A14" s="31" t="s">
        <v>360</v>
      </c>
      <c r="E14" s="43">
        <v>0.0</v>
      </c>
    </row>
    <row r="15">
      <c r="A15" s="31" t="s">
        <v>361</v>
      </c>
    </row>
    <row r="16">
      <c r="A16" s="31" t="s">
        <v>362</v>
      </c>
    </row>
    <row r="17">
      <c r="A17" s="31" t="s">
        <v>363</v>
      </c>
    </row>
    <row r="18">
      <c r="A18" s="31" t="s">
        <v>364</v>
      </c>
    </row>
    <row r="19">
      <c r="A19" s="31" t="s">
        <v>365</v>
      </c>
    </row>
    <row r="20">
      <c r="A20" s="47" t="s">
        <v>366</v>
      </c>
    </row>
    <row r="21">
      <c r="A21" s="47">
        <f>A23</f>
        <v>25000</v>
      </c>
    </row>
    <row r="22">
      <c r="A22" s="48" t="s">
        <v>367</v>
      </c>
    </row>
    <row r="23">
      <c r="A23" s="49">
        <f>A26</f>
        <v>25000</v>
      </c>
    </row>
    <row r="24">
      <c r="A24" s="49">
        <v>2026.0</v>
      </c>
    </row>
    <row r="25">
      <c r="A25" s="49" t="s">
        <v>368</v>
      </c>
    </row>
    <row r="26">
      <c r="A26" s="49">
        <f>A29+B29+C29+D29+E29+F29+G29+H29</f>
        <v>25000</v>
      </c>
    </row>
    <row r="27">
      <c r="A27" s="33" t="s">
        <v>369</v>
      </c>
      <c r="B27" s="33" t="s">
        <v>370</v>
      </c>
      <c r="C27" s="33" t="s">
        <v>371</v>
      </c>
      <c r="D27" s="33" t="s">
        <v>372</v>
      </c>
      <c r="E27" s="33" t="s">
        <v>373</v>
      </c>
      <c r="F27" s="33" t="s">
        <v>374</v>
      </c>
      <c r="G27" s="33" t="s">
        <v>375</v>
      </c>
      <c r="H27" s="33" t="s">
        <v>376</v>
      </c>
    </row>
    <row r="28">
      <c r="A28" s="33" t="s">
        <v>377</v>
      </c>
      <c r="B28" s="33" t="s">
        <v>377</v>
      </c>
      <c r="C28" s="33" t="s">
        <v>377</v>
      </c>
      <c r="D28" s="33" t="s">
        <v>377</v>
      </c>
      <c r="E28" s="33" t="s">
        <v>377</v>
      </c>
      <c r="F28" s="33" t="s">
        <v>377</v>
      </c>
      <c r="G28" s="33" t="s">
        <v>377</v>
      </c>
      <c r="H28" s="33" t="s">
        <v>377</v>
      </c>
    </row>
    <row r="29">
      <c r="A29" s="50">
        <v>0.0</v>
      </c>
      <c r="B29" s="50">
        <v>0.0</v>
      </c>
      <c r="C29" s="50">
        <v>0.0</v>
      </c>
      <c r="D29" s="50">
        <v>0.0</v>
      </c>
      <c r="E29" s="50">
        <v>0.0</v>
      </c>
      <c r="F29" s="50">
        <v>25000.0</v>
      </c>
      <c r="G29" s="50">
        <v>0.0</v>
      </c>
      <c r="H29" s="50">
        <v>0.0</v>
      </c>
    </row>
    <row r="30">
      <c r="F30" s="31" t="s">
        <v>378</v>
      </c>
    </row>
    <row r="31">
      <c r="F31" s="31" t="s">
        <v>379</v>
      </c>
    </row>
    <row r="32">
      <c r="F32" s="31" t="s">
        <v>380</v>
      </c>
    </row>
    <row r="33">
      <c r="F33" s="31" t="s">
        <v>381</v>
      </c>
    </row>
  </sheetData>
  <mergeCells count="11">
    <mergeCell ref="A23:H23"/>
    <mergeCell ref="A24:H24"/>
    <mergeCell ref="A25:H25"/>
    <mergeCell ref="A26:H26"/>
    <mergeCell ref="A1:L1"/>
    <mergeCell ref="A2:L2"/>
    <mergeCell ref="A3:L3"/>
    <mergeCell ref="A4:L4"/>
    <mergeCell ref="A20:H20"/>
    <mergeCell ref="A21:H21"/>
    <mergeCell ref="A22:H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1.38"/>
    <col customWidth="1" min="3" max="3" width="26.38"/>
    <col customWidth="1" min="4" max="4" width="30.0"/>
    <col customWidth="1" min="5" max="5" width="30.38"/>
    <col customWidth="1" min="6" max="6" width="33.13"/>
  </cols>
  <sheetData>
    <row r="1">
      <c r="A1" s="51" t="s">
        <v>382</v>
      </c>
    </row>
    <row r="2">
      <c r="A2" s="51" t="s">
        <v>383</v>
      </c>
    </row>
    <row r="3">
      <c r="A3" s="52" t="s">
        <v>338</v>
      </c>
    </row>
    <row r="4">
      <c r="A4" s="53">
        <f>100000+B6+C6+D6+F6+F11</f>
        <v>33500</v>
      </c>
    </row>
    <row r="5">
      <c r="A5" s="33" t="s">
        <v>339</v>
      </c>
      <c r="B5" s="33" t="s">
        <v>340</v>
      </c>
      <c r="C5" s="33" t="s">
        <v>341</v>
      </c>
      <c r="D5" s="33" t="s">
        <v>384</v>
      </c>
      <c r="E5" s="33" t="s">
        <v>385</v>
      </c>
      <c r="F5" s="25" t="s">
        <v>386</v>
      </c>
    </row>
    <row r="6">
      <c r="A6" s="31" t="s">
        <v>387</v>
      </c>
      <c r="B6" s="54">
        <f>-25000</f>
        <v>-25000</v>
      </c>
      <c r="C6" s="54">
        <v>-30000.0</v>
      </c>
      <c r="D6" s="54">
        <v>-11000.0</v>
      </c>
      <c r="F6" s="54">
        <v>0.0</v>
      </c>
    </row>
    <row r="7">
      <c r="A7" s="31" t="s">
        <v>388</v>
      </c>
      <c r="B7" s="31" t="s">
        <v>389</v>
      </c>
      <c r="C7" s="55" t="s">
        <v>349</v>
      </c>
      <c r="D7" s="31" t="s">
        <v>390</v>
      </c>
    </row>
    <row r="8">
      <c r="A8" s="31" t="s">
        <v>391</v>
      </c>
      <c r="B8" s="31" t="s">
        <v>392</v>
      </c>
      <c r="C8" s="4" t="s">
        <v>393</v>
      </c>
      <c r="D8" s="31" t="s">
        <v>394</v>
      </c>
    </row>
    <row r="9">
      <c r="A9" s="31" t="s">
        <v>395</v>
      </c>
      <c r="B9" s="31" t="s">
        <v>396</v>
      </c>
      <c r="D9" s="31" t="s">
        <v>397</v>
      </c>
    </row>
    <row r="10">
      <c r="A10" s="31" t="s">
        <v>398</v>
      </c>
      <c r="B10" s="31" t="s">
        <v>399</v>
      </c>
      <c r="F10" s="33" t="s">
        <v>400</v>
      </c>
    </row>
    <row r="11">
      <c r="A11" s="31" t="s">
        <v>401</v>
      </c>
      <c r="B11" s="31" t="s">
        <v>402</v>
      </c>
      <c r="F11" s="54">
        <v>-500.0</v>
      </c>
    </row>
    <row r="12">
      <c r="A12" s="31" t="s">
        <v>403</v>
      </c>
      <c r="B12" s="31" t="s">
        <v>404</v>
      </c>
      <c r="F12" s="31" t="s">
        <v>405</v>
      </c>
    </row>
    <row r="13">
      <c r="A13" s="31" t="s">
        <v>406</v>
      </c>
    </row>
    <row r="14">
      <c r="A14" s="31" t="s">
        <v>407</v>
      </c>
    </row>
    <row r="15">
      <c r="A15" s="31" t="s">
        <v>408</v>
      </c>
    </row>
    <row r="16">
      <c r="A16" s="31" t="s">
        <v>409</v>
      </c>
    </row>
    <row r="17">
      <c r="A17" s="31" t="s">
        <v>410</v>
      </c>
    </row>
  </sheetData>
  <mergeCells count="4">
    <mergeCell ref="A1:L1"/>
    <mergeCell ref="A2:L2"/>
    <mergeCell ref="A3:L3"/>
    <mergeCell ref="A4:L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52.38"/>
    <col customWidth="1" min="3" max="3" width="34.13"/>
    <col customWidth="1" min="4" max="4" width="33.25"/>
    <col customWidth="1" min="5" max="5" width="30.25"/>
    <col customWidth="1" min="6" max="6" width="30.75"/>
    <col customWidth="1" min="7" max="7" width="31.25"/>
    <col customWidth="1" min="8" max="8" width="30.75"/>
    <col customWidth="1" min="9" max="9" width="25.25"/>
    <col customWidth="1" min="10" max="10" width="29.88"/>
    <col customWidth="1" min="11" max="11" width="25.38"/>
    <col customWidth="1" min="12" max="12" width="22.25"/>
    <col customWidth="1" min="13" max="13" width="26.13"/>
    <col customWidth="1" min="15" max="15" width="16.38"/>
    <col customWidth="1" min="16" max="16" width="35.5"/>
    <col customWidth="1" min="17" max="17" width="15.5"/>
    <col customWidth="1" min="18" max="18" width="17.0"/>
    <col customWidth="1" min="19" max="19" width="16.5"/>
  </cols>
  <sheetData>
    <row r="1">
      <c r="A1" s="22" t="s">
        <v>411</v>
      </c>
    </row>
    <row r="2">
      <c r="A2" s="22" t="s">
        <v>412</v>
      </c>
    </row>
    <row r="3">
      <c r="A3" s="21" t="s">
        <v>413</v>
      </c>
    </row>
    <row r="4">
      <c r="A4" s="56">
        <f>100000+B6+C6+D6+D14+F6+G6+H6+I6+A65+L6+R6+O6</f>
        <v>6851560</v>
      </c>
    </row>
    <row r="5">
      <c r="A5" s="22" t="s">
        <v>339</v>
      </c>
      <c r="B5" s="22" t="s">
        <v>414</v>
      </c>
      <c r="C5" s="22" t="s">
        <v>342</v>
      </c>
      <c r="D5" s="22" t="s">
        <v>415</v>
      </c>
      <c r="E5" s="22" t="s">
        <v>344</v>
      </c>
      <c r="F5" s="22" t="s">
        <v>416</v>
      </c>
      <c r="G5" s="22" t="s">
        <v>417</v>
      </c>
      <c r="H5" s="22" t="s">
        <v>418</v>
      </c>
      <c r="I5" s="22" t="s">
        <v>419</v>
      </c>
      <c r="L5" s="57" t="s">
        <v>420</v>
      </c>
      <c r="O5" s="57" t="s">
        <v>421</v>
      </c>
      <c r="R5" s="22" t="s">
        <v>422</v>
      </c>
    </row>
    <row r="6">
      <c r="A6" s="31" t="s">
        <v>423</v>
      </c>
      <c r="B6" s="58">
        <v>-190000.0</v>
      </c>
      <c r="C6" s="58">
        <v>22000.0</v>
      </c>
      <c r="D6" s="58">
        <v>6000.0</v>
      </c>
      <c r="E6" s="31" t="s">
        <v>424</v>
      </c>
      <c r="F6" s="58">
        <v>268000.0</v>
      </c>
      <c r="G6" s="58">
        <v>15300.0</v>
      </c>
      <c r="H6" s="58">
        <v>-10000.0</v>
      </c>
      <c r="I6" s="58">
        <f>I8+J8+K8</f>
        <v>44000</v>
      </c>
      <c r="L6" s="59">
        <f>L8</f>
        <v>431200</v>
      </c>
      <c r="O6" s="60">
        <f>O8</f>
        <v>1144000</v>
      </c>
      <c r="R6" s="61">
        <f>U10+U19+U33+U36+U50+U55+U62+U65+U76+U82+U55</f>
        <v>523250</v>
      </c>
    </row>
    <row r="7">
      <c r="A7" s="31" t="s">
        <v>425</v>
      </c>
      <c r="B7" s="22" t="s">
        <v>349</v>
      </c>
      <c r="C7" s="31" t="s">
        <v>426</v>
      </c>
      <c r="D7" s="62" t="s">
        <v>427</v>
      </c>
      <c r="E7" s="31" t="s">
        <v>428</v>
      </c>
      <c r="F7" s="31" t="s">
        <v>429</v>
      </c>
      <c r="G7" s="62" t="s">
        <v>430</v>
      </c>
      <c r="H7" s="31" t="s">
        <v>431</v>
      </c>
      <c r="I7" s="63" t="s">
        <v>432</v>
      </c>
      <c r="J7" s="63" t="s">
        <v>433</v>
      </c>
      <c r="K7" s="63" t="s">
        <v>434</v>
      </c>
      <c r="L7" s="64" t="s">
        <v>435</v>
      </c>
      <c r="O7" s="64" t="s">
        <v>435</v>
      </c>
      <c r="R7" s="19" t="s">
        <v>436</v>
      </c>
      <c r="S7" s="19" t="s">
        <v>437</v>
      </c>
      <c r="T7" s="19" t="s">
        <v>438</v>
      </c>
      <c r="U7" s="19" t="s">
        <v>0</v>
      </c>
      <c r="V7" s="19" t="s">
        <v>439</v>
      </c>
      <c r="W7" s="37"/>
    </row>
    <row r="8">
      <c r="A8" s="31" t="s">
        <v>440</v>
      </c>
      <c r="B8" s="21" t="s">
        <v>20</v>
      </c>
      <c r="C8" s="31" t="s">
        <v>441</v>
      </c>
      <c r="D8" s="62" t="s">
        <v>442</v>
      </c>
      <c r="E8" s="31" t="s">
        <v>443</v>
      </c>
      <c r="F8" s="31" t="s">
        <v>444</v>
      </c>
      <c r="G8" s="62" t="s">
        <v>445</v>
      </c>
      <c r="I8" s="30">
        <f>K27+K30+K33+K36+K39+K42+K45+K48</f>
        <v>19000</v>
      </c>
      <c r="J8" s="30">
        <v>30000.0</v>
      </c>
      <c r="K8" s="30">
        <v>-5000.0</v>
      </c>
      <c r="L8" s="65">
        <f>N10+N11+N14+N15+N20+N23+N25+N26+N27</f>
        <v>431200</v>
      </c>
      <c r="O8" s="66">
        <f>Q10+Q14+Q15+Q17+Q19+Q20+Q22+Q23</f>
        <v>1144000</v>
      </c>
      <c r="R8" s="18" t="s">
        <v>446</v>
      </c>
      <c r="S8" s="17" t="s">
        <v>447</v>
      </c>
      <c r="T8" s="17">
        <v>16.0</v>
      </c>
      <c r="U8" s="17">
        <f>T8*1000</f>
        <v>16000</v>
      </c>
      <c r="V8" s="67">
        <f>T8*20</f>
        <v>320</v>
      </c>
      <c r="W8" s="68"/>
    </row>
    <row r="9">
      <c r="A9" s="31" t="s">
        <v>448</v>
      </c>
      <c r="B9" s="21" t="s">
        <v>36</v>
      </c>
      <c r="C9" s="31" t="s">
        <v>449</v>
      </c>
      <c r="D9" s="62" t="s">
        <v>450</v>
      </c>
      <c r="E9" s="31" t="s">
        <v>451</v>
      </c>
      <c r="F9" s="31" t="s">
        <v>452</v>
      </c>
      <c r="G9" s="62" t="s">
        <v>453</v>
      </c>
      <c r="I9" s="25"/>
      <c r="J9" s="45" t="s">
        <v>454</v>
      </c>
      <c r="K9" s="63" t="s">
        <v>455</v>
      </c>
      <c r="L9" s="69" t="s">
        <v>456</v>
      </c>
      <c r="M9" s="69" t="s">
        <v>457</v>
      </c>
      <c r="N9" s="69" t="s">
        <v>0</v>
      </c>
      <c r="O9" s="69" t="s">
        <v>456</v>
      </c>
      <c r="P9" s="69" t="s">
        <v>457</v>
      </c>
      <c r="Q9" s="69" t="s">
        <v>0</v>
      </c>
      <c r="S9" s="17" t="s">
        <v>458</v>
      </c>
      <c r="T9" s="17">
        <v>7.0</v>
      </c>
      <c r="U9" s="17">
        <f>T9*6000</f>
        <v>42000</v>
      </c>
      <c r="V9" s="67">
        <f>T9*60</f>
        <v>420</v>
      </c>
      <c r="W9" s="68"/>
    </row>
    <row r="10">
      <c r="A10" s="31" t="s">
        <v>459</v>
      </c>
      <c r="B10" s="21" t="s">
        <v>51</v>
      </c>
      <c r="C10" s="31" t="s">
        <v>460</v>
      </c>
      <c r="D10" s="62" t="s">
        <v>461</v>
      </c>
      <c r="E10" s="31" t="s">
        <v>462</v>
      </c>
      <c r="F10" s="31" t="s">
        <v>463</v>
      </c>
      <c r="G10" s="62" t="s">
        <v>464</v>
      </c>
      <c r="J10" s="45" t="s">
        <v>465</v>
      </c>
      <c r="K10" s="70" t="s">
        <v>466</v>
      </c>
      <c r="L10" s="71" t="s">
        <v>423</v>
      </c>
      <c r="M10" s="71" t="s">
        <v>467</v>
      </c>
      <c r="N10" s="71">
        <v>1000.0</v>
      </c>
      <c r="O10" s="71" t="s">
        <v>468</v>
      </c>
      <c r="P10" s="71" t="s">
        <v>469</v>
      </c>
      <c r="Q10" s="71">
        <v>822000.0</v>
      </c>
      <c r="S10" s="72" t="s">
        <v>470</v>
      </c>
      <c r="U10" s="73">
        <f t="shared" ref="U10:V10" si="1">U8+U9</f>
        <v>58000</v>
      </c>
      <c r="V10" s="73">
        <f t="shared" si="1"/>
        <v>740</v>
      </c>
      <c r="W10" s="68"/>
    </row>
    <row r="11">
      <c r="A11" s="31" t="s">
        <v>471</v>
      </c>
      <c r="B11" s="21" t="s">
        <v>62</v>
      </c>
      <c r="C11" s="31" t="s">
        <v>472</v>
      </c>
      <c r="E11" s="31" t="s">
        <v>473</v>
      </c>
      <c r="F11" s="31" t="s">
        <v>474</v>
      </c>
      <c r="G11" s="62" t="s">
        <v>475</v>
      </c>
      <c r="J11" s="45" t="s">
        <v>476</v>
      </c>
      <c r="K11" s="70" t="s">
        <v>477</v>
      </c>
      <c r="L11" s="71" t="s">
        <v>478</v>
      </c>
      <c r="M11" s="71" t="s">
        <v>479</v>
      </c>
      <c r="N11" s="71">
        <f>3000+5400</f>
        <v>8400</v>
      </c>
      <c r="P11" s="71" t="s">
        <v>480</v>
      </c>
      <c r="R11" s="74" t="s">
        <v>481</v>
      </c>
      <c r="S11" s="17" t="s">
        <v>447</v>
      </c>
      <c r="T11" s="17">
        <v>7.0</v>
      </c>
      <c r="U11" s="17">
        <f>T11*1000</f>
        <v>7000</v>
      </c>
      <c r="V11" s="67">
        <f>T11*20</f>
        <v>140</v>
      </c>
      <c r="W11" s="68"/>
    </row>
    <row r="12">
      <c r="A12" s="31" t="s">
        <v>482</v>
      </c>
      <c r="B12" s="21" t="s">
        <v>71</v>
      </c>
      <c r="C12" s="31" t="s">
        <v>483</v>
      </c>
      <c r="E12" s="31" t="s">
        <v>484</v>
      </c>
      <c r="F12" s="31" t="s">
        <v>485</v>
      </c>
      <c r="G12" s="62" t="s">
        <v>486</v>
      </c>
      <c r="J12" s="45" t="s">
        <v>487</v>
      </c>
      <c r="K12" s="70" t="s">
        <v>488</v>
      </c>
      <c r="M12" s="71" t="s">
        <v>489</v>
      </c>
      <c r="P12" s="71" t="s">
        <v>490</v>
      </c>
      <c r="S12" s="17" t="s">
        <v>458</v>
      </c>
      <c r="T12" s="17">
        <v>4.0</v>
      </c>
      <c r="U12" s="17">
        <f>T12*6000</f>
        <v>24000</v>
      </c>
      <c r="V12" s="67">
        <f t="shared" ref="V12:V13" si="2">T12*60</f>
        <v>240</v>
      </c>
      <c r="W12" s="68"/>
    </row>
    <row r="13">
      <c r="A13" s="31" t="s">
        <v>491</v>
      </c>
      <c r="B13" s="21" t="s">
        <v>78</v>
      </c>
      <c r="C13" s="31" t="s">
        <v>492</v>
      </c>
      <c r="D13" s="22" t="s">
        <v>359</v>
      </c>
      <c r="E13" s="31" t="s">
        <v>493</v>
      </c>
      <c r="F13" s="31" t="s">
        <v>494</v>
      </c>
      <c r="G13" s="62" t="s">
        <v>495</v>
      </c>
      <c r="J13" s="45" t="s">
        <v>496</v>
      </c>
      <c r="K13" s="70" t="s">
        <v>497</v>
      </c>
      <c r="M13" s="33" t="s">
        <v>498</v>
      </c>
      <c r="P13" s="33" t="s">
        <v>499</v>
      </c>
      <c r="S13" s="17" t="s">
        <v>500</v>
      </c>
      <c r="T13" s="17">
        <v>1.5</v>
      </c>
      <c r="U13" s="67">
        <f>T13*3000</f>
        <v>4500</v>
      </c>
      <c r="V13" s="67">
        <f t="shared" si="2"/>
        <v>90</v>
      </c>
      <c r="W13" s="68"/>
    </row>
    <row r="14">
      <c r="A14" s="31" t="s">
        <v>501</v>
      </c>
      <c r="B14" s="21" t="s">
        <v>84</v>
      </c>
      <c r="C14" s="31" t="s">
        <v>502</v>
      </c>
      <c r="D14" s="58">
        <v>-1000.0</v>
      </c>
      <c r="E14" s="31" t="s">
        <v>503</v>
      </c>
      <c r="F14" s="75" t="s">
        <v>504</v>
      </c>
      <c r="G14" s="62" t="s">
        <v>505</v>
      </c>
      <c r="J14" s="45" t="s">
        <v>506</v>
      </c>
      <c r="K14" s="70" t="s">
        <v>507</v>
      </c>
      <c r="L14" s="71" t="s">
        <v>508</v>
      </c>
      <c r="M14" s="71" t="s">
        <v>489</v>
      </c>
      <c r="N14" s="71">
        <v>1000.0</v>
      </c>
      <c r="O14" s="71" t="s">
        <v>509</v>
      </c>
      <c r="P14" s="71" t="s">
        <v>510</v>
      </c>
      <c r="Q14" s="71">
        <v>2000.0</v>
      </c>
      <c r="S14" s="17" t="s">
        <v>511</v>
      </c>
      <c r="T14" s="17">
        <v>1.0</v>
      </c>
      <c r="U14" s="67">
        <f>T14*10000</f>
        <v>10000</v>
      </c>
      <c r="V14" s="67">
        <f>T14*100</f>
        <v>100</v>
      </c>
      <c r="W14" s="68"/>
    </row>
    <row r="15">
      <c r="A15" s="31" t="s">
        <v>512</v>
      </c>
      <c r="B15" s="21" t="s">
        <v>91</v>
      </c>
      <c r="C15" s="31" t="s">
        <v>513</v>
      </c>
      <c r="D15" s="62" t="s">
        <v>514</v>
      </c>
      <c r="E15" s="31" t="s">
        <v>515</v>
      </c>
      <c r="F15" s="75" t="s">
        <v>516</v>
      </c>
      <c r="G15" s="62" t="s">
        <v>517</v>
      </c>
      <c r="H15" s="31" t="s">
        <v>518</v>
      </c>
      <c r="J15" s="45" t="s">
        <v>519</v>
      </c>
      <c r="K15" s="70" t="s">
        <v>520</v>
      </c>
      <c r="L15" s="71" t="s">
        <v>521</v>
      </c>
      <c r="M15" s="71" t="s">
        <v>479</v>
      </c>
      <c r="N15" s="71">
        <f>3000+25000+50000+5400</f>
        <v>83400</v>
      </c>
      <c r="O15" s="71" t="s">
        <v>522</v>
      </c>
      <c r="P15" s="71" t="s">
        <v>469</v>
      </c>
      <c r="Q15" s="71">
        <v>8000.0</v>
      </c>
      <c r="S15" s="17" t="s">
        <v>523</v>
      </c>
      <c r="T15" s="17">
        <v>1.0</v>
      </c>
      <c r="U15" s="67">
        <f>T15*2000</f>
        <v>2000</v>
      </c>
      <c r="V15" s="67">
        <f>T15*40</f>
        <v>40</v>
      </c>
      <c r="W15" s="68"/>
    </row>
    <row r="16">
      <c r="A16" s="31" t="s">
        <v>524</v>
      </c>
      <c r="B16" s="22" t="s">
        <v>48</v>
      </c>
      <c r="C16" s="31" t="s">
        <v>525</v>
      </c>
      <c r="D16" s="62" t="s">
        <v>526</v>
      </c>
      <c r="E16" s="31" t="s">
        <v>527</v>
      </c>
      <c r="F16" s="75" t="s">
        <v>528</v>
      </c>
      <c r="G16" s="62" t="s">
        <v>495</v>
      </c>
      <c r="J16" s="45" t="s">
        <v>529</v>
      </c>
      <c r="K16" s="70" t="s">
        <v>530</v>
      </c>
      <c r="M16" s="71" t="s">
        <v>531</v>
      </c>
      <c r="P16" s="71" t="s">
        <v>532</v>
      </c>
      <c r="S16" s="17" t="s">
        <v>533</v>
      </c>
      <c r="W16" s="68"/>
    </row>
    <row r="17">
      <c r="A17" s="31" t="s">
        <v>534</v>
      </c>
      <c r="B17" s="21" t="s">
        <v>60</v>
      </c>
      <c r="C17" s="31" t="s">
        <v>535</v>
      </c>
      <c r="E17" s="31" t="s">
        <v>536</v>
      </c>
      <c r="F17" s="75" t="s">
        <v>537</v>
      </c>
      <c r="G17" s="62" t="s">
        <v>538</v>
      </c>
      <c r="J17" s="45" t="s">
        <v>539</v>
      </c>
      <c r="K17" s="70" t="s">
        <v>540</v>
      </c>
      <c r="M17" s="33" t="s">
        <v>541</v>
      </c>
      <c r="O17" s="71" t="s">
        <v>542</v>
      </c>
      <c r="P17" s="71" t="s">
        <v>543</v>
      </c>
      <c r="Q17" s="71">
        <v>5000.0</v>
      </c>
      <c r="S17" s="17">
        <v>100.0</v>
      </c>
      <c r="T17" s="17">
        <v>1.0</v>
      </c>
      <c r="U17" s="67">
        <f t="shared" ref="U17:U18" si="3">T17*1500</f>
        <v>1500</v>
      </c>
      <c r="V17" s="67">
        <f t="shared" ref="V17:V18" si="4">T17*60</f>
        <v>60</v>
      </c>
      <c r="W17" s="68"/>
    </row>
    <row r="18">
      <c r="A18" s="31" t="s">
        <v>544</v>
      </c>
      <c r="B18" s="22" t="s">
        <v>69</v>
      </c>
      <c r="C18" s="31" t="s">
        <v>545</v>
      </c>
      <c r="E18" s="31" t="s">
        <v>546</v>
      </c>
      <c r="F18" s="75" t="s">
        <v>547</v>
      </c>
      <c r="G18" s="62" t="s">
        <v>548</v>
      </c>
      <c r="J18" s="45" t="s">
        <v>549</v>
      </c>
      <c r="K18" s="70" t="s">
        <v>550</v>
      </c>
      <c r="M18" s="76" t="s">
        <v>551</v>
      </c>
      <c r="P18" s="71" t="s">
        <v>510</v>
      </c>
      <c r="S18" s="17" t="s">
        <v>552</v>
      </c>
      <c r="T18" s="17">
        <v>4.0</v>
      </c>
      <c r="U18" s="67">
        <f t="shared" si="3"/>
        <v>6000</v>
      </c>
      <c r="V18" s="67">
        <f t="shared" si="4"/>
        <v>240</v>
      </c>
      <c r="W18" s="68"/>
    </row>
    <row r="19">
      <c r="A19" s="31" t="s">
        <v>553</v>
      </c>
      <c r="B19" s="21" t="s">
        <v>60</v>
      </c>
      <c r="C19" s="31" t="s">
        <v>554</v>
      </c>
      <c r="F19" s="75" t="s">
        <v>555</v>
      </c>
      <c r="G19" s="62" t="s">
        <v>495</v>
      </c>
      <c r="J19" s="45" t="s">
        <v>556</v>
      </c>
      <c r="K19" s="70" t="s">
        <v>557</v>
      </c>
      <c r="M19" s="33" t="s">
        <v>498</v>
      </c>
      <c r="O19" s="71" t="s">
        <v>558</v>
      </c>
      <c r="P19" s="71" t="s">
        <v>543</v>
      </c>
      <c r="Q19" s="71">
        <v>3000.0</v>
      </c>
      <c r="S19" s="72" t="s">
        <v>470</v>
      </c>
      <c r="U19" s="73">
        <f t="shared" ref="U19:V19" si="5">U11+U12+U17+U18+U13+U14+U15</f>
        <v>55000</v>
      </c>
      <c r="V19" s="73">
        <f t="shared" si="5"/>
        <v>910</v>
      </c>
      <c r="W19" s="68"/>
    </row>
    <row r="20">
      <c r="A20" s="31" t="s">
        <v>559</v>
      </c>
      <c r="C20" s="31" t="s">
        <v>560</v>
      </c>
      <c r="F20" s="31" t="s">
        <v>561</v>
      </c>
      <c r="G20" s="62" t="s">
        <v>538</v>
      </c>
      <c r="J20" s="45" t="s">
        <v>562</v>
      </c>
      <c r="K20" s="77"/>
      <c r="L20" s="71" t="s">
        <v>563</v>
      </c>
      <c r="M20" s="71" t="s">
        <v>467</v>
      </c>
      <c r="N20" s="71">
        <f>1000+25000+5400</f>
        <v>31400</v>
      </c>
      <c r="O20" s="71" t="s">
        <v>564</v>
      </c>
      <c r="P20" s="71" t="s">
        <v>543</v>
      </c>
      <c r="Q20" s="71">
        <v>4000.0</v>
      </c>
      <c r="R20" s="74" t="s">
        <v>565</v>
      </c>
      <c r="S20" s="17" t="s">
        <v>447</v>
      </c>
      <c r="T20" s="17">
        <v>5.0</v>
      </c>
      <c r="U20" s="17">
        <f>T20*1000</f>
        <v>5000</v>
      </c>
      <c r="V20" s="67">
        <f>T20*20</f>
        <v>100</v>
      </c>
      <c r="W20" s="68"/>
    </row>
    <row r="21">
      <c r="A21" s="31" t="s">
        <v>566</v>
      </c>
      <c r="C21" s="31" t="s">
        <v>567</v>
      </c>
      <c r="F21" s="75" t="s">
        <v>568</v>
      </c>
      <c r="G21" s="62" t="s">
        <v>569</v>
      </c>
      <c r="J21" s="45" t="s">
        <v>570</v>
      </c>
      <c r="M21" s="33" t="s">
        <v>571</v>
      </c>
      <c r="P21" s="71" t="s">
        <v>572</v>
      </c>
      <c r="S21" s="17" t="s">
        <v>458</v>
      </c>
      <c r="T21" s="17">
        <v>4.0</v>
      </c>
      <c r="U21" s="17">
        <f>T21*6000</f>
        <v>24000</v>
      </c>
      <c r="V21" s="67">
        <f>T21*60</f>
        <v>240</v>
      </c>
      <c r="W21" s="68"/>
    </row>
    <row r="22">
      <c r="A22" s="31" t="s">
        <v>573</v>
      </c>
      <c r="C22" s="31" t="s">
        <v>574</v>
      </c>
      <c r="F22" s="31" t="s">
        <v>575</v>
      </c>
      <c r="G22" s="62" t="s">
        <v>576</v>
      </c>
      <c r="J22" s="45" t="s">
        <v>577</v>
      </c>
      <c r="M22" s="33" t="s">
        <v>498</v>
      </c>
      <c r="O22" s="33" t="s">
        <v>578</v>
      </c>
      <c r="Q22" s="4">
        <v>200000.0</v>
      </c>
      <c r="S22" s="17" t="s">
        <v>523</v>
      </c>
      <c r="T22" s="17">
        <v>2.0</v>
      </c>
      <c r="U22" s="67">
        <f>T22*2000</f>
        <v>4000</v>
      </c>
      <c r="V22" s="67">
        <f>T22*40</f>
        <v>80</v>
      </c>
      <c r="W22" s="68"/>
    </row>
    <row r="23">
      <c r="A23" s="31" t="s">
        <v>579</v>
      </c>
      <c r="C23" s="31" t="s">
        <v>580</v>
      </c>
      <c r="F23" s="31" t="s">
        <v>581</v>
      </c>
      <c r="G23" s="62" t="s">
        <v>582</v>
      </c>
      <c r="J23" s="45" t="s">
        <v>583</v>
      </c>
      <c r="L23" s="71" t="s">
        <v>584</v>
      </c>
      <c r="M23" s="71" t="s">
        <v>479</v>
      </c>
      <c r="N23" s="71">
        <v>3000.0</v>
      </c>
      <c r="O23" s="33" t="s">
        <v>585</v>
      </c>
      <c r="Q23" s="78">
        <v>100000.0</v>
      </c>
      <c r="S23" s="17" t="s">
        <v>447</v>
      </c>
      <c r="T23" s="17">
        <v>1.0</v>
      </c>
      <c r="U23" s="17">
        <f>T23*1000</f>
        <v>1000</v>
      </c>
      <c r="V23" s="67">
        <f>T23*20</f>
        <v>20</v>
      </c>
      <c r="W23" s="68"/>
    </row>
    <row r="24">
      <c r="A24" s="31" t="s">
        <v>586</v>
      </c>
      <c r="C24" s="31" t="s">
        <v>587</v>
      </c>
      <c r="F24" s="31" t="s">
        <v>588</v>
      </c>
      <c r="G24" s="62" t="s">
        <v>569</v>
      </c>
      <c r="J24" s="31" t="s">
        <v>589</v>
      </c>
      <c r="M24" s="71" t="s">
        <v>489</v>
      </c>
      <c r="O24" s="71"/>
      <c r="P24" s="71"/>
      <c r="Q24" s="71"/>
      <c r="S24" s="17" t="s">
        <v>590</v>
      </c>
      <c r="T24" s="17">
        <v>1.0</v>
      </c>
      <c r="U24" s="67">
        <f>T24*5000</f>
        <v>5000</v>
      </c>
      <c r="V24" s="67">
        <f t="shared" ref="V24:V25" si="6">T24*100</f>
        <v>100</v>
      </c>
      <c r="W24" s="68"/>
    </row>
    <row r="25">
      <c r="A25" s="31" t="s">
        <v>591</v>
      </c>
      <c r="C25" s="31" t="s">
        <v>592</v>
      </c>
      <c r="F25" s="31" t="s">
        <v>593</v>
      </c>
      <c r="G25" s="62" t="s">
        <v>538</v>
      </c>
      <c r="I25" s="30" t="s">
        <v>594</v>
      </c>
      <c r="L25" s="4" t="s">
        <v>595</v>
      </c>
      <c r="M25" s="71" t="s">
        <v>479</v>
      </c>
      <c r="N25" s="4">
        <v>2000.0</v>
      </c>
      <c r="O25" s="4"/>
      <c r="P25" s="4"/>
      <c r="Q25" s="4"/>
      <c r="S25" s="17" t="s">
        <v>511</v>
      </c>
      <c r="T25" s="17">
        <v>1.5</v>
      </c>
      <c r="U25" s="67">
        <f>T25*10000</f>
        <v>15000</v>
      </c>
      <c r="V25" s="67">
        <f t="shared" si="6"/>
        <v>150</v>
      </c>
      <c r="W25" s="68"/>
    </row>
    <row r="26">
      <c r="A26" s="31" t="s">
        <v>596</v>
      </c>
      <c r="C26" s="31" t="s">
        <v>597</v>
      </c>
      <c r="F26" s="31" t="s">
        <v>598</v>
      </c>
      <c r="G26" s="62" t="s">
        <v>599</v>
      </c>
      <c r="I26" s="23" t="s">
        <v>456</v>
      </c>
      <c r="J26" s="23" t="s">
        <v>457</v>
      </c>
      <c r="K26" s="23" t="s">
        <v>0</v>
      </c>
      <c r="L26" s="4" t="s">
        <v>600</v>
      </c>
      <c r="M26" s="71" t="s">
        <v>467</v>
      </c>
      <c r="N26" s="4">
        <v>1000.0</v>
      </c>
      <c r="O26" s="4"/>
      <c r="P26" s="4"/>
      <c r="Q26" s="4"/>
      <c r="S26" s="17" t="s">
        <v>533</v>
      </c>
      <c r="W26" s="68"/>
    </row>
    <row r="27">
      <c r="A27" s="31" t="s">
        <v>601</v>
      </c>
      <c r="C27" s="31" t="s">
        <v>602</v>
      </c>
      <c r="F27" s="31" t="s">
        <v>603</v>
      </c>
      <c r="G27" s="62" t="s">
        <v>495</v>
      </c>
      <c r="I27" s="71" t="s">
        <v>604</v>
      </c>
      <c r="J27" s="71" t="s">
        <v>605</v>
      </c>
      <c r="K27" s="71">
        <v>4000.0</v>
      </c>
      <c r="L27" s="33" t="s">
        <v>148</v>
      </c>
      <c r="N27" s="33">
        <v>300000.0</v>
      </c>
      <c r="O27" s="33"/>
      <c r="P27" s="33"/>
      <c r="Q27" s="33"/>
      <c r="S27" s="17" t="s">
        <v>552</v>
      </c>
      <c r="T27" s="17">
        <v>8.0</v>
      </c>
      <c r="U27" s="67">
        <f t="shared" ref="U27:U32" si="7">T27*1500</f>
        <v>12000</v>
      </c>
      <c r="V27" s="67">
        <f t="shared" ref="V27:V32" si="8">T27*60</f>
        <v>480</v>
      </c>
      <c r="W27" s="68"/>
    </row>
    <row r="28">
      <c r="C28" s="31" t="s">
        <v>606</v>
      </c>
      <c r="F28" s="31" t="s">
        <v>607</v>
      </c>
      <c r="G28" s="62" t="s">
        <v>576</v>
      </c>
      <c r="J28" s="71" t="s">
        <v>608</v>
      </c>
      <c r="S28" s="17" t="s">
        <v>609</v>
      </c>
      <c r="T28" s="17">
        <v>2.0</v>
      </c>
      <c r="U28" s="67">
        <f t="shared" si="7"/>
        <v>3000</v>
      </c>
      <c r="V28" s="67">
        <f t="shared" si="8"/>
        <v>120</v>
      </c>
      <c r="W28" s="68"/>
    </row>
    <row r="29">
      <c r="C29" s="31" t="s">
        <v>610</v>
      </c>
      <c r="F29" s="31" t="s">
        <v>611</v>
      </c>
      <c r="G29" s="62" t="s">
        <v>612</v>
      </c>
      <c r="J29" s="71" t="s">
        <v>613</v>
      </c>
      <c r="S29" s="17" t="s">
        <v>614</v>
      </c>
      <c r="T29" s="17">
        <v>2.5</v>
      </c>
      <c r="U29" s="67">
        <f t="shared" si="7"/>
        <v>3750</v>
      </c>
      <c r="V29" s="67">
        <f t="shared" si="8"/>
        <v>150</v>
      </c>
      <c r="W29" s="68"/>
    </row>
    <row r="30">
      <c r="C30" s="31" t="s">
        <v>615</v>
      </c>
      <c r="F30" s="31" t="s">
        <v>616</v>
      </c>
      <c r="G30" s="79"/>
      <c r="I30" s="71" t="s">
        <v>478</v>
      </c>
      <c r="J30" s="71" t="s">
        <v>605</v>
      </c>
      <c r="K30" s="71">
        <v>4000.0</v>
      </c>
      <c r="S30" s="17" t="s">
        <v>617</v>
      </c>
      <c r="T30" s="17">
        <v>1.0</v>
      </c>
      <c r="U30" s="67">
        <f t="shared" si="7"/>
        <v>1500</v>
      </c>
      <c r="V30" s="67">
        <f t="shared" si="8"/>
        <v>60</v>
      </c>
      <c r="W30" s="68"/>
    </row>
    <row r="31">
      <c r="C31" s="31" t="s">
        <v>618</v>
      </c>
      <c r="F31" s="31" t="s">
        <v>619</v>
      </c>
      <c r="G31" s="80" t="s">
        <v>620</v>
      </c>
      <c r="J31" s="71" t="s">
        <v>621</v>
      </c>
      <c r="S31" s="17" t="s">
        <v>614</v>
      </c>
      <c r="T31" s="17">
        <v>1.0</v>
      </c>
      <c r="U31" s="67">
        <f t="shared" si="7"/>
        <v>1500</v>
      </c>
      <c r="V31" s="67">
        <f t="shared" si="8"/>
        <v>60</v>
      </c>
      <c r="W31" s="68"/>
    </row>
    <row r="32">
      <c r="C32" s="31" t="s">
        <v>622</v>
      </c>
      <c r="F32" s="31" t="s">
        <v>623</v>
      </c>
      <c r="G32" s="62" t="s">
        <v>624</v>
      </c>
      <c r="J32" s="71" t="s">
        <v>625</v>
      </c>
      <c r="S32" s="17" t="s">
        <v>626</v>
      </c>
      <c r="T32" s="17">
        <v>1.0</v>
      </c>
      <c r="U32" s="67">
        <f t="shared" si="7"/>
        <v>1500</v>
      </c>
      <c r="V32" s="67">
        <f t="shared" si="8"/>
        <v>60</v>
      </c>
      <c r="W32" s="68"/>
    </row>
    <row r="33">
      <c r="C33" s="31" t="s">
        <v>627</v>
      </c>
      <c r="F33" s="31" t="s">
        <v>628</v>
      </c>
      <c r="G33" s="62" t="s">
        <v>629</v>
      </c>
      <c r="I33" s="71" t="s">
        <v>630</v>
      </c>
      <c r="J33" s="71" t="s">
        <v>631</v>
      </c>
      <c r="K33" s="71">
        <v>1500.0</v>
      </c>
      <c r="S33" s="72" t="s">
        <v>470</v>
      </c>
      <c r="U33" s="73">
        <f t="shared" ref="U33:V33" si="9">U20+U21+U22+U27+U28+U29+U30+U31+U23+U32+U24+U25</f>
        <v>77250</v>
      </c>
      <c r="V33" s="73">
        <f t="shared" si="9"/>
        <v>1620</v>
      </c>
      <c r="W33" s="68"/>
    </row>
    <row r="34">
      <c r="C34" s="31" t="s">
        <v>632</v>
      </c>
      <c r="F34" s="31" t="s">
        <v>633</v>
      </c>
      <c r="G34" s="62" t="s">
        <v>634</v>
      </c>
      <c r="J34" s="71" t="s">
        <v>635</v>
      </c>
      <c r="R34" s="74" t="s">
        <v>636</v>
      </c>
      <c r="S34" s="17" t="s">
        <v>447</v>
      </c>
      <c r="T34" s="17">
        <v>1.0</v>
      </c>
      <c r="U34" s="17">
        <f>T34*1000</f>
        <v>1000</v>
      </c>
      <c r="V34" s="67">
        <f>T34*20</f>
        <v>20</v>
      </c>
      <c r="W34" s="68"/>
    </row>
    <row r="35">
      <c r="C35" s="31" t="s">
        <v>637</v>
      </c>
      <c r="G35" s="62" t="s">
        <v>638</v>
      </c>
      <c r="J35" s="71" t="s">
        <v>613</v>
      </c>
      <c r="S35" s="17" t="s">
        <v>458</v>
      </c>
      <c r="T35" s="17">
        <v>0.5</v>
      </c>
      <c r="U35" s="17">
        <f>T35*6000</f>
        <v>3000</v>
      </c>
      <c r="V35" s="67">
        <f>T35*60</f>
        <v>30</v>
      </c>
      <c r="W35" s="68"/>
    </row>
    <row r="36">
      <c r="C36" s="31" t="s">
        <v>639</v>
      </c>
      <c r="G36" s="62" t="s">
        <v>640</v>
      </c>
      <c r="I36" s="71" t="s">
        <v>521</v>
      </c>
      <c r="J36" s="71" t="s">
        <v>641</v>
      </c>
      <c r="K36" s="71">
        <v>7500.0</v>
      </c>
      <c r="S36" s="72" t="s">
        <v>470</v>
      </c>
      <c r="U36" s="73">
        <f t="shared" ref="U36:V36" si="10">U34+U35</f>
        <v>4000</v>
      </c>
      <c r="V36" s="73">
        <f t="shared" si="10"/>
        <v>50</v>
      </c>
      <c r="W36" s="68"/>
    </row>
    <row r="37">
      <c r="C37" s="31" t="s">
        <v>642</v>
      </c>
      <c r="G37" s="62" t="s">
        <v>643</v>
      </c>
      <c r="J37" s="71" t="s">
        <v>644</v>
      </c>
      <c r="R37" s="74" t="s">
        <v>645</v>
      </c>
      <c r="S37" s="17" t="s">
        <v>447</v>
      </c>
      <c r="T37" s="17">
        <v>8.0</v>
      </c>
      <c r="U37" s="17">
        <f>T37*1000</f>
        <v>8000</v>
      </c>
      <c r="V37" s="67">
        <f>T37*20</f>
        <v>160</v>
      </c>
      <c r="W37" s="68"/>
    </row>
    <row r="38">
      <c r="C38" s="31" t="s">
        <v>646</v>
      </c>
      <c r="G38" s="79"/>
      <c r="J38" s="71" t="s">
        <v>647</v>
      </c>
      <c r="S38" s="17" t="s">
        <v>458</v>
      </c>
      <c r="T38" s="17">
        <v>2.5</v>
      </c>
      <c r="U38" s="17">
        <f>T38*6000</f>
        <v>15000</v>
      </c>
      <c r="V38" s="67">
        <f>T38*60</f>
        <v>150</v>
      </c>
      <c r="W38" s="68"/>
    </row>
    <row r="39">
      <c r="G39" s="80" t="s">
        <v>648</v>
      </c>
      <c r="I39" s="71" t="s">
        <v>649</v>
      </c>
      <c r="J39" s="71" t="s">
        <v>650</v>
      </c>
      <c r="K39" s="71">
        <v>500.0</v>
      </c>
      <c r="S39" s="17" t="s">
        <v>523</v>
      </c>
      <c r="T39" s="17">
        <v>2.0</v>
      </c>
      <c r="U39" s="67">
        <f>T39*2000</f>
        <v>4000</v>
      </c>
      <c r="V39" s="67">
        <f>T39*40</f>
        <v>80</v>
      </c>
      <c r="W39" s="68"/>
    </row>
    <row r="40">
      <c r="G40" s="79"/>
      <c r="J40" s="71" t="s">
        <v>644</v>
      </c>
      <c r="S40" s="17" t="s">
        <v>500</v>
      </c>
      <c r="T40" s="17">
        <v>9.0</v>
      </c>
      <c r="U40" s="67">
        <f>T40*3000</f>
        <v>27000</v>
      </c>
      <c r="V40" s="67">
        <f>T40*60</f>
        <v>540</v>
      </c>
      <c r="W40" s="68"/>
    </row>
    <row r="41">
      <c r="G41" s="80" t="s">
        <v>651</v>
      </c>
      <c r="J41" s="71" t="s">
        <v>652</v>
      </c>
      <c r="S41" s="17" t="s">
        <v>590</v>
      </c>
      <c r="T41" s="17">
        <v>2.5</v>
      </c>
      <c r="U41" s="67">
        <f>T41*5000</f>
        <v>12500</v>
      </c>
      <c r="V41" s="67">
        <f>T41*100</f>
        <v>250</v>
      </c>
      <c r="W41" s="68"/>
    </row>
    <row r="42">
      <c r="I42" s="71" t="s">
        <v>653</v>
      </c>
      <c r="J42" s="71" t="s">
        <v>650</v>
      </c>
      <c r="K42" s="71">
        <v>500.0</v>
      </c>
      <c r="S42" s="17" t="s">
        <v>654</v>
      </c>
      <c r="T42" s="17">
        <v>9.0</v>
      </c>
      <c r="U42" s="67">
        <f>T42*8000</f>
        <v>72000</v>
      </c>
      <c r="V42" s="67">
        <f>T42*80</f>
        <v>720</v>
      </c>
      <c r="W42" s="68"/>
    </row>
    <row r="43">
      <c r="J43" s="71" t="s">
        <v>644</v>
      </c>
      <c r="S43" s="17" t="s">
        <v>511</v>
      </c>
      <c r="T43" s="17">
        <v>2.0</v>
      </c>
      <c r="U43" s="67">
        <f>T43*10000</f>
        <v>20000</v>
      </c>
      <c r="V43" s="67">
        <f>T43*100</f>
        <v>200</v>
      </c>
      <c r="W43" s="68"/>
    </row>
    <row r="44">
      <c r="J44" s="71" t="s">
        <v>652</v>
      </c>
      <c r="S44" s="17" t="s">
        <v>655</v>
      </c>
      <c r="T44" s="17">
        <v>1.0</v>
      </c>
      <c r="U44" s="17">
        <f>T44*2000</f>
        <v>2000</v>
      </c>
      <c r="V44" s="67">
        <f>T44*20</f>
        <v>20</v>
      </c>
      <c r="W44" s="68"/>
    </row>
    <row r="45">
      <c r="I45" s="71" t="s">
        <v>656</v>
      </c>
      <c r="J45" s="71" t="s">
        <v>650</v>
      </c>
      <c r="K45" s="71">
        <v>500.0</v>
      </c>
      <c r="S45" s="17" t="s">
        <v>533</v>
      </c>
      <c r="W45" s="68"/>
    </row>
    <row r="46">
      <c r="J46" s="71" t="s">
        <v>644</v>
      </c>
      <c r="S46" s="17" t="s">
        <v>552</v>
      </c>
      <c r="T46" s="17">
        <v>7.0</v>
      </c>
      <c r="U46" s="67">
        <f t="shared" ref="U46:U49" si="11">T46*1500</f>
        <v>10500</v>
      </c>
      <c r="V46" s="67">
        <f t="shared" ref="V46:V49" si="12">T46*60</f>
        <v>420</v>
      </c>
      <c r="W46" s="68"/>
    </row>
    <row r="47">
      <c r="J47" s="71" t="s">
        <v>652</v>
      </c>
      <c r="S47" s="17" t="s">
        <v>657</v>
      </c>
      <c r="T47" s="17">
        <v>3.0</v>
      </c>
      <c r="U47" s="67">
        <f t="shared" si="11"/>
        <v>4500</v>
      </c>
      <c r="V47" s="67">
        <f t="shared" si="12"/>
        <v>180</v>
      </c>
      <c r="W47" s="68"/>
    </row>
    <row r="48">
      <c r="I48" s="71" t="s">
        <v>658</v>
      </c>
      <c r="J48" s="71" t="s">
        <v>650</v>
      </c>
      <c r="K48" s="71">
        <v>500.0</v>
      </c>
      <c r="S48" s="17" t="s">
        <v>609</v>
      </c>
      <c r="T48" s="17">
        <v>1.0</v>
      </c>
      <c r="U48" s="67">
        <f t="shared" si="11"/>
        <v>1500</v>
      </c>
      <c r="V48" s="67">
        <f t="shared" si="12"/>
        <v>60</v>
      </c>
      <c r="W48" s="68"/>
    </row>
    <row r="49">
      <c r="J49" s="71" t="s">
        <v>644</v>
      </c>
      <c r="S49" s="17" t="s">
        <v>614</v>
      </c>
      <c r="T49" s="17">
        <v>1.0</v>
      </c>
      <c r="U49" s="67">
        <f t="shared" si="11"/>
        <v>1500</v>
      </c>
      <c r="V49" s="67">
        <f t="shared" si="12"/>
        <v>60</v>
      </c>
      <c r="W49" s="68"/>
    </row>
    <row r="50">
      <c r="J50" s="71" t="s">
        <v>652</v>
      </c>
      <c r="S50" s="72" t="s">
        <v>470</v>
      </c>
      <c r="U50" s="73">
        <f t="shared" ref="U50:V50" si="13">U37+U38+U39+U40+U41+U42+U46+U47+U48+U49+U43+U44</f>
        <v>178500</v>
      </c>
      <c r="V50" s="73">
        <f t="shared" si="13"/>
        <v>2840</v>
      </c>
      <c r="W50" s="68"/>
    </row>
    <row r="51">
      <c r="I51" s="45"/>
      <c r="J51" s="45"/>
      <c r="K51" s="77"/>
      <c r="R51" s="74" t="s">
        <v>659</v>
      </c>
      <c r="S51" s="17" t="s">
        <v>458</v>
      </c>
      <c r="T51" s="17">
        <v>0.5</v>
      </c>
      <c r="U51" s="17">
        <f>T51*6000</f>
        <v>3000</v>
      </c>
      <c r="V51" s="67">
        <f>T51*60</f>
        <v>30</v>
      </c>
      <c r="W51" s="68"/>
    </row>
    <row r="52">
      <c r="I52" s="77"/>
      <c r="J52" s="45"/>
      <c r="K52" s="77"/>
      <c r="S52" s="17" t="s">
        <v>654</v>
      </c>
      <c r="T52" s="17">
        <v>0.5</v>
      </c>
      <c r="U52" s="67">
        <f>T52*8000</f>
        <v>4000</v>
      </c>
      <c r="V52" s="67">
        <f>T52*80</f>
        <v>40</v>
      </c>
      <c r="W52" s="68"/>
    </row>
    <row r="53">
      <c r="I53" s="77"/>
      <c r="J53" s="45"/>
      <c r="K53" s="77"/>
      <c r="S53" s="17" t="s">
        <v>590</v>
      </c>
      <c r="T53" s="17">
        <v>2.5</v>
      </c>
      <c r="U53" s="67">
        <f>T53*5000</f>
        <v>12500</v>
      </c>
      <c r="V53" s="67">
        <f t="shared" ref="V53:V54" si="14">T53*100</f>
        <v>250</v>
      </c>
      <c r="W53" s="68"/>
    </row>
    <row r="54">
      <c r="I54" s="77"/>
      <c r="J54" s="45"/>
      <c r="K54" s="77"/>
      <c r="S54" s="17" t="s">
        <v>511</v>
      </c>
      <c r="T54" s="17">
        <v>1.5</v>
      </c>
      <c r="U54" s="67">
        <f>T54*10000</f>
        <v>15000</v>
      </c>
      <c r="V54" s="67">
        <f t="shared" si="14"/>
        <v>150</v>
      </c>
      <c r="W54" s="68"/>
    </row>
    <row r="55">
      <c r="I55" s="45"/>
      <c r="J55" s="77"/>
      <c r="K55" s="77"/>
      <c r="S55" s="72" t="s">
        <v>470</v>
      </c>
      <c r="U55" s="73">
        <f t="shared" ref="U55:V55" si="15">U51+U52+U53+U54</f>
        <v>34500</v>
      </c>
      <c r="V55" s="73">
        <f t="shared" si="15"/>
        <v>470</v>
      </c>
      <c r="W55" s="68"/>
    </row>
    <row r="56">
      <c r="I56" s="45"/>
      <c r="J56" s="77"/>
      <c r="K56" s="77"/>
      <c r="R56" s="74" t="s">
        <v>660</v>
      </c>
      <c r="S56" s="17" t="s">
        <v>500</v>
      </c>
      <c r="T56" s="17">
        <v>0.5</v>
      </c>
      <c r="U56" s="67">
        <f>T56*3000</f>
        <v>1500</v>
      </c>
      <c r="V56" s="67">
        <f>T56*60</f>
        <v>30</v>
      </c>
      <c r="W56" s="81"/>
    </row>
    <row r="57">
      <c r="I57" s="45"/>
      <c r="J57" s="77"/>
      <c r="K57" s="77"/>
      <c r="S57" s="17" t="s">
        <v>533</v>
      </c>
    </row>
    <row r="58">
      <c r="I58" s="45"/>
      <c r="J58" s="77"/>
      <c r="K58" s="77"/>
      <c r="S58" s="17" t="s">
        <v>552</v>
      </c>
      <c r="T58" s="17">
        <v>2.0</v>
      </c>
      <c r="U58" s="67">
        <f t="shared" ref="U58:U61" si="16">T58*1500</f>
        <v>3000</v>
      </c>
      <c r="V58" s="67">
        <f t="shared" ref="V58:V61" si="17">T58*60</f>
        <v>120</v>
      </c>
      <c r="W58" s="81"/>
    </row>
    <row r="59">
      <c r="I59" s="45"/>
      <c r="J59" s="77"/>
      <c r="K59" s="77"/>
      <c r="S59" s="17" t="s">
        <v>657</v>
      </c>
      <c r="T59" s="17">
        <v>1.0</v>
      </c>
      <c r="U59" s="67">
        <f t="shared" si="16"/>
        <v>1500</v>
      </c>
      <c r="V59" s="67">
        <f t="shared" si="17"/>
        <v>60</v>
      </c>
    </row>
    <row r="60">
      <c r="I60" s="77"/>
      <c r="J60" s="77"/>
      <c r="K60" s="77"/>
      <c r="S60" s="17" t="s">
        <v>617</v>
      </c>
      <c r="T60" s="17">
        <v>1.0</v>
      </c>
      <c r="U60" s="67">
        <f t="shared" si="16"/>
        <v>1500</v>
      </c>
      <c r="V60" s="67">
        <f t="shared" si="17"/>
        <v>60</v>
      </c>
    </row>
    <row r="61">
      <c r="I61" s="77"/>
      <c r="J61" s="77"/>
      <c r="K61" s="77"/>
      <c r="S61" s="17" t="s">
        <v>661</v>
      </c>
      <c r="T61" s="17">
        <v>0.5</v>
      </c>
      <c r="U61" s="67">
        <f t="shared" si="16"/>
        <v>750</v>
      </c>
      <c r="V61" s="67">
        <f t="shared" si="17"/>
        <v>30</v>
      </c>
    </row>
    <row r="62">
      <c r="I62" s="77"/>
      <c r="J62" s="77"/>
      <c r="K62" s="77"/>
      <c r="S62" s="72" t="s">
        <v>470</v>
      </c>
      <c r="U62" s="73">
        <f t="shared" ref="U62:V62" si="18">U58+U59+U60+U61+U56</f>
        <v>8250</v>
      </c>
      <c r="V62" s="73">
        <f t="shared" si="18"/>
        <v>300</v>
      </c>
    </row>
    <row r="63">
      <c r="I63" s="77"/>
      <c r="J63" s="77"/>
      <c r="K63" s="77"/>
      <c r="R63" s="74" t="s">
        <v>662</v>
      </c>
      <c r="S63" s="17" t="s">
        <v>533</v>
      </c>
    </row>
    <row r="64">
      <c r="A64" s="47" t="s">
        <v>366</v>
      </c>
      <c r="I64" s="77"/>
      <c r="J64" s="77"/>
      <c r="K64" s="77"/>
      <c r="S64" s="17" t="s">
        <v>552</v>
      </c>
      <c r="T64" s="17">
        <v>3.0</v>
      </c>
      <c r="U64" s="67">
        <f>T64*1500</f>
        <v>4500</v>
      </c>
      <c r="V64" s="67">
        <f>T64*60</f>
        <v>180</v>
      </c>
    </row>
    <row r="65">
      <c r="A65" s="47">
        <f>A67+A89+A115+A137+A165+A196+A240+A259+A275+A294</f>
        <v>4498810</v>
      </c>
      <c r="I65" s="77"/>
      <c r="J65" s="77"/>
      <c r="K65" s="77"/>
      <c r="S65" s="72" t="s">
        <v>470</v>
      </c>
      <c r="U65" s="73">
        <f t="shared" ref="U65:V65" si="19">U64</f>
        <v>4500</v>
      </c>
      <c r="V65" s="73">
        <f t="shared" si="19"/>
        <v>180</v>
      </c>
    </row>
    <row r="66">
      <c r="A66" s="82" t="s">
        <v>663</v>
      </c>
      <c r="I66" s="77"/>
      <c r="J66" s="77"/>
      <c r="K66" s="77"/>
      <c r="R66" s="83" t="s">
        <v>664</v>
      </c>
      <c r="S66" s="17" t="s">
        <v>523</v>
      </c>
      <c r="T66" s="17">
        <v>1.0</v>
      </c>
      <c r="U66" s="67">
        <f>T66*2000</f>
        <v>2000</v>
      </c>
      <c r="V66" s="67">
        <f>T66*40</f>
        <v>40</v>
      </c>
    </row>
    <row r="67">
      <c r="A67" s="82">
        <v>42400.0</v>
      </c>
      <c r="I67" s="77"/>
      <c r="J67" s="77"/>
      <c r="K67" s="77"/>
      <c r="S67" s="17" t="s">
        <v>654</v>
      </c>
      <c r="T67" s="17">
        <v>2.5</v>
      </c>
      <c r="U67" s="67">
        <f>T67*8000</f>
        <v>20000</v>
      </c>
      <c r="V67" s="67">
        <f>T67*80</f>
        <v>200</v>
      </c>
    </row>
    <row r="68">
      <c r="A68" s="82">
        <v>2026.0</v>
      </c>
      <c r="I68" s="77"/>
      <c r="J68" s="77"/>
      <c r="K68" s="77"/>
      <c r="S68" s="17" t="s">
        <v>511</v>
      </c>
      <c r="T68" s="17">
        <v>1.5</v>
      </c>
      <c r="U68" s="67">
        <f>T68*10000</f>
        <v>15000</v>
      </c>
      <c r="V68" s="67">
        <f>T68*100</f>
        <v>150</v>
      </c>
    </row>
    <row r="69">
      <c r="A69" s="50" t="s">
        <v>665</v>
      </c>
      <c r="B69" s="50" t="s">
        <v>119</v>
      </c>
      <c r="C69" s="50" t="s">
        <v>142</v>
      </c>
      <c r="D69" s="50" t="s">
        <v>126</v>
      </c>
      <c r="E69" s="50" t="s">
        <v>130</v>
      </c>
      <c r="I69" s="77"/>
      <c r="J69" s="77"/>
      <c r="K69" s="77"/>
      <c r="S69" s="17" t="s">
        <v>500</v>
      </c>
      <c r="T69" s="17">
        <v>1.0</v>
      </c>
      <c r="U69" s="67">
        <f>T69*3000</f>
        <v>3000</v>
      </c>
      <c r="V69" s="67">
        <f>T69*60</f>
        <v>60</v>
      </c>
    </row>
    <row r="70">
      <c r="A70" s="84" t="s">
        <v>666</v>
      </c>
      <c r="B70" s="84" t="s">
        <v>667</v>
      </c>
      <c r="C70" s="84" t="s">
        <v>668</v>
      </c>
      <c r="D70" s="84" t="s">
        <v>669</v>
      </c>
      <c r="I70" s="77"/>
      <c r="J70" s="77"/>
      <c r="K70" s="77"/>
      <c r="S70" s="17" t="s">
        <v>655</v>
      </c>
      <c r="T70" s="17">
        <v>1.0</v>
      </c>
      <c r="U70" s="17">
        <f>T70*2000</f>
        <v>2000</v>
      </c>
      <c r="V70" s="67">
        <f>T70*20</f>
        <v>20</v>
      </c>
    </row>
    <row r="71">
      <c r="A71" s="31" t="s">
        <v>670</v>
      </c>
      <c r="B71" s="31" t="s">
        <v>464</v>
      </c>
      <c r="C71" s="31" t="s">
        <v>604</v>
      </c>
      <c r="D71" s="31" t="s">
        <v>468</v>
      </c>
      <c r="I71" s="77"/>
      <c r="J71" s="77"/>
      <c r="K71" s="77"/>
      <c r="S71" s="17" t="s">
        <v>590</v>
      </c>
      <c r="T71" s="17">
        <v>1.0</v>
      </c>
      <c r="U71" s="67">
        <f>T71*5000</f>
        <v>5000</v>
      </c>
      <c r="V71" s="67">
        <f>T71*100</f>
        <v>100</v>
      </c>
    </row>
    <row r="72">
      <c r="A72" s="31" t="s">
        <v>671</v>
      </c>
      <c r="B72" s="31" t="s">
        <v>672</v>
      </c>
      <c r="C72" s="31" t="s">
        <v>672</v>
      </c>
      <c r="D72" s="31" t="s">
        <v>673</v>
      </c>
      <c r="I72" s="77"/>
      <c r="J72" s="77"/>
      <c r="K72" s="77"/>
      <c r="S72" s="17" t="s">
        <v>533</v>
      </c>
    </row>
    <row r="73">
      <c r="B73" s="31" t="s">
        <v>674</v>
      </c>
      <c r="C73" s="31" t="s">
        <v>675</v>
      </c>
      <c r="D73" s="31" t="s">
        <v>676</v>
      </c>
      <c r="I73" s="77"/>
      <c r="J73" s="77"/>
      <c r="K73" s="77"/>
      <c r="S73" s="17" t="s">
        <v>552</v>
      </c>
      <c r="T73" s="17">
        <v>1.0</v>
      </c>
      <c r="U73" s="67">
        <f t="shared" ref="U73:U75" si="20">T73*1500</f>
        <v>1500</v>
      </c>
      <c r="V73" s="67">
        <f t="shared" ref="V73:V75" si="21">T73*60</f>
        <v>60</v>
      </c>
    </row>
    <row r="74">
      <c r="B74" s="31" t="s">
        <v>677</v>
      </c>
      <c r="D74" s="31" t="s">
        <v>678</v>
      </c>
      <c r="I74" s="77"/>
      <c r="J74" s="77"/>
      <c r="K74" s="77"/>
      <c r="S74" s="17" t="s">
        <v>614</v>
      </c>
      <c r="T74" s="17">
        <v>1.0</v>
      </c>
      <c r="U74" s="67">
        <f t="shared" si="20"/>
        <v>1500</v>
      </c>
      <c r="V74" s="67">
        <f t="shared" si="21"/>
        <v>60</v>
      </c>
    </row>
    <row r="75">
      <c r="B75" s="31" t="s">
        <v>679</v>
      </c>
      <c r="D75" s="31" t="s">
        <v>680</v>
      </c>
      <c r="I75" s="77"/>
      <c r="J75" s="77"/>
      <c r="K75" s="77"/>
      <c r="S75" s="17" t="s">
        <v>661</v>
      </c>
      <c r="T75" s="17">
        <v>0.5</v>
      </c>
      <c r="U75" s="67">
        <f t="shared" si="20"/>
        <v>750</v>
      </c>
      <c r="V75" s="67">
        <f t="shared" si="21"/>
        <v>30</v>
      </c>
    </row>
    <row r="76">
      <c r="B76" s="31" t="s">
        <v>677</v>
      </c>
      <c r="D76" s="31" t="s">
        <v>478</v>
      </c>
      <c r="S76" s="72" t="s">
        <v>470</v>
      </c>
      <c r="U76" s="73">
        <f t="shared" ref="U76:V76" si="22">U66+U67+U73+U74+U75+U68+U69+U70+U71</f>
        <v>50750</v>
      </c>
      <c r="V76" s="73">
        <f t="shared" si="22"/>
        <v>720</v>
      </c>
    </row>
    <row r="77">
      <c r="D77" s="31" t="s">
        <v>672</v>
      </c>
      <c r="R77" s="74" t="s">
        <v>681</v>
      </c>
      <c r="S77" s="17" t="s">
        <v>654</v>
      </c>
      <c r="T77" s="17">
        <v>1.0</v>
      </c>
      <c r="U77" s="67">
        <f>T77*8000</f>
        <v>8000</v>
      </c>
      <c r="V77" s="67">
        <f>T77*80</f>
        <v>80</v>
      </c>
    </row>
    <row r="78">
      <c r="D78" s="31" t="s">
        <v>682</v>
      </c>
      <c r="S78" s="17" t="s">
        <v>590</v>
      </c>
      <c r="T78" s="17">
        <v>1.0</v>
      </c>
      <c r="U78" s="67">
        <f>T78*5000</f>
        <v>5000</v>
      </c>
      <c r="V78" s="67">
        <f t="shared" ref="V78:V79" si="23">T78*100</f>
        <v>100</v>
      </c>
    </row>
    <row r="79">
      <c r="D79" s="31" t="s">
        <v>678</v>
      </c>
      <c r="S79" s="17" t="s">
        <v>511</v>
      </c>
      <c r="T79" s="17">
        <v>0.5</v>
      </c>
      <c r="U79" s="67">
        <f>T79*10000</f>
        <v>5000</v>
      </c>
      <c r="V79" s="67">
        <f t="shared" si="23"/>
        <v>50</v>
      </c>
    </row>
    <row r="80">
      <c r="D80" s="31" t="s">
        <v>680</v>
      </c>
      <c r="S80" s="17" t="s">
        <v>533</v>
      </c>
    </row>
    <row r="81">
      <c r="D81" s="31" t="s">
        <v>683</v>
      </c>
      <c r="S81" s="17" t="s">
        <v>661</v>
      </c>
      <c r="T81" s="17">
        <v>1.5</v>
      </c>
      <c r="U81" s="67">
        <f>T81*1500</f>
        <v>2250</v>
      </c>
      <c r="V81" s="67">
        <f>T81*60</f>
        <v>90</v>
      </c>
    </row>
    <row r="82">
      <c r="D82" s="31" t="s">
        <v>684</v>
      </c>
      <c r="S82" s="72" t="s">
        <v>470</v>
      </c>
      <c r="U82" s="73">
        <f t="shared" ref="U82:V82" si="24">U77+U78+U79</f>
        <v>18000</v>
      </c>
      <c r="V82" s="73">
        <f t="shared" si="24"/>
        <v>230</v>
      </c>
    </row>
    <row r="83">
      <c r="D83" s="31" t="s">
        <v>680</v>
      </c>
    </row>
    <row r="84">
      <c r="D84" s="31" t="s">
        <v>636</v>
      </c>
    </row>
    <row r="85">
      <c r="D85" s="31" t="s">
        <v>685</v>
      </c>
    </row>
    <row r="86">
      <c r="D86" s="31" t="s">
        <v>680</v>
      </c>
    </row>
    <row r="87">
      <c r="A87" s="85"/>
      <c r="B87" s="85"/>
      <c r="C87" s="85"/>
      <c r="D87" s="85"/>
      <c r="E87" s="85"/>
      <c r="F87" s="85"/>
    </row>
    <row r="88">
      <c r="A88" s="86" t="s">
        <v>686</v>
      </c>
    </row>
    <row r="89">
      <c r="A89" s="86">
        <v>47360.0</v>
      </c>
    </row>
    <row r="90">
      <c r="A90" s="87">
        <v>2026.0</v>
      </c>
    </row>
    <row r="91">
      <c r="A91" s="50" t="s">
        <v>687</v>
      </c>
      <c r="B91" s="50" t="s">
        <v>688</v>
      </c>
      <c r="C91" s="50" t="s">
        <v>689</v>
      </c>
      <c r="D91" s="50" t="s">
        <v>690</v>
      </c>
      <c r="E91" s="50" t="s">
        <v>691</v>
      </c>
      <c r="F91" s="50" t="s">
        <v>692</v>
      </c>
    </row>
    <row r="92">
      <c r="A92" s="84" t="s">
        <v>693</v>
      </c>
      <c r="B92" s="84" t="s">
        <v>694</v>
      </c>
      <c r="C92" s="84" t="s">
        <v>695</v>
      </c>
      <c r="D92" s="84" t="s">
        <v>696</v>
      </c>
      <c r="E92" s="84" t="s">
        <v>693</v>
      </c>
      <c r="F92" s="84" t="s">
        <v>697</v>
      </c>
    </row>
    <row r="93">
      <c r="B93" s="31" t="s">
        <v>698</v>
      </c>
      <c r="C93" s="31" t="s">
        <v>468</v>
      </c>
      <c r="D93" s="31" t="s">
        <v>699</v>
      </c>
      <c r="F93" s="31" t="s">
        <v>700</v>
      </c>
    </row>
    <row r="94">
      <c r="B94" s="31" t="s">
        <v>701</v>
      </c>
      <c r="C94" s="31" t="s">
        <v>702</v>
      </c>
      <c r="D94" s="31" t="s">
        <v>703</v>
      </c>
      <c r="F94" s="31" t="s">
        <v>704</v>
      </c>
    </row>
    <row r="95">
      <c r="B95" s="31" t="s">
        <v>481</v>
      </c>
      <c r="C95" s="31" t="s">
        <v>705</v>
      </c>
      <c r="D95" s="31" t="s">
        <v>706</v>
      </c>
      <c r="F95" s="31" t="s">
        <v>705</v>
      </c>
    </row>
    <row r="96">
      <c r="B96" s="31" t="s">
        <v>707</v>
      </c>
      <c r="C96" s="31" t="s">
        <v>708</v>
      </c>
      <c r="D96" s="31" t="s">
        <v>709</v>
      </c>
      <c r="F96" s="31" t="s">
        <v>710</v>
      </c>
    </row>
    <row r="97">
      <c r="B97" s="31" t="s">
        <v>711</v>
      </c>
      <c r="C97" s="31" t="s">
        <v>710</v>
      </c>
      <c r="D97" s="31" t="s">
        <v>712</v>
      </c>
      <c r="F97" s="31" t="s">
        <v>713</v>
      </c>
    </row>
    <row r="98">
      <c r="B98" s="31" t="s">
        <v>714</v>
      </c>
      <c r="C98" s="31" t="s">
        <v>478</v>
      </c>
      <c r="D98" s="31" t="s">
        <v>705</v>
      </c>
      <c r="F98" s="31" t="s">
        <v>715</v>
      </c>
    </row>
    <row r="99">
      <c r="B99" s="31" t="s">
        <v>705</v>
      </c>
      <c r="C99" s="31" t="s">
        <v>716</v>
      </c>
      <c r="D99" s="31" t="s">
        <v>717</v>
      </c>
      <c r="F99" s="31" t="s">
        <v>718</v>
      </c>
    </row>
    <row r="100">
      <c r="B100" s="31" t="s">
        <v>719</v>
      </c>
      <c r="C100" s="31" t="s">
        <v>705</v>
      </c>
      <c r="D100" s="31" t="s">
        <v>710</v>
      </c>
      <c r="F100" s="31" t="s">
        <v>705</v>
      </c>
    </row>
    <row r="101">
      <c r="B101" s="31" t="s">
        <v>720</v>
      </c>
      <c r="C101" s="31" t="s">
        <v>710</v>
      </c>
      <c r="D101" s="31" t="s">
        <v>508</v>
      </c>
      <c r="F101" s="31" t="s">
        <v>706</v>
      </c>
    </row>
    <row r="102">
      <c r="B102" s="31" t="s">
        <v>677</v>
      </c>
      <c r="C102" s="31" t="s">
        <v>721</v>
      </c>
      <c r="D102" s="31" t="s">
        <v>701</v>
      </c>
      <c r="F102" s="31" t="s">
        <v>710</v>
      </c>
    </row>
    <row r="103">
      <c r="C103" s="31" t="s">
        <v>722</v>
      </c>
      <c r="F103" s="31" t="s">
        <v>713</v>
      </c>
    </row>
    <row r="104">
      <c r="C104" s="31" t="s">
        <v>723</v>
      </c>
    </row>
    <row r="105">
      <c r="C105" s="31" t="s">
        <v>703</v>
      </c>
    </row>
    <row r="106">
      <c r="C106" s="31" t="s">
        <v>724</v>
      </c>
    </row>
    <row r="107">
      <c r="C107" s="31" t="s">
        <v>703</v>
      </c>
    </row>
    <row r="108">
      <c r="C108" s="31" t="s">
        <v>725</v>
      </c>
    </row>
    <row r="109">
      <c r="C109" s="31" t="s">
        <v>726</v>
      </c>
    </row>
    <row r="110">
      <c r="C110" s="31" t="s">
        <v>727</v>
      </c>
    </row>
    <row r="111">
      <c r="C111" s="31" t="s">
        <v>728</v>
      </c>
    </row>
    <row r="112">
      <c r="C112" s="31" t="s">
        <v>729</v>
      </c>
    </row>
    <row r="113">
      <c r="A113" s="85"/>
    </row>
    <row r="114">
      <c r="A114" s="22" t="s">
        <v>730</v>
      </c>
    </row>
    <row r="115">
      <c r="A115" s="22">
        <v>467300.0</v>
      </c>
    </row>
    <row r="116">
      <c r="A116" s="19">
        <v>2026.0</v>
      </c>
    </row>
    <row r="117">
      <c r="A117" s="88" t="s">
        <v>731</v>
      </c>
    </row>
    <row r="118">
      <c r="A118" s="19" t="s">
        <v>732</v>
      </c>
    </row>
    <row r="119">
      <c r="A119" s="50" t="s">
        <v>733</v>
      </c>
      <c r="B119" s="50" t="s">
        <v>191</v>
      </c>
      <c r="C119" s="50" t="s">
        <v>734</v>
      </c>
      <c r="D119" s="50" t="s">
        <v>735</v>
      </c>
      <c r="E119" s="50" t="s">
        <v>187</v>
      </c>
      <c r="F119" s="50" t="s">
        <v>736</v>
      </c>
      <c r="G119" s="50" t="s">
        <v>179</v>
      </c>
      <c r="H119" s="50" t="s">
        <v>737</v>
      </c>
    </row>
    <row r="120">
      <c r="A120" s="76" t="s">
        <v>738</v>
      </c>
      <c r="B120" s="76" t="s">
        <v>739</v>
      </c>
      <c r="C120" s="76" t="s">
        <v>740</v>
      </c>
      <c r="D120" s="76" t="s">
        <v>741</v>
      </c>
      <c r="E120" s="76" t="s">
        <v>742</v>
      </c>
      <c r="F120" s="76" t="s">
        <v>743</v>
      </c>
      <c r="G120" s="76" t="s">
        <v>744</v>
      </c>
      <c r="H120" s="76" t="s">
        <v>745</v>
      </c>
    </row>
    <row r="121">
      <c r="A121" s="31" t="s">
        <v>746</v>
      </c>
      <c r="B121" s="31" t="s">
        <v>747</v>
      </c>
      <c r="C121" s="31" t="s">
        <v>748</v>
      </c>
      <c r="D121" s="31" t="s">
        <v>700</v>
      </c>
      <c r="E121" s="31" t="s">
        <v>749</v>
      </c>
      <c r="F121" s="31" t="s">
        <v>750</v>
      </c>
      <c r="G121" s="31" t="s">
        <v>468</v>
      </c>
      <c r="H121" s="31" t="s">
        <v>604</v>
      </c>
    </row>
    <row r="122">
      <c r="A122" s="31" t="s">
        <v>751</v>
      </c>
      <c r="B122" s="31" t="s">
        <v>751</v>
      </c>
      <c r="C122" s="31" t="s">
        <v>751</v>
      </c>
      <c r="D122" s="31" t="s">
        <v>751</v>
      </c>
      <c r="E122" s="31" t="s">
        <v>751</v>
      </c>
      <c r="F122" s="31" t="s">
        <v>751</v>
      </c>
      <c r="G122" s="31" t="s">
        <v>751</v>
      </c>
      <c r="H122" s="31" t="s">
        <v>751</v>
      </c>
    </row>
    <row r="123">
      <c r="A123" s="31" t="s">
        <v>644</v>
      </c>
      <c r="B123" s="31" t="s">
        <v>631</v>
      </c>
      <c r="C123" s="31" t="s">
        <v>752</v>
      </c>
      <c r="D123" s="31" t="s">
        <v>481</v>
      </c>
      <c r="E123" s="31" t="s">
        <v>753</v>
      </c>
      <c r="F123" s="31" t="s">
        <v>754</v>
      </c>
      <c r="G123" s="31" t="s">
        <v>755</v>
      </c>
      <c r="H123" s="31" t="s">
        <v>509</v>
      </c>
    </row>
    <row r="124">
      <c r="A124" s="31" t="s">
        <v>756</v>
      </c>
      <c r="B124" s="31" t="s">
        <v>757</v>
      </c>
      <c r="C124" s="31" t="s">
        <v>758</v>
      </c>
      <c r="D124" s="31" t="s">
        <v>758</v>
      </c>
      <c r="E124" s="31" t="s">
        <v>644</v>
      </c>
      <c r="F124" s="31" t="s">
        <v>758</v>
      </c>
      <c r="G124" s="31" t="s">
        <v>759</v>
      </c>
      <c r="H124" s="31" t="s">
        <v>758</v>
      </c>
    </row>
    <row r="125">
      <c r="A125" s="31" t="s">
        <v>758</v>
      </c>
      <c r="B125" s="31" t="s">
        <v>760</v>
      </c>
      <c r="C125" s="31" t="s">
        <v>761</v>
      </c>
      <c r="D125" s="31" t="s">
        <v>631</v>
      </c>
      <c r="E125" s="31" t="s">
        <v>613</v>
      </c>
      <c r="F125" s="31" t="s">
        <v>762</v>
      </c>
      <c r="G125" s="31" t="s">
        <v>613</v>
      </c>
    </row>
    <row r="126">
      <c r="A126" s="31" t="s">
        <v>763</v>
      </c>
      <c r="B126" s="31" t="s">
        <v>764</v>
      </c>
      <c r="C126" s="31" t="s">
        <v>765</v>
      </c>
      <c r="D126" s="31" t="s">
        <v>613</v>
      </c>
      <c r="E126" s="31" t="s">
        <v>766</v>
      </c>
      <c r="F126" s="31" t="s">
        <v>767</v>
      </c>
      <c r="G126" s="31" t="s">
        <v>768</v>
      </c>
    </row>
    <row r="127">
      <c r="A127" s="31" t="s">
        <v>671</v>
      </c>
      <c r="B127" s="31" t="s">
        <v>758</v>
      </c>
      <c r="C127" s="31" t="s">
        <v>769</v>
      </c>
      <c r="D127" s="31" t="s">
        <v>770</v>
      </c>
      <c r="E127" s="31" t="s">
        <v>771</v>
      </c>
      <c r="G127" s="31" t="s">
        <v>772</v>
      </c>
    </row>
    <row r="128">
      <c r="B128" s="31" t="s">
        <v>773</v>
      </c>
      <c r="C128" s="31" t="s">
        <v>774</v>
      </c>
      <c r="D128" s="31" t="s">
        <v>677</v>
      </c>
      <c r="E128" s="31" t="s">
        <v>758</v>
      </c>
      <c r="G128" s="31" t="s">
        <v>775</v>
      </c>
    </row>
    <row r="129">
      <c r="B129" s="31" t="s">
        <v>776</v>
      </c>
      <c r="C129" s="31" t="s">
        <v>673</v>
      </c>
      <c r="D129" s="31" t="s">
        <v>777</v>
      </c>
      <c r="E129" s="31" t="s">
        <v>631</v>
      </c>
      <c r="G129" s="31" t="s">
        <v>778</v>
      </c>
    </row>
    <row r="130">
      <c r="B130" s="31" t="s">
        <v>779</v>
      </c>
      <c r="D130" s="31" t="s">
        <v>780</v>
      </c>
      <c r="E130" s="31" t="s">
        <v>644</v>
      </c>
      <c r="G130" s="31" t="s">
        <v>781</v>
      </c>
    </row>
    <row r="131">
      <c r="B131" s="31" t="s">
        <v>773</v>
      </c>
      <c r="E131" s="31" t="s">
        <v>782</v>
      </c>
      <c r="G131" s="31" t="s">
        <v>758</v>
      </c>
    </row>
    <row r="132">
      <c r="B132" s="31" t="s">
        <v>783</v>
      </c>
      <c r="G132" s="31" t="s">
        <v>631</v>
      </c>
    </row>
    <row r="133">
      <c r="B133" s="31" t="s">
        <v>704</v>
      </c>
      <c r="G133" s="31" t="s">
        <v>644</v>
      </c>
    </row>
    <row r="134">
      <c r="B134" s="31" t="s">
        <v>773</v>
      </c>
      <c r="G134" s="31" t="s">
        <v>784</v>
      </c>
    </row>
    <row r="135">
      <c r="A135" s="89" t="s">
        <v>785</v>
      </c>
      <c r="G135" s="31" t="s">
        <v>786</v>
      </c>
    </row>
    <row r="136">
      <c r="A136" s="90" t="s">
        <v>787</v>
      </c>
    </row>
    <row r="137">
      <c r="A137" s="90">
        <f>A140</f>
        <v>316025</v>
      </c>
    </row>
    <row r="138">
      <c r="A138" s="90">
        <v>2026.0</v>
      </c>
    </row>
    <row r="139">
      <c r="A139" s="90" t="s">
        <v>788</v>
      </c>
    </row>
    <row r="140">
      <c r="A140" s="90">
        <f>A143+B143+C143+D143+E143+F143+G143+H143</f>
        <v>316025</v>
      </c>
    </row>
    <row r="141">
      <c r="A141" s="50" t="s">
        <v>789</v>
      </c>
      <c r="B141" s="50" t="s">
        <v>790</v>
      </c>
      <c r="C141" s="50" t="s">
        <v>215</v>
      </c>
      <c r="D141" s="50" t="s">
        <v>791</v>
      </c>
      <c r="E141" s="50" t="s">
        <v>202</v>
      </c>
      <c r="F141" s="50" t="s">
        <v>792</v>
      </c>
      <c r="G141" s="50" t="s">
        <v>793</v>
      </c>
      <c r="H141" s="50" t="s">
        <v>205</v>
      </c>
    </row>
    <row r="142">
      <c r="A142" s="33" t="s">
        <v>377</v>
      </c>
      <c r="B142" s="33" t="s">
        <v>377</v>
      </c>
      <c r="C142" s="33" t="s">
        <v>377</v>
      </c>
      <c r="D142" s="33" t="s">
        <v>693</v>
      </c>
      <c r="E142" s="33" t="s">
        <v>377</v>
      </c>
      <c r="F142" s="33" t="s">
        <v>377</v>
      </c>
      <c r="G142" s="33" t="s">
        <v>693</v>
      </c>
      <c r="H142" s="33" t="s">
        <v>377</v>
      </c>
    </row>
    <row r="143">
      <c r="A143" s="50">
        <v>0.0</v>
      </c>
      <c r="B143" s="50">
        <v>2000.0</v>
      </c>
      <c r="C143" s="50">
        <v>66275.0</v>
      </c>
      <c r="D143" s="50">
        <v>74250.0</v>
      </c>
      <c r="E143" s="50">
        <v>69550.0</v>
      </c>
      <c r="F143" s="50">
        <v>18250.0</v>
      </c>
      <c r="G143" s="50">
        <v>26500.0</v>
      </c>
      <c r="H143" s="50">
        <v>59200.0</v>
      </c>
    </row>
    <row r="144">
      <c r="B144" s="31" t="s">
        <v>794</v>
      </c>
      <c r="C144" s="31" t="s">
        <v>698</v>
      </c>
      <c r="D144" s="31" t="s">
        <v>468</v>
      </c>
      <c r="E144" s="31" t="s">
        <v>604</v>
      </c>
      <c r="F144" s="91" t="s">
        <v>795</v>
      </c>
      <c r="G144" s="31" t="s">
        <v>796</v>
      </c>
      <c r="H144" s="31" t="s">
        <v>749</v>
      </c>
    </row>
    <row r="145">
      <c r="B145" s="31" t="s">
        <v>797</v>
      </c>
      <c r="C145" s="31" t="s">
        <v>798</v>
      </c>
      <c r="D145" s="31" t="s">
        <v>799</v>
      </c>
      <c r="E145" s="31" t="s">
        <v>800</v>
      </c>
      <c r="F145" s="91" t="s">
        <v>801</v>
      </c>
      <c r="G145" s="31" t="s">
        <v>799</v>
      </c>
      <c r="H145" s="31" t="s">
        <v>704</v>
      </c>
    </row>
    <row r="146">
      <c r="C146" s="31" t="s">
        <v>802</v>
      </c>
      <c r="D146" s="31" t="s">
        <v>803</v>
      </c>
      <c r="E146" s="31" t="s">
        <v>803</v>
      </c>
      <c r="F146" s="31" t="s">
        <v>715</v>
      </c>
      <c r="G146" s="91" t="s">
        <v>804</v>
      </c>
      <c r="H146" s="31" t="s">
        <v>805</v>
      </c>
    </row>
    <row r="147">
      <c r="C147" s="31" t="s">
        <v>806</v>
      </c>
      <c r="D147" s="31" t="s">
        <v>807</v>
      </c>
      <c r="E147" s="31" t="s">
        <v>807</v>
      </c>
      <c r="F147" s="31" t="s">
        <v>808</v>
      </c>
      <c r="G147" s="91" t="s">
        <v>809</v>
      </c>
      <c r="H147" s="31" t="s">
        <v>810</v>
      </c>
    </row>
    <row r="148">
      <c r="C148" s="31" t="s">
        <v>811</v>
      </c>
      <c r="D148" s="31" t="s">
        <v>806</v>
      </c>
      <c r="E148" s="31" t="s">
        <v>806</v>
      </c>
      <c r="F148" s="31" t="s">
        <v>802</v>
      </c>
      <c r="H148" s="31" t="s">
        <v>806</v>
      </c>
    </row>
    <row r="149">
      <c r="C149" s="31" t="s">
        <v>812</v>
      </c>
      <c r="D149" s="31" t="s">
        <v>478</v>
      </c>
      <c r="E149" s="31" t="s">
        <v>813</v>
      </c>
      <c r="F149" s="31" t="s">
        <v>807</v>
      </c>
      <c r="H149" s="31" t="s">
        <v>814</v>
      </c>
    </row>
    <row r="150">
      <c r="C150" s="31" t="s">
        <v>815</v>
      </c>
      <c r="D150" s="31" t="s">
        <v>816</v>
      </c>
      <c r="E150" s="31" t="s">
        <v>481</v>
      </c>
      <c r="F150" s="31" t="s">
        <v>776</v>
      </c>
      <c r="H150" s="31" t="s">
        <v>817</v>
      </c>
    </row>
    <row r="151">
      <c r="C151" s="31" t="s">
        <v>802</v>
      </c>
      <c r="D151" s="31" t="s">
        <v>803</v>
      </c>
      <c r="E151" s="31" t="s">
        <v>818</v>
      </c>
      <c r="F151" s="31" t="s">
        <v>819</v>
      </c>
    </row>
    <row r="152">
      <c r="C152" s="31" t="s">
        <v>807</v>
      </c>
      <c r="D152" s="31" t="s">
        <v>711</v>
      </c>
      <c r="E152" s="31" t="s">
        <v>807</v>
      </c>
      <c r="F152" s="31" t="s">
        <v>807</v>
      </c>
    </row>
    <row r="153">
      <c r="C153" s="31" t="s">
        <v>811</v>
      </c>
      <c r="D153" s="31" t="s">
        <v>820</v>
      </c>
      <c r="E153" s="31" t="s">
        <v>813</v>
      </c>
    </row>
    <row r="154">
      <c r="C154" s="31" t="s">
        <v>721</v>
      </c>
      <c r="D154" s="31" t="s">
        <v>807</v>
      </c>
    </row>
    <row r="155">
      <c r="C155" s="31" t="s">
        <v>821</v>
      </c>
      <c r="D155" s="31" t="s">
        <v>822</v>
      </c>
    </row>
    <row r="156">
      <c r="C156" s="31" t="s">
        <v>811</v>
      </c>
      <c r="D156" s="31" t="s">
        <v>823</v>
      </c>
    </row>
    <row r="157">
      <c r="C157" s="31" t="s">
        <v>824</v>
      </c>
      <c r="D157" s="31" t="s">
        <v>825</v>
      </c>
    </row>
    <row r="158">
      <c r="C158" s="31" t="s">
        <v>703</v>
      </c>
      <c r="D158" s="31" t="s">
        <v>826</v>
      </c>
    </row>
    <row r="159">
      <c r="C159" s="31" t="s">
        <v>811</v>
      </c>
    </row>
    <row r="160">
      <c r="C160" s="31" t="s">
        <v>827</v>
      </c>
    </row>
    <row r="161">
      <c r="C161" s="31" t="s">
        <v>379</v>
      </c>
    </row>
    <row r="162">
      <c r="C162" s="31" t="s">
        <v>811</v>
      </c>
    </row>
    <row r="164">
      <c r="A164" s="92" t="s">
        <v>828</v>
      </c>
    </row>
    <row r="165">
      <c r="A165" s="92">
        <f>A168</f>
        <v>360000</v>
      </c>
    </row>
    <row r="166">
      <c r="A166" s="92">
        <v>2026.0</v>
      </c>
    </row>
    <row r="167">
      <c r="A167" s="92" t="s">
        <v>368</v>
      </c>
    </row>
    <row r="168">
      <c r="A168" s="93">
        <f>A171+B171+C171+D171+E171+F171+G171+H171+I171+J171</f>
        <v>360000</v>
      </c>
    </row>
    <row r="169">
      <c r="A169" s="94" t="s">
        <v>829</v>
      </c>
      <c r="B169" s="94" t="s">
        <v>830</v>
      </c>
      <c r="C169" s="94" t="s">
        <v>831</v>
      </c>
      <c r="D169" s="94" t="s">
        <v>832</v>
      </c>
      <c r="E169" s="94" t="s">
        <v>833</v>
      </c>
      <c r="F169" s="94" t="s">
        <v>834</v>
      </c>
      <c r="G169" s="94" t="s">
        <v>835</v>
      </c>
      <c r="H169" s="94" t="s">
        <v>836</v>
      </c>
      <c r="I169" s="95" t="s">
        <v>837</v>
      </c>
      <c r="J169" s="95" t="s">
        <v>838</v>
      </c>
    </row>
    <row r="170">
      <c r="A170" s="33" t="s">
        <v>377</v>
      </c>
      <c r="B170" s="33" t="s">
        <v>377</v>
      </c>
      <c r="C170" s="33" t="s">
        <v>377</v>
      </c>
      <c r="D170" s="33" t="s">
        <v>377</v>
      </c>
      <c r="E170" s="33" t="s">
        <v>377</v>
      </c>
      <c r="F170" s="33" t="s">
        <v>377</v>
      </c>
      <c r="G170" s="33" t="s">
        <v>377</v>
      </c>
      <c r="H170" s="33" t="s">
        <v>377</v>
      </c>
      <c r="I170" s="33" t="s">
        <v>377</v>
      </c>
      <c r="J170" s="33" t="s">
        <v>377</v>
      </c>
    </row>
    <row r="171">
      <c r="A171" s="50">
        <v>5000.0</v>
      </c>
      <c r="B171" s="50">
        <v>36000.0</v>
      </c>
      <c r="C171" s="50">
        <v>0.0</v>
      </c>
      <c r="D171" s="50">
        <v>26100.0</v>
      </c>
      <c r="E171" s="50">
        <v>6400.0</v>
      </c>
      <c r="F171" s="50">
        <v>0.0</v>
      </c>
      <c r="G171" s="50">
        <v>9500.0</v>
      </c>
      <c r="H171" s="50">
        <v>0.0</v>
      </c>
      <c r="I171" s="50">
        <v>42000.0</v>
      </c>
      <c r="J171" s="50">
        <v>235000.0</v>
      </c>
    </row>
    <row r="172">
      <c r="A172" s="31" t="s">
        <v>839</v>
      </c>
      <c r="B172" s="91" t="s">
        <v>840</v>
      </c>
      <c r="D172" s="31" t="s">
        <v>747</v>
      </c>
      <c r="E172" s="31" t="s">
        <v>841</v>
      </c>
      <c r="G172" s="31" t="s">
        <v>842</v>
      </c>
      <c r="I172" s="31" t="s">
        <v>843</v>
      </c>
      <c r="J172" s="31" t="s">
        <v>468</v>
      </c>
    </row>
    <row r="173">
      <c r="A173" s="31" t="s">
        <v>844</v>
      </c>
      <c r="B173" s="91" t="s">
        <v>845</v>
      </c>
      <c r="D173" s="31" t="s">
        <v>845</v>
      </c>
      <c r="E173" s="31" t="s">
        <v>846</v>
      </c>
      <c r="G173" s="31" t="s">
        <v>847</v>
      </c>
      <c r="I173" s="31" t="s">
        <v>848</v>
      </c>
      <c r="J173" s="31" t="s">
        <v>849</v>
      </c>
    </row>
    <row r="174">
      <c r="B174" s="31" t="s">
        <v>850</v>
      </c>
      <c r="D174" s="31" t="s">
        <v>851</v>
      </c>
      <c r="E174" s="31" t="s">
        <v>852</v>
      </c>
      <c r="I174" s="31" t="s">
        <v>853</v>
      </c>
      <c r="J174" s="31" t="s">
        <v>854</v>
      </c>
    </row>
    <row r="175">
      <c r="B175" s="31" t="s">
        <v>855</v>
      </c>
      <c r="D175" s="31" t="s">
        <v>703</v>
      </c>
      <c r="E175" s="31" t="s">
        <v>844</v>
      </c>
      <c r="I175" s="31" t="s">
        <v>856</v>
      </c>
      <c r="J175" s="31" t="s">
        <v>771</v>
      </c>
    </row>
    <row r="176">
      <c r="D176" s="31" t="s">
        <v>857</v>
      </c>
      <c r="I176" s="31" t="s">
        <v>848</v>
      </c>
      <c r="J176" s="31" t="s">
        <v>858</v>
      </c>
    </row>
    <row r="177">
      <c r="D177" s="31" t="s">
        <v>859</v>
      </c>
      <c r="J177" s="31" t="s">
        <v>860</v>
      </c>
    </row>
    <row r="178">
      <c r="J178" s="31" t="s">
        <v>845</v>
      </c>
    </row>
    <row r="179">
      <c r="J179" s="31" t="s">
        <v>861</v>
      </c>
    </row>
    <row r="180">
      <c r="J180" s="31" t="s">
        <v>820</v>
      </c>
    </row>
    <row r="181">
      <c r="J181" s="31" t="s">
        <v>862</v>
      </c>
    </row>
    <row r="182">
      <c r="J182" s="31" t="s">
        <v>826</v>
      </c>
    </row>
    <row r="183">
      <c r="J183" s="31" t="s">
        <v>854</v>
      </c>
    </row>
    <row r="184">
      <c r="J184" s="31" t="s">
        <v>863</v>
      </c>
    </row>
    <row r="185">
      <c r="J185" s="31" t="s">
        <v>864</v>
      </c>
    </row>
    <row r="186">
      <c r="J186" s="31" t="s">
        <v>865</v>
      </c>
    </row>
    <row r="187">
      <c r="J187" s="31" t="s">
        <v>866</v>
      </c>
    </row>
    <row r="188">
      <c r="J188" s="31" t="s">
        <v>867</v>
      </c>
    </row>
    <row r="189">
      <c r="J189" s="31" t="s">
        <v>868</v>
      </c>
    </row>
    <row r="190">
      <c r="J190" s="31" t="s">
        <v>869</v>
      </c>
    </row>
    <row r="191">
      <c r="J191" s="31" t="s">
        <v>826</v>
      </c>
    </row>
    <row r="192">
      <c r="J192" s="31" t="s">
        <v>853</v>
      </c>
    </row>
    <row r="193">
      <c r="J193" s="31" t="s">
        <v>870</v>
      </c>
    </row>
    <row r="194">
      <c r="A194" s="96" t="s">
        <v>871</v>
      </c>
    </row>
    <row r="195">
      <c r="A195" s="97" t="s">
        <v>872</v>
      </c>
    </row>
    <row r="196">
      <c r="A196" s="97">
        <f>A199</f>
        <v>712100</v>
      </c>
    </row>
    <row r="197">
      <c r="A197" s="97">
        <v>2026.0</v>
      </c>
    </row>
    <row r="198">
      <c r="A198" s="97" t="s">
        <v>368</v>
      </c>
    </row>
    <row r="199">
      <c r="A199" s="98">
        <f>A202+B202+C202+D202+E202+F202+G202+H202+I202+J202</f>
        <v>712100</v>
      </c>
    </row>
    <row r="200">
      <c r="A200" s="50" t="s">
        <v>873</v>
      </c>
      <c r="B200" s="50" t="s">
        <v>874</v>
      </c>
      <c r="C200" s="50" t="s">
        <v>875</v>
      </c>
      <c r="D200" s="50" t="s">
        <v>876</v>
      </c>
      <c r="E200" s="50" t="s">
        <v>877</v>
      </c>
      <c r="F200" s="50" t="s">
        <v>878</v>
      </c>
      <c r="G200" s="94" t="s">
        <v>879</v>
      </c>
      <c r="H200" s="99" t="s">
        <v>880</v>
      </c>
      <c r="I200" s="99" t="s">
        <v>881</v>
      </c>
      <c r="J200" s="99" t="s">
        <v>882</v>
      </c>
    </row>
    <row r="201">
      <c r="A201" s="33" t="s">
        <v>377</v>
      </c>
      <c r="B201" s="33" t="s">
        <v>377</v>
      </c>
      <c r="C201" s="33" t="s">
        <v>377</v>
      </c>
      <c r="D201" s="33" t="s">
        <v>377</v>
      </c>
      <c r="E201" s="33" t="s">
        <v>377</v>
      </c>
      <c r="F201" s="33" t="s">
        <v>377</v>
      </c>
      <c r="G201" s="33" t="s">
        <v>377</v>
      </c>
      <c r="H201" s="64" t="s">
        <v>377</v>
      </c>
      <c r="I201" s="64" t="s">
        <v>377</v>
      </c>
      <c r="J201" s="64" t="s">
        <v>377</v>
      </c>
    </row>
    <row r="202">
      <c r="A202" s="50">
        <v>17000.0</v>
      </c>
      <c r="B202" s="50">
        <v>101000.0</v>
      </c>
      <c r="C202" s="50">
        <v>20000.0</v>
      </c>
      <c r="D202" s="50"/>
      <c r="E202" s="50">
        <v>41000.0</v>
      </c>
      <c r="F202" s="50">
        <v>22500.0</v>
      </c>
      <c r="G202" s="50">
        <v>62500.0</v>
      </c>
      <c r="H202" s="50">
        <f>176500+271600</f>
        <v>448100</v>
      </c>
      <c r="I202" s="50"/>
      <c r="J202" s="50"/>
    </row>
    <row r="203">
      <c r="A203" s="75" t="s">
        <v>839</v>
      </c>
      <c r="B203" s="75" t="s">
        <v>796</v>
      </c>
      <c r="C203" s="31" t="s">
        <v>883</v>
      </c>
      <c r="E203" s="31" t="s">
        <v>794</v>
      </c>
      <c r="F203" s="31" t="s">
        <v>884</v>
      </c>
      <c r="G203" s="31" t="s">
        <v>624</v>
      </c>
      <c r="H203" s="31" t="s">
        <v>468</v>
      </c>
    </row>
    <row r="204">
      <c r="A204" s="31" t="s">
        <v>767</v>
      </c>
      <c r="B204" s="31" t="s">
        <v>855</v>
      </c>
      <c r="C204" s="31" t="s">
        <v>848</v>
      </c>
      <c r="E204" s="31" t="s">
        <v>677</v>
      </c>
      <c r="F204" s="31" t="s">
        <v>885</v>
      </c>
      <c r="G204" s="31" t="s">
        <v>886</v>
      </c>
      <c r="H204" s="31" t="s">
        <v>887</v>
      </c>
    </row>
    <row r="205">
      <c r="A205" s="31" t="s">
        <v>888</v>
      </c>
      <c r="B205" s="75" t="s">
        <v>889</v>
      </c>
      <c r="E205" s="31" t="s">
        <v>709</v>
      </c>
      <c r="F205" s="31" t="s">
        <v>890</v>
      </c>
      <c r="G205" s="31" t="s">
        <v>890</v>
      </c>
      <c r="H205" s="31" t="s">
        <v>890</v>
      </c>
    </row>
    <row r="206">
      <c r="B206" s="31" t="s">
        <v>866</v>
      </c>
      <c r="E206" s="31" t="s">
        <v>891</v>
      </c>
      <c r="F206" s="31" t="s">
        <v>892</v>
      </c>
      <c r="G206" s="31" t="s">
        <v>893</v>
      </c>
      <c r="H206" s="31" t="s">
        <v>892</v>
      </c>
    </row>
    <row r="207">
      <c r="B207" s="75" t="s">
        <v>894</v>
      </c>
      <c r="G207" s="31" t="s">
        <v>895</v>
      </c>
      <c r="H207" s="31" t="s">
        <v>896</v>
      </c>
    </row>
    <row r="208">
      <c r="B208" s="31" t="s">
        <v>848</v>
      </c>
      <c r="G208" s="31" t="s">
        <v>896</v>
      </c>
      <c r="H208" s="31" t="s">
        <v>897</v>
      </c>
    </row>
    <row r="209">
      <c r="B209" s="31" t="s">
        <v>890</v>
      </c>
      <c r="H209" s="31" t="s">
        <v>509</v>
      </c>
    </row>
    <row r="210">
      <c r="B210" s="31" t="s">
        <v>898</v>
      </c>
      <c r="H210" s="31" t="s">
        <v>891</v>
      </c>
    </row>
    <row r="211">
      <c r="B211" s="75" t="s">
        <v>899</v>
      </c>
      <c r="H211" s="31" t="s">
        <v>900</v>
      </c>
    </row>
    <row r="212">
      <c r="B212" s="31" t="s">
        <v>901</v>
      </c>
      <c r="H212" s="31" t="s">
        <v>897</v>
      </c>
    </row>
    <row r="213">
      <c r="B213" s="31" t="s">
        <v>898</v>
      </c>
      <c r="H213" s="31" t="s">
        <v>902</v>
      </c>
    </row>
    <row r="214">
      <c r="B214" s="31" t="s">
        <v>903</v>
      </c>
      <c r="H214" s="31" t="s">
        <v>864</v>
      </c>
    </row>
    <row r="215">
      <c r="B215" s="75" t="s">
        <v>649</v>
      </c>
      <c r="H215" s="31" t="s">
        <v>890</v>
      </c>
    </row>
    <row r="216">
      <c r="B216" s="31" t="s">
        <v>779</v>
      </c>
      <c r="H216" s="31" t="s">
        <v>897</v>
      </c>
    </row>
    <row r="217">
      <c r="B217" s="31" t="s">
        <v>904</v>
      </c>
      <c r="H217" s="31" t="s">
        <v>905</v>
      </c>
    </row>
    <row r="218">
      <c r="B218" s="31" t="s">
        <v>906</v>
      </c>
      <c r="H218" s="31" t="s">
        <v>907</v>
      </c>
    </row>
    <row r="219">
      <c r="H219" s="31" t="s">
        <v>900</v>
      </c>
    </row>
    <row r="220">
      <c r="H220" s="31" t="s">
        <v>908</v>
      </c>
    </row>
    <row r="221">
      <c r="H221" s="31" t="s">
        <v>897</v>
      </c>
    </row>
    <row r="222">
      <c r="H222" s="31" t="s">
        <v>909</v>
      </c>
    </row>
    <row r="223">
      <c r="H223" s="31" t="s">
        <v>910</v>
      </c>
    </row>
    <row r="224">
      <c r="H224" s="31" t="s">
        <v>897</v>
      </c>
    </row>
    <row r="225">
      <c r="H225" s="31" t="s">
        <v>911</v>
      </c>
    </row>
    <row r="226">
      <c r="H226" s="31" t="s">
        <v>677</v>
      </c>
    </row>
    <row r="227">
      <c r="H227" s="31" t="s">
        <v>897</v>
      </c>
    </row>
    <row r="228">
      <c r="H228" s="31" t="s">
        <v>656</v>
      </c>
    </row>
    <row r="229">
      <c r="H229" s="31" t="s">
        <v>912</v>
      </c>
    </row>
    <row r="230">
      <c r="H230" s="31" t="s">
        <v>890</v>
      </c>
    </row>
    <row r="231">
      <c r="H231" s="31" t="s">
        <v>892</v>
      </c>
    </row>
    <row r="232">
      <c r="H232" s="31" t="s">
        <v>897</v>
      </c>
    </row>
    <row r="239">
      <c r="A239" s="100" t="s">
        <v>913</v>
      </c>
    </row>
    <row r="240">
      <c r="A240" s="100">
        <f>A243</f>
        <v>354000</v>
      </c>
    </row>
    <row r="241">
      <c r="A241" s="100">
        <v>2026.0</v>
      </c>
    </row>
    <row r="242">
      <c r="A242" s="100" t="s">
        <v>368</v>
      </c>
    </row>
    <row r="243">
      <c r="A243" s="100">
        <f>A246+B246+C246+D246+E246+F246+G246+H246</f>
        <v>354000</v>
      </c>
    </row>
    <row r="244">
      <c r="A244" s="50" t="s">
        <v>914</v>
      </c>
      <c r="B244" s="50" t="s">
        <v>246</v>
      </c>
      <c r="C244" s="50" t="s">
        <v>247</v>
      </c>
      <c r="D244" s="50" t="s">
        <v>249</v>
      </c>
      <c r="E244" s="50" t="s">
        <v>915</v>
      </c>
      <c r="F244" s="50" t="s">
        <v>916</v>
      </c>
      <c r="G244" s="50" t="s">
        <v>253</v>
      </c>
      <c r="H244" s="50" t="s">
        <v>252</v>
      </c>
    </row>
    <row r="245">
      <c r="A245" s="33" t="s">
        <v>377</v>
      </c>
      <c r="B245" s="33" t="s">
        <v>377</v>
      </c>
      <c r="C245" s="33" t="s">
        <v>377</v>
      </c>
      <c r="D245" s="33" t="s">
        <v>377</v>
      </c>
      <c r="E245" s="33" t="s">
        <v>377</v>
      </c>
      <c r="F245" s="33" t="s">
        <v>377</v>
      </c>
      <c r="G245" s="33" t="s">
        <v>377</v>
      </c>
      <c r="H245" s="33" t="s">
        <v>377</v>
      </c>
    </row>
    <row r="246">
      <c r="A246" s="50">
        <v>0.0</v>
      </c>
      <c r="B246" s="50">
        <v>0.0</v>
      </c>
      <c r="C246" s="50">
        <v>0.0</v>
      </c>
      <c r="D246" s="50">
        <v>0.0</v>
      </c>
      <c r="E246" s="50">
        <v>0.0</v>
      </c>
      <c r="F246" s="50">
        <v>57000.0</v>
      </c>
      <c r="G246" s="50">
        <v>268000.0</v>
      </c>
      <c r="H246" s="50">
        <f>7000+22000</f>
        <v>29000</v>
      </c>
    </row>
    <row r="247">
      <c r="F247" s="31" t="s">
        <v>917</v>
      </c>
      <c r="G247" s="31" t="s">
        <v>749</v>
      </c>
      <c r="H247" s="31" t="s">
        <v>796</v>
      </c>
    </row>
    <row r="248">
      <c r="F248" s="31" t="s">
        <v>918</v>
      </c>
      <c r="G248" s="31" t="s">
        <v>919</v>
      </c>
      <c r="H248" s="31" t="s">
        <v>765</v>
      </c>
    </row>
    <row r="249">
      <c r="F249" s="31" t="s">
        <v>920</v>
      </c>
      <c r="G249" s="31" t="s">
        <v>920</v>
      </c>
      <c r="H249" s="31" t="s">
        <v>921</v>
      </c>
    </row>
    <row r="250">
      <c r="F250" s="31" t="s">
        <v>922</v>
      </c>
      <c r="G250" s="31" t="s">
        <v>922</v>
      </c>
    </row>
    <row r="251">
      <c r="F251" s="31" t="s">
        <v>923</v>
      </c>
      <c r="G251" s="31" t="s">
        <v>924</v>
      </c>
    </row>
    <row r="252">
      <c r="F252" s="31" t="s">
        <v>677</v>
      </c>
      <c r="G252" s="31" t="s">
        <v>925</v>
      </c>
    </row>
    <row r="253">
      <c r="G253" s="31" t="s">
        <v>926</v>
      </c>
    </row>
    <row r="254">
      <c r="G254" s="31" t="s">
        <v>920</v>
      </c>
    </row>
    <row r="255">
      <c r="G255" s="31" t="s">
        <v>927</v>
      </c>
    </row>
    <row r="258">
      <c r="A258" s="101" t="s">
        <v>928</v>
      </c>
    </row>
    <row r="259">
      <c r="A259" s="101">
        <f>A262</f>
        <v>113000</v>
      </c>
    </row>
    <row r="260">
      <c r="A260" s="101">
        <v>2026.0</v>
      </c>
    </row>
    <row r="261">
      <c r="A261" s="101" t="s">
        <v>368</v>
      </c>
    </row>
    <row r="262">
      <c r="A262" s="102">
        <f>A265+B265+C265+D265+E265+F265+G265+H265+I265+J265</f>
        <v>113000</v>
      </c>
    </row>
    <row r="263">
      <c r="A263" s="50" t="s">
        <v>929</v>
      </c>
      <c r="B263" s="50" t="s">
        <v>930</v>
      </c>
      <c r="C263" s="50" t="s">
        <v>931</v>
      </c>
      <c r="D263" s="50" t="s">
        <v>932</v>
      </c>
      <c r="E263" s="50" t="s">
        <v>933</v>
      </c>
      <c r="F263" s="50" t="s">
        <v>934</v>
      </c>
      <c r="G263" s="50" t="s">
        <v>935</v>
      </c>
      <c r="H263" s="50" t="s">
        <v>936</v>
      </c>
      <c r="I263" s="50" t="s">
        <v>937</v>
      </c>
      <c r="J263" s="50" t="s">
        <v>938</v>
      </c>
    </row>
    <row r="264">
      <c r="A264" s="33" t="s">
        <v>377</v>
      </c>
      <c r="B264" s="33" t="s">
        <v>377</v>
      </c>
      <c r="C264" s="33" t="s">
        <v>377</v>
      </c>
      <c r="D264" s="33" t="s">
        <v>377</v>
      </c>
      <c r="E264" s="33" t="s">
        <v>377</v>
      </c>
      <c r="F264" s="33" t="s">
        <v>377</v>
      </c>
      <c r="G264" s="33" t="s">
        <v>377</v>
      </c>
      <c r="H264" s="64" t="s">
        <v>377</v>
      </c>
      <c r="I264" s="64" t="s">
        <v>377</v>
      </c>
      <c r="J264" s="64" t="s">
        <v>377</v>
      </c>
    </row>
    <row r="265">
      <c r="A265" s="50">
        <v>0.0</v>
      </c>
      <c r="B265" s="50">
        <v>0.0</v>
      </c>
      <c r="C265" s="50">
        <v>7000.0</v>
      </c>
      <c r="D265" s="50">
        <v>0.0</v>
      </c>
      <c r="E265" s="50">
        <v>7000.0</v>
      </c>
      <c r="F265" s="50">
        <v>0.0</v>
      </c>
      <c r="G265" s="50">
        <v>2000.0</v>
      </c>
      <c r="H265" s="50">
        <v>0.0</v>
      </c>
      <c r="I265" s="50">
        <v>0.0</v>
      </c>
      <c r="J265" s="50">
        <f>40000+57000</f>
        <v>97000</v>
      </c>
    </row>
    <row r="266">
      <c r="C266" s="31" t="s">
        <v>939</v>
      </c>
      <c r="E266" s="31" t="s">
        <v>940</v>
      </c>
      <c r="F266" s="31" t="s">
        <v>941</v>
      </c>
      <c r="G266" s="31" t="s">
        <v>700</v>
      </c>
      <c r="J266" s="31" t="s">
        <v>884</v>
      </c>
    </row>
    <row r="267">
      <c r="C267" s="31" t="s">
        <v>765</v>
      </c>
      <c r="E267" s="31" t="s">
        <v>826</v>
      </c>
      <c r="F267" s="31" t="s">
        <v>379</v>
      </c>
      <c r="G267" s="31" t="s">
        <v>826</v>
      </c>
      <c r="J267" s="31" t="s">
        <v>942</v>
      </c>
    </row>
    <row r="268">
      <c r="E268" s="31" t="s">
        <v>943</v>
      </c>
      <c r="J268" s="31" t="s">
        <v>944</v>
      </c>
    </row>
    <row r="269">
      <c r="J269" s="31" t="s">
        <v>945</v>
      </c>
    </row>
    <row r="270">
      <c r="J270" s="76" t="s">
        <v>946</v>
      </c>
    </row>
    <row r="274">
      <c r="A274" s="48" t="s">
        <v>367</v>
      </c>
    </row>
    <row r="275">
      <c r="A275" s="49">
        <f>A278</f>
        <v>2086625</v>
      </c>
    </row>
    <row r="276">
      <c r="A276" s="49">
        <v>2026.0</v>
      </c>
    </row>
    <row r="277">
      <c r="A277" s="49" t="s">
        <v>368</v>
      </c>
    </row>
    <row r="278">
      <c r="A278" s="49">
        <f>A281+B281+C281+D281+E281+F281+G281+H281</f>
        <v>2086625</v>
      </c>
    </row>
    <row r="279">
      <c r="A279" s="33" t="s">
        <v>369</v>
      </c>
      <c r="B279" s="33" t="s">
        <v>370</v>
      </c>
      <c r="C279" s="33" t="s">
        <v>371</v>
      </c>
      <c r="D279" s="33" t="s">
        <v>372</v>
      </c>
      <c r="E279" s="33" t="s">
        <v>373</v>
      </c>
      <c r="F279" s="33" t="s">
        <v>374</v>
      </c>
      <c r="G279" s="33" t="s">
        <v>375</v>
      </c>
      <c r="H279" s="33" t="s">
        <v>376</v>
      </c>
      <c r="I279" s="103"/>
      <c r="J279" s="103"/>
    </row>
    <row r="280">
      <c r="A280" s="33" t="s">
        <v>377</v>
      </c>
      <c r="B280" s="33" t="s">
        <v>377</v>
      </c>
      <c r="C280" s="33" t="s">
        <v>377</v>
      </c>
      <c r="D280" s="33" t="s">
        <v>377</v>
      </c>
      <c r="E280" s="33" t="s">
        <v>377</v>
      </c>
      <c r="F280" s="33" t="s">
        <v>377</v>
      </c>
      <c r="G280" s="33" t="s">
        <v>377</v>
      </c>
      <c r="H280" s="33" t="s">
        <v>377</v>
      </c>
    </row>
    <row r="281">
      <c r="A281" s="50">
        <f>64000+300000+540000+(59825*2)</f>
        <v>1023650</v>
      </c>
      <c r="B281" s="50">
        <f>59000+(33725*2)</f>
        <v>126450</v>
      </c>
      <c r="C281" s="50">
        <v>67000.0</v>
      </c>
      <c r="D281" s="50">
        <v>332000.0</v>
      </c>
      <c r="E281" s="50">
        <v>2000.0</v>
      </c>
      <c r="F281" s="50">
        <v>130000.0</v>
      </c>
      <c r="G281" s="50">
        <f>48000+(119175*3)</f>
        <v>405525</v>
      </c>
      <c r="H281" s="50">
        <v>0.0</v>
      </c>
    </row>
    <row r="282">
      <c r="A282" s="31" t="s">
        <v>670</v>
      </c>
      <c r="B282" s="31" t="s">
        <v>947</v>
      </c>
      <c r="C282" s="31" t="s">
        <v>423</v>
      </c>
      <c r="D282" s="31" t="s">
        <v>700</v>
      </c>
      <c r="E282" s="31" t="s">
        <v>948</v>
      </c>
      <c r="F282" s="31" t="s">
        <v>949</v>
      </c>
      <c r="G282" s="31" t="s">
        <v>950</v>
      </c>
    </row>
    <row r="283">
      <c r="A283" s="31" t="s">
        <v>926</v>
      </c>
      <c r="B283" s="31" t="s">
        <v>951</v>
      </c>
      <c r="C283" s="31" t="s">
        <v>891</v>
      </c>
      <c r="D283" s="31" t="s">
        <v>952</v>
      </c>
      <c r="E283" s="31" t="s">
        <v>826</v>
      </c>
      <c r="F283" s="31" t="s">
        <v>953</v>
      </c>
      <c r="G283" s="31" t="s">
        <v>891</v>
      </c>
    </row>
    <row r="284">
      <c r="A284" s="76" t="s">
        <v>954</v>
      </c>
      <c r="B284" s="76" t="s">
        <v>955</v>
      </c>
      <c r="C284" s="31" t="s">
        <v>956</v>
      </c>
      <c r="D284" s="104" t="s">
        <v>957</v>
      </c>
      <c r="G284" s="76" t="s">
        <v>958</v>
      </c>
    </row>
    <row r="285">
      <c r="A285" s="31" t="s">
        <v>959</v>
      </c>
      <c r="B285" s="31" t="s">
        <v>709</v>
      </c>
      <c r="C285" s="31" t="s">
        <v>704</v>
      </c>
      <c r="D285" s="104" t="s">
        <v>826</v>
      </c>
      <c r="G285" s="31" t="s">
        <v>481</v>
      </c>
    </row>
    <row r="286">
      <c r="A286" s="31" t="s">
        <v>848</v>
      </c>
      <c r="B286" s="31" t="s">
        <v>960</v>
      </c>
      <c r="C286" s="31" t="s">
        <v>961</v>
      </c>
      <c r="D286" s="31" t="s">
        <v>962</v>
      </c>
      <c r="G286" s="31" t="s">
        <v>826</v>
      </c>
    </row>
    <row r="287">
      <c r="A287" s="31" t="s">
        <v>380</v>
      </c>
      <c r="B287" s="76" t="s">
        <v>955</v>
      </c>
      <c r="C287" s="31" t="s">
        <v>963</v>
      </c>
      <c r="D287" s="31" t="s">
        <v>964</v>
      </c>
      <c r="G287" s="76" t="s">
        <v>958</v>
      </c>
    </row>
    <row r="288">
      <c r="A288" s="31" t="s">
        <v>965</v>
      </c>
      <c r="C288" s="31" t="s">
        <v>944</v>
      </c>
      <c r="D288" s="31" t="s">
        <v>966</v>
      </c>
      <c r="G288" s="31" t="s">
        <v>763</v>
      </c>
    </row>
    <row r="289">
      <c r="A289" s="76" t="s">
        <v>967</v>
      </c>
      <c r="B289" s="75"/>
      <c r="C289" s="75"/>
      <c r="D289" s="31" t="s">
        <v>953</v>
      </c>
      <c r="E289" s="75"/>
      <c r="F289" s="75"/>
      <c r="G289" s="31" t="s">
        <v>767</v>
      </c>
      <c r="H289" s="75"/>
      <c r="I289" s="105"/>
    </row>
    <row r="290">
      <c r="A290" s="106" t="s">
        <v>968</v>
      </c>
      <c r="B290" s="75"/>
      <c r="C290" s="75"/>
      <c r="D290" s="75" t="s">
        <v>945</v>
      </c>
      <c r="E290" s="75"/>
      <c r="F290" s="75"/>
      <c r="G290" s="76" t="s">
        <v>958</v>
      </c>
      <c r="H290" s="75"/>
      <c r="I290" s="105"/>
    </row>
    <row r="291">
      <c r="A291" s="76" t="s">
        <v>954</v>
      </c>
      <c r="B291" s="75"/>
      <c r="C291" s="75"/>
      <c r="D291" s="75"/>
      <c r="E291" s="75"/>
      <c r="F291" s="105"/>
      <c r="G291" s="75"/>
      <c r="H291" s="75"/>
      <c r="I291" s="105"/>
    </row>
    <row r="292">
      <c r="A292" s="105"/>
      <c r="B292" s="105"/>
      <c r="C292" s="105"/>
      <c r="D292" s="75"/>
      <c r="E292" s="105"/>
      <c r="F292" s="105"/>
      <c r="G292" s="75"/>
      <c r="H292" s="75"/>
      <c r="I292" s="105"/>
    </row>
    <row r="293">
      <c r="A293" s="107" t="s">
        <v>913</v>
      </c>
      <c r="I293" s="105"/>
    </row>
    <row r="294">
      <c r="A294" s="108">
        <f>A297</f>
        <v>0</v>
      </c>
      <c r="I294" s="105"/>
    </row>
    <row r="295">
      <c r="A295" s="108">
        <v>2026.0</v>
      </c>
      <c r="I295" s="105"/>
    </row>
    <row r="296">
      <c r="A296" s="108" t="s">
        <v>368</v>
      </c>
      <c r="I296" s="105"/>
    </row>
    <row r="297">
      <c r="A297" s="108">
        <f>A300+B300+C300+D300+E300+F300+G300+H300</f>
        <v>0</v>
      </c>
      <c r="I297" s="105"/>
    </row>
    <row r="298">
      <c r="A298" s="50" t="s">
        <v>126</v>
      </c>
      <c r="B298" s="50" t="s">
        <v>687</v>
      </c>
      <c r="C298" s="50" t="s">
        <v>179</v>
      </c>
      <c r="D298" s="50" t="s">
        <v>202</v>
      </c>
      <c r="E298" s="99" t="s">
        <v>880</v>
      </c>
      <c r="F298" s="50" t="s">
        <v>969</v>
      </c>
      <c r="G298" s="50" t="s">
        <v>932</v>
      </c>
      <c r="H298" s="50" t="s">
        <v>970</v>
      </c>
    </row>
    <row r="299">
      <c r="A299" s="33" t="s">
        <v>377</v>
      </c>
      <c r="B299" s="33" t="s">
        <v>377</v>
      </c>
      <c r="C299" s="33" t="s">
        <v>377</v>
      </c>
      <c r="D299" s="33" t="s">
        <v>377</v>
      </c>
      <c r="E299" s="33" t="s">
        <v>377</v>
      </c>
      <c r="F299" s="33" t="s">
        <v>377</v>
      </c>
      <c r="G299" s="33" t="s">
        <v>377</v>
      </c>
      <c r="H299" s="33" t="s">
        <v>377</v>
      </c>
    </row>
    <row r="300">
      <c r="A300" s="50">
        <v>0.0</v>
      </c>
      <c r="B300" s="50">
        <v>0.0</v>
      </c>
      <c r="C300" s="50">
        <v>0.0</v>
      </c>
      <c r="D300" s="50">
        <v>0.0</v>
      </c>
      <c r="E300" s="50">
        <v>0.0</v>
      </c>
      <c r="F300" s="50">
        <v>0.0</v>
      </c>
      <c r="G300" s="50">
        <v>0.0</v>
      </c>
      <c r="H300" s="50">
        <v>0.0</v>
      </c>
    </row>
  </sheetData>
  <mergeCells count="130">
    <mergeCell ref="O15:O16"/>
    <mergeCell ref="O17:O18"/>
    <mergeCell ref="O20:O21"/>
    <mergeCell ref="O22:P22"/>
    <mergeCell ref="O23:P23"/>
    <mergeCell ref="N11:N13"/>
    <mergeCell ref="N15:N19"/>
    <mergeCell ref="L20:L22"/>
    <mergeCell ref="N20:N22"/>
    <mergeCell ref="L23:L24"/>
    <mergeCell ref="N23:N24"/>
    <mergeCell ref="I25:K25"/>
    <mergeCell ref="K33:K35"/>
    <mergeCell ref="K36:K38"/>
    <mergeCell ref="I27:I29"/>
    <mergeCell ref="K27:K29"/>
    <mergeCell ref="L27:M27"/>
    <mergeCell ref="I30:I32"/>
    <mergeCell ref="K30:K32"/>
    <mergeCell ref="I33:I35"/>
    <mergeCell ref="I36:I38"/>
    <mergeCell ref="R63:R65"/>
    <mergeCell ref="R66:R76"/>
    <mergeCell ref="R77:R82"/>
    <mergeCell ref="R8:R10"/>
    <mergeCell ref="R11:R19"/>
    <mergeCell ref="R20:R33"/>
    <mergeCell ref="R34:R36"/>
    <mergeCell ref="R37:R50"/>
    <mergeCell ref="R51:R55"/>
    <mergeCell ref="R56:R62"/>
    <mergeCell ref="Q10:Q13"/>
    <mergeCell ref="Q15:Q16"/>
    <mergeCell ref="Q20:Q21"/>
    <mergeCell ref="Q17:Q18"/>
    <mergeCell ref="S19:T19"/>
    <mergeCell ref="S26:V26"/>
    <mergeCell ref="S33:T33"/>
    <mergeCell ref="S36:T36"/>
    <mergeCell ref="S45:V45"/>
    <mergeCell ref="S50:T50"/>
    <mergeCell ref="A114:H114"/>
    <mergeCell ref="A115:H115"/>
    <mergeCell ref="A116:H116"/>
    <mergeCell ref="A117:H117"/>
    <mergeCell ref="A118:H118"/>
    <mergeCell ref="A135:F135"/>
    <mergeCell ref="A136:H136"/>
    <mergeCell ref="A137:H137"/>
    <mergeCell ref="A138:H138"/>
    <mergeCell ref="A139:H139"/>
    <mergeCell ref="A140:H140"/>
    <mergeCell ref="A164:J164"/>
    <mergeCell ref="A165:J165"/>
    <mergeCell ref="A166:J166"/>
    <mergeCell ref="A167:J167"/>
    <mergeCell ref="A168:J168"/>
    <mergeCell ref="A194:J194"/>
    <mergeCell ref="A195:J195"/>
    <mergeCell ref="A196:J196"/>
    <mergeCell ref="A197:J197"/>
    <mergeCell ref="A198:J198"/>
    <mergeCell ref="A199:J199"/>
    <mergeCell ref="A239:H239"/>
    <mergeCell ref="A240:H240"/>
    <mergeCell ref="A241:H241"/>
    <mergeCell ref="A242:H242"/>
    <mergeCell ref="A243:H243"/>
    <mergeCell ref="A258:J258"/>
    <mergeCell ref="A277:H277"/>
    <mergeCell ref="A278:H278"/>
    <mergeCell ref="A293:H293"/>
    <mergeCell ref="A294:H294"/>
    <mergeCell ref="A295:H295"/>
    <mergeCell ref="A296:H296"/>
    <mergeCell ref="A297:H297"/>
    <mergeCell ref="A259:J259"/>
    <mergeCell ref="A260:J260"/>
    <mergeCell ref="A261:J261"/>
    <mergeCell ref="A262:J262"/>
    <mergeCell ref="A274:H274"/>
    <mergeCell ref="A275:H275"/>
    <mergeCell ref="A276:H276"/>
    <mergeCell ref="A1:V1"/>
    <mergeCell ref="A2:V2"/>
    <mergeCell ref="A3:V3"/>
    <mergeCell ref="A4:V4"/>
    <mergeCell ref="L5:N5"/>
    <mergeCell ref="O5:Q5"/>
    <mergeCell ref="R5:V5"/>
    <mergeCell ref="I5:K5"/>
    <mergeCell ref="I6:K6"/>
    <mergeCell ref="L6:N6"/>
    <mergeCell ref="O6:Q6"/>
    <mergeCell ref="R6:V6"/>
    <mergeCell ref="L7:N7"/>
    <mergeCell ref="O7:Q7"/>
    <mergeCell ref="L8:N8"/>
    <mergeCell ref="O8:Q8"/>
    <mergeCell ref="O10:O13"/>
    <mergeCell ref="S10:T10"/>
    <mergeCell ref="L11:L13"/>
    <mergeCell ref="L15:L19"/>
    <mergeCell ref="S16:V16"/>
    <mergeCell ref="I39:I41"/>
    <mergeCell ref="K39:K41"/>
    <mergeCell ref="I42:I44"/>
    <mergeCell ref="K42:K44"/>
    <mergeCell ref="I45:I47"/>
    <mergeCell ref="K45:K47"/>
    <mergeCell ref="I48:I50"/>
    <mergeCell ref="K48:K50"/>
    <mergeCell ref="S55:T55"/>
    <mergeCell ref="S57:V57"/>
    <mergeCell ref="S62:T62"/>
    <mergeCell ref="S63:V63"/>
    <mergeCell ref="A64:E64"/>
    <mergeCell ref="A65:E65"/>
    <mergeCell ref="S65:T65"/>
    <mergeCell ref="S72:V72"/>
    <mergeCell ref="S76:T76"/>
    <mergeCell ref="S80:V80"/>
    <mergeCell ref="S82:T82"/>
    <mergeCell ref="A66:E66"/>
    <mergeCell ref="A67:E67"/>
    <mergeCell ref="A68:E68"/>
    <mergeCell ref="A88:F88"/>
    <mergeCell ref="A89:F89"/>
    <mergeCell ref="A90:F90"/>
    <mergeCell ref="A113:H1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46.0"/>
    <col customWidth="1" min="3" max="3" width="27.63"/>
    <col customWidth="1" min="4" max="4" width="37.38"/>
    <col customWidth="1" min="5" max="5" width="36.13"/>
    <col customWidth="1" min="6" max="6" width="30.38"/>
    <col customWidth="1" min="7" max="7" width="31.13"/>
    <col customWidth="1" min="8" max="8" width="31.63"/>
    <col customWidth="1" min="9" max="9" width="28.13"/>
    <col customWidth="1" min="10" max="10" width="28.5"/>
    <col customWidth="1" min="11" max="11" width="27.38"/>
    <col customWidth="1" min="12" max="12" width="13.88"/>
    <col customWidth="1" min="14" max="14" width="20.38"/>
    <col customWidth="1" min="16" max="16" width="17.25"/>
    <col customWidth="1" min="17" max="17" width="39.88"/>
    <col customWidth="1" min="18" max="18" width="19.13"/>
    <col customWidth="1" min="19" max="19" width="17.38"/>
    <col customWidth="1" min="20" max="20" width="16.0"/>
    <col customWidth="1" min="25" max="25" width="32.5"/>
  </cols>
  <sheetData>
    <row r="1">
      <c r="A1" s="109" t="s">
        <v>971</v>
      </c>
    </row>
    <row r="2">
      <c r="A2" s="109" t="s">
        <v>972</v>
      </c>
    </row>
    <row r="3">
      <c r="A3" s="110" t="s">
        <v>973</v>
      </c>
    </row>
    <row r="4">
      <c r="A4" s="111" t="s">
        <v>338</v>
      </c>
    </row>
    <row r="5">
      <c r="A5" s="112">
        <f>100000+B7+C7+D7+F7+I7+A84+E19+D28+J7+S7+P7+M7+I18+E24</f>
        <v>5510745</v>
      </c>
    </row>
    <row r="6">
      <c r="A6" s="113" t="s">
        <v>339</v>
      </c>
      <c r="B6" s="113" t="s">
        <v>341</v>
      </c>
      <c r="C6" s="114" t="s">
        <v>974</v>
      </c>
      <c r="D6" s="113" t="s">
        <v>342</v>
      </c>
      <c r="E6" s="113" t="s">
        <v>385</v>
      </c>
      <c r="F6" s="113" t="s">
        <v>975</v>
      </c>
      <c r="I6" s="113" t="s">
        <v>976</v>
      </c>
      <c r="J6" s="33" t="s">
        <v>977</v>
      </c>
      <c r="M6" s="33" t="s">
        <v>978</v>
      </c>
      <c r="P6" s="33" t="s">
        <v>979</v>
      </c>
      <c r="S6" s="115" t="s">
        <v>422</v>
      </c>
      <c r="Y6" s="25"/>
    </row>
    <row r="7">
      <c r="A7" s="31" t="s">
        <v>980</v>
      </c>
      <c r="B7" s="116">
        <v>-230000.0</v>
      </c>
      <c r="C7" s="116">
        <f>10000-400000-15000</f>
        <v>-405000</v>
      </c>
      <c r="D7" s="116">
        <v>46000.0</v>
      </c>
      <c r="E7" s="117" t="s">
        <v>981</v>
      </c>
      <c r="F7" s="116">
        <f>F9+G9+H9</f>
        <v>-21000</v>
      </c>
      <c r="I7" s="116">
        <v>-20000.0</v>
      </c>
      <c r="J7" s="118">
        <f>-60000+J10</f>
        <v>123200</v>
      </c>
      <c r="M7" s="118">
        <f>M9</f>
        <v>330000</v>
      </c>
      <c r="P7" s="119">
        <f>P9</f>
        <v>1795000</v>
      </c>
      <c r="S7" s="120">
        <f>V10+V21+V35+V40+V44+V54+V57+V62+V65</f>
        <v>381250</v>
      </c>
      <c r="Y7" s="121"/>
    </row>
    <row r="8">
      <c r="A8" s="31" t="s">
        <v>982</v>
      </c>
      <c r="B8" s="113" t="s">
        <v>349</v>
      </c>
      <c r="C8" s="31" t="s">
        <v>429</v>
      </c>
      <c r="D8" s="31" t="s">
        <v>983</v>
      </c>
      <c r="E8" s="117" t="s">
        <v>984</v>
      </c>
      <c r="F8" s="109" t="s">
        <v>432</v>
      </c>
      <c r="G8" s="109" t="s">
        <v>433</v>
      </c>
      <c r="H8" s="109" t="s">
        <v>434</v>
      </c>
      <c r="I8" s="117" t="s">
        <v>431</v>
      </c>
      <c r="J8" s="33" t="s">
        <v>985</v>
      </c>
      <c r="M8" s="33" t="s">
        <v>435</v>
      </c>
      <c r="P8" s="33" t="s">
        <v>435</v>
      </c>
      <c r="S8" s="113" t="s">
        <v>436</v>
      </c>
      <c r="T8" s="113" t="s">
        <v>437</v>
      </c>
      <c r="U8" s="113" t="s">
        <v>438</v>
      </c>
      <c r="V8" s="113" t="s">
        <v>0</v>
      </c>
      <c r="W8" s="113" t="s">
        <v>439</v>
      </c>
      <c r="Y8" s="45"/>
    </row>
    <row r="9">
      <c r="A9" s="31" t="s">
        <v>986</v>
      </c>
      <c r="B9" s="122" t="s">
        <v>21</v>
      </c>
      <c r="C9" s="31" t="s">
        <v>444</v>
      </c>
      <c r="D9" s="31" t="s">
        <v>535</v>
      </c>
      <c r="E9" s="117" t="s">
        <v>987</v>
      </c>
      <c r="F9" s="29">
        <f>H27+H30+H33+H36+H39+H42+H45+H48</f>
        <v>13000</v>
      </c>
      <c r="G9" s="29">
        <v>-29000.0</v>
      </c>
      <c r="H9" s="29">
        <v>-5000.0</v>
      </c>
      <c r="I9" s="117" t="s">
        <v>988</v>
      </c>
      <c r="J9" s="33" t="s">
        <v>435</v>
      </c>
      <c r="M9" s="123">
        <f>O11+O12+O13+O14+O15</f>
        <v>330000</v>
      </c>
      <c r="P9" s="124">
        <f>R11+R13+R16+R18+R19+R20+R24+R26+R27+R28+R29</f>
        <v>1795000</v>
      </c>
      <c r="S9" s="125" t="s">
        <v>989</v>
      </c>
      <c r="T9" s="122" t="s">
        <v>447</v>
      </c>
      <c r="U9" s="122">
        <v>0.5</v>
      </c>
      <c r="V9" s="122">
        <f>U9*1000</f>
        <v>500</v>
      </c>
      <c r="W9" s="126">
        <f>U9*20</f>
        <v>10</v>
      </c>
      <c r="Y9" s="45"/>
    </row>
    <row r="10">
      <c r="A10" s="31" t="s">
        <v>990</v>
      </c>
      <c r="B10" s="122" t="s">
        <v>37</v>
      </c>
      <c r="C10" s="31" t="s">
        <v>452</v>
      </c>
      <c r="D10" s="31" t="s">
        <v>991</v>
      </c>
      <c r="E10" s="117" t="s">
        <v>992</v>
      </c>
      <c r="F10" s="25"/>
      <c r="G10" s="45" t="s">
        <v>993</v>
      </c>
      <c r="H10" s="113" t="s">
        <v>455</v>
      </c>
      <c r="J10" s="123">
        <f>L12+L15+L18+L21+L22</f>
        <v>183200</v>
      </c>
      <c r="M10" s="127" t="s">
        <v>456</v>
      </c>
      <c r="N10" s="127" t="s">
        <v>457</v>
      </c>
      <c r="O10" s="127" t="s">
        <v>0</v>
      </c>
      <c r="P10" s="127" t="s">
        <v>456</v>
      </c>
      <c r="Q10" s="127" t="s">
        <v>457</v>
      </c>
      <c r="R10" s="127" t="s">
        <v>0</v>
      </c>
      <c r="T10" s="128" t="s">
        <v>470</v>
      </c>
      <c r="V10" s="129">
        <f t="shared" ref="V10:W10" si="1">V9</f>
        <v>500</v>
      </c>
      <c r="W10" s="129">
        <f t="shared" si="1"/>
        <v>10</v>
      </c>
      <c r="Y10" s="45"/>
    </row>
    <row r="11">
      <c r="A11" s="31" t="s">
        <v>994</v>
      </c>
      <c r="B11" s="122" t="s">
        <v>52</v>
      </c>
      <c r="C11" s="31" t="s">
        <v>463</v>
      </c>
      <c r="D11" s="31" t="s">
        <v>995</v>
      </c>
      <c r="E11" s="117" t="s">
        <v>996</v>
      </c>
      <c r="G11" s="45" t="s">
        <v>997</v>
      </c>
      <c r="H11" s="31" t="s">
        <v>998</v>
      </c>
      <c r="J11" s="127" t="s">
        <v>456</v>
      </c>
      <c r="K11" s="127" t="s">
        <v>457</v>
      </c>
      <c r="L11" s="127" t="s">
        <v>0</v>
      </c>
      <c r="M11" s="26" t="s">
        <v>272</v>
      </c>
      <c r="O11" s="25">
        <v>20000.0</v>
      </c>
      <c r="P11" s="130" t="s">
        <v>999</v>
      </c>
      <c r="Q11" s="71" t="s">
        <v>469</v>
      </c>
      <c r="R11" s="130">
        <v>7000.0</v>
      </c>
      <c r="S11" s="125" t="s">
        <v>634</v>
      </c>
      <c r="T11" s="122" t="s">
        <v>447</v>
      </c>
      <c r="U11" s="122">
        <v>1.5</v>
      </c>
      <c r="V11" s="122">
        <f>U11*1000</f>
        <v>1500</v>
      </c>
      <c r="W11" s="126">
        <f>U11*20</f>
        <v>30</v>
      </c>
      <c r="Y11" s="45"/>
    </row>
    <row r="12">
      <c r="A12" s="31" t="s">
        <v>1000</v>
      </c>
      <c r="B12" s="122" t="s">
        <v>63</v>
      </c>
      <c r="C12" s="31" t="s">
        <v>474</v>
      </c>
      <c r="D12" s="31" t="s">
        <v>1001</v>
      </c>
      <c r="E12" s="117" t="s">
        <v>1002</v>
      </c>
      <c r="G12" s="45" t="s">
        <v>1003</v>
      </c>
      <c r="H12" s="31" t="s">
        <v>1004</v>
      </c>
      <c r="J12" s="71" t="s">
        <v>1005</v>
      </c>
      <c r="K12" s="4" t="s">
        <v>1006</v>
      </c>
      <c r="L12" s="71">
        <f>7000+5400</f>
        <v>12400</v>
      </c>
      <c r="M12" s="71" t="s">
        <v>1007</v>
      </c>
      <c r="N12" s="71" t="s">
        <v>180</v>
      </c>
      <c r="O12" s="71">
        <v>30000.0</v>
      </c>
      <c r="Q12" s="71" t="s">
        <v>510</v>
      </c>
      <c r="T12" s="122" t="s">
        <v>523</v>
      </c>
      <c r="U12" s="122">
        <v>1.5</v>
      </c>
      <c r="V12" s="126">
        <f>U12*2000</f>
        <v>3000</v>
      </c>
      <c r="W12" s="126">
        <f>U12*40</f>
        <v>60</v>
      </c>
      <c r="Y12" s="45"/>
    </row>
    <row r="13">
      <c r="A13" s="31" t="s">
        <v>1008</v>
      </c>
      <c r="B13" s="122" t="s">
        <v>72</v>
      </c>
      <c r="C13" s="31" t="s">
        <v>485</v>
      </c>
      <c r="D13" s="31" t="s">
        <v>1009</v>
      </c>
      <c r="E13" s="31" t="s">
        <v>1010</v>
      </c>
      <c r="G13" s="45" t="s">
        <v>1011</v>
      </c>
      <c r="H13" s="31" t="s">
        <v>1012</v>
      </c>
      <c r="K13" s="4" t="s">
        <v>1013</v>
      </c>
      <c r="M13" s="71" t="s">
        <v>275</v>
      </c>
      <c r="N13" s="71" t="s">
        <v>128</v>
      </c>
      <c r="O13" s="71">
        <v>30000.0</v>
      </c>
      <c r="P13" s="71" t="s">
        <v>634</v>
      </c>
      <c r="Q13" s="71" t="s">
        <v>532</v>
      </c>
      <c r="R13" s="71">
        <v>5000.0</v>
      </c>
      <c r="T13" s="122" t="s">
        <v>654</v>
      </c>
      <c r="U13" s="122">
        <v>5.5</v>
      </c>
      <c r="V13" s="126">
        <f>U13*8000</f>
        <v>44000</v>
      </c>
      <c r="W13" s="126">
        <f>U13*80</f>
        <v>440</v>
      </c>
      <c r="Y13" s="45"/>
    </row>
    <row r="14">
      <c r="A14" s="31" t="s">
        <v>1014</v>
      </c>
      <c r="B14" s="122" t="s">
        <v>79</v>
      </c>
      <c r="C14" s="91" t="s">
        <v>1015</v>
      </c>
      <c r="D14" s="31" t="s">
        <v>1016</v>
      </c>
      <c r="E14" s="31" t="s">
        <v>1017</v>
      </c>
      <c r="G14" s="45" t="s">
        <v>1018</v>
      </c>
      <c r="H14" s="31" t="s">
        <v>1019</v>
      </c>
      <c r="K14" s="33" t="s">
        <v>498</v>
      </c>
      <c r="N14" s="71" t="s">
        <v>243</v>
      </c>
      <c r="O14" s="71">
        <v>50000.0</v>
      </c>
      <c r="Q14" s="71" t="s">
        <v>572</v>
      </c>
      <c r="T14" s="122" t="s">
        <v>590</v>
      </c>
      <c r="U14" s="122">
        <v>1.0</v>
      </c>
      <c r="V14" s="126">
        <f>U14*5000</f>
        <v>5000</v>
      </c>
      <c r="W14" s="126">
        <f t="shared" ref="W14:W15" si="2">U14*100</f>
        <v>100</v>
      </c>
      <c r="Y14" s="45"/>
    </row>
    <row r="15">
      <c r="A15" s="31" t="s">
        <v>1020</v>
      </c>
      <c r="B15" s="122" t="s">
        <v>85</v>
      </c>
      <c r="C15" s="31" t="s">
        <v>1021</v>
      </c>
      <c r="D15" s="31" t="s">
        <v>1022</v>
      </c>
      <c r="E15" s="31" t="s">
        <v>1023</v>
      </c>
      <c r="G15" s="45" t="s">
        <v>1009</v>
      </c>
      <c r="H15" s="31" t="s">
        <v>1024</v>
      </c>
      <c r="J15" s="71" t="s">
        <v>982</v>
      </c>
      <c r="K15" s="4" t="s">
        <v>1006</v>
      </c>
      <c r="L15" s="71">
        <f>5000+5400</f>
        <v>10400</v>
      </c>
      <c r="M15" s="131" t="s">
        <v>148</v>
      </c>
      <c r="O15" s="71">
        <v>200000.0</v>
      </c>
      <c r="Q15" s="71" t="s">
        <v>1025</v>
      </c>
      <c r="T15" s="122" t="s">
        <v>511</v>
      </c>
      <c r="U15" s="122">
        <v>3.0</v>
      </c>
      <c r="V15" s="126">
        <f>U15*10000</f>
        <v>30000</v>
      </c>
      <c r="W15" s="126">
        <f t="shared" si="2"/>
        <v>300</v>
      </c>
      <c r="Y15" s="45"/>
    </row>
    <row r="16">
      <c r="A16" s="31" t="s">
        <v>1026</v>
      </c>
      <c r="B16" s="122" t="s">
        <v>92</v>
      </c>
      <c r="C16" s="31" t="s">
        <v>1027</v>
      </c>
      <c r="D16" s="31" t="s">
        <v>1028</v>
      </c>
      <c r="E16" s="31" t="s">
        <v>1029</v>
      </c>
      <c r="G16" s="45" t="s">
        <v>1030</v>
      </c>
      <c r="K16" s="4" t="s">
        <v>489</v>
      </c>
      <c r="M16" s="71"/>
      <c r="N16" s="71"/>
      <c r="O16" s="71"/>
      <c r="P16" s="71" t="s">
        <v>640</v>
      </c>
      <c r="Q16" s="71" t="s">
        <v>469</v>
      </c>
      <c r="R16" s="71">
        <v>7000.0</v>
      </c>
      <c r="T16" s="122" t="s">
        <v>655</v>
      </c>
      <c r="U16" s="122">
        <v>1.0</v>
      </c>
      <c r="V16" s="122">
        <f>U16*2000</f>
        <v>2000</v>
      </c>
      <c r="W16" s="126">
        <f>U16*20</f>
        <v>20</v>
      </c>
      <c r="Y16" s="45"/>
    </row>
    <row r="17">
      <c r="A17" s="31" t="s">
        <v>1031</v>
      </c>
      <c r="B17" s="113" t="s">
        <v>48</v>
      </c>
      <c r="C17" s="31" t="s">
        <v>1032</v>
      </c>
      <c r="D17" s="31" t="s">
        <v>1033</v>
      </c>
      <c r="G17" s="45" t="s">
        <v>1034</v>
      </c>
      <c r="I17" s="33" t="s">
        <v>102</v>
      </c>
      <c r="K17" s="33" t="s">
        <v>498</v>
      </c>
      <c r="M17" s="71"/>
      <c r="N17" s="71"/>
      <c r="O17" s="71"/>
      <c r="Q17" s="71" t="s">
        <v>1035</v>
      </c>
      <c r="T17" s="122" t="s">
        <v>533</v>
      </c>
      <c r="Y17" s="45"/>
    </row>
    <row r="18">
      <c r="A18" s="31" t="s">
        <v>1036</v>
      </c>
      <c r="B18" s="122" t="s">
        <v>60</v>
      </c>
      <c r="C18" s="31" t="s">
        <v>1037</v>
      </c>
      <c r="D18" s="31" t="s">
        <v>1038</v>
      </c>
      <c r="E18" s="113" t="s">
        <v>359</v>
      </c>
      <c r="G18" s="45" t="s">
        <v>1039</v>
      </c>
      <c r="I18" s="132">
        <v>100000.0</v>
      </c>
      <c r="J18" s="71" t="s">
        <v>640</v>
      </c>
      <c r="K18" s="4" t="s">
        <v>1040</v>
      </c>
      <c r="L18" s="71">
        <f>4000+5400</f>
        <v>9400</v>
      </c>
      <c r="M18" s="71"/>
      <c r="N18" s="71"/>
      <c r="O18" s="71"/>
      <c r="P18" s="71" t="s">
        <v>1041</v>
      </c>
      <c r="Q18" s="71" t="s">
        <v>572</v>
      </c>
      <c r="R18" s="71">
        <v>1000.0</v>
      </c>
      <c r="T18" s="122" t="s">
        <v>657</v>
      </c>
      <c r="U18" s="122">
        <v>1.0</v>
      </c>
      <c r="V18" s="126">
        <f t="shared" ref="V18:V20" si="3">U18*1500</f>
        <v>1500</v>
      </c>
      <c r="W18" s="126">
        <f t="shared" ref="W18:W20" si="4">U18*60</f>
        <v>60</v>
      </c>
      <c r="Y18" s="45"/>
    </row>
    <row r="19">
      <c r="A19" s="31" t="s">
        <v>1042</v>
      </c>
      <c r="B19" s="113" t="s">
        <v>69</v>
      </c>
      <c r="C19" s="31" t="s">
        <v>1043</v>
      </c>
      <c r="D19" s="31" t="s">
        <v>1033</v>
      </c>
      <c r="E19" s="133">
        <v>-1000.0</v>
      </c>
      <c r="G19" s="45" t="s">
        <v>1044</v>
      </c>
      <c r="I19" s="31" t="s">
        <v>1045</v>
      </c>
      <c r="K19" s="4" t="s">
        <v>531</v>
      </c>
      <c r="M19" s="71"/>
      <c r="N19" s="71"/>
      <c r="O19" s="71"/>
      <c r="P19" s="71" t="s">
        <v>1046</v>
      </c>
      <c r="Q19" s="71" t="s">
        <v>1025</v>
      </c>
      <c r="R19" s="71">
        <v>1000.0</v>
      </c>
      <c r="T19" s="122" t="s">
        <v>609</v>
      </c>
      <c r="U19" s="122">
        <v>2.0</v>
      </c>
      <c r="V19" s="126">
        <f t="shared" si="3"/>
        <v>3000</v>
      </c>
      <c r="W19" s="126">
        <f t="shared" si="4"/>
        <v>120</v>
      </c>
      <c r="Y19" s="45"/>
    </row>
    <row r="20">
      <c r="A20" s="31" t="s">
        <v>1047</v>
      </c>
      <c r="B20" s="122" t="s">
        <v>60</v>
      </c>
      <c r="C20" s="31" t="s">
        <v>1048</v>
      </c>
      <c r="D20" s="31" t="s">
        <v>1016</v>
      </c>
      <c r="E20" s="117" t="s">
        <v>1049</v>
      </c>
      <c r="G20" s="45" t="s">
        <v>1050</v>
      </c>
      <c r="H20" s="70"/>
      <c r="K20" s="33" t="s">
        <v>498</v>
      </c>
      <c r="M20" s="71"/>
      <c r="N20" s="71"/>
      <c r="O20" s="71"/>
      <c r="P20" s="71" t="s">
        <v>1051</v>
      </c>
      <c r="Q20" s="71" t="s">
        <v>1052</v>
      </c>
      <c r="R20" s="71">
        <v>20000.0</v>
      </c>
      <c r="T20" s="122" t="s">
        <v>614</v>
      </c>
      <c r="U20" s="122">
        <v>1.0</v>
      </c>
      <c r="V20" s="126">
        <f t="shared" si="3"/>
        <v>1500</v>
      </c>
      <c r="W20" s="126">
        <f t="shared" si="4"/>
        <v>60</v>
      </c>
      <c r="Y20" s="45"/>
    </row>
    <row r="21">
      <c r="A21" s="31" t="s">
        <v>1053</v>
      </c>
      <c r="C21" s="31" t="s">
        <v>1054</v>
      </c>
      <c r="D21" s="31" t="s">
        <v>1055</v>
      </c>
      <c r="E21" s="31" t="s">
        <v>1056</v>
      </c>
      <c r="G21" s="45" t="s">
        <v>1057</v>
      </c>
      <c r="H21" s="77"/>
      <c r="J21" s="4" t="s">
        <v>1058</v>
      </c>
      <c r="K21" s="4" t="s">
        <v>489</v>
      </c>
      <c r="L21" s="4">
        <v>1000.0</v>
      </c>
      <c r="M21" s="4"/>
      <c r="N21" s="4"/>
      <c r="O21" s="4"/>
      <c r="Q21" s="71" t="s">
        <v>543</v>
      </c>
      <c r="T21" s="128" t="s">
        <v>470</v>
      </c>
      <c r="V21" s="129">
        <f t="shared" ref="V21:W21" si="5">V11+V12+V13+V18+V19+V20+V14+V15+V16</f>
        <v>91500</v>
      </c>
      <c r="W21" s="129">
        <f t="shared" si="5"/>
        <v>1190</v>
      </c>
      <c r="Y21" s="45"/>
    </row>
    <row r="22">
      <c r="A22" s="31" t="s">
        <v>1059</v>
      </c>
      <c r="C22" s="31" t="s">
        <v>1060</v>
      </c>
      <c r="D22" s="31" t="s">
        <v>1061</v>
      </c>
      <c r="G22" s="31" t="s">
        <v>1062</v>
      </c>
      <c r="J22" s="33" t="s">
        <v>1063</v>
      </c>
      <c r="L22" s="33">
        <v>150000.0</v>
      </c>
      <c r="M22" s="33"/>
      <c r="N22" s="33"/>
      <c r="O22" s="33"/>
      <c r="Q22" s="71" t="s">
        <v>1064</v>
      </c>
      <c r="S22" s="125" t="s">
        <v>640</v>
      </c>
      <c r="T22" s="122" t="s">
        <v>447</v>
      </c>
      <c r="U22" s="122">
        <v>1.0</v>
      </c>
      <c r="V22" s="122">
        <f>U22*1000</f>
        <v>1000</v>
      </c>
      <c r="W22" s="126">
        <f t="shared" ref="W22:W23" si="6">U22*20</f>
        <v>20</v>
      </c>
      <c r="Y22" s="45"/>
    </row>
    <row r="23">
      <c r="A23" s="31" t="s">
        <v>1065</v>
      </c>
      <c r="C23" s="31" t="s">
        <v>1066</v>
      </c>
      <c r="D23" s="31" t="s">
        <v>1067</v>
      </c>
      <c r="E23" s="113" t="s">
        <v>1068</v>
      </c>
      <c r="G23" s="31" t="s">
        <v>1069</v>
      </c>
      <c r="Q23" s="71" t="s">
        <v>572</v>
      </c>
      <c r="T23" s="122" t="s">
        <v>655</v>
      </c>
      <c r="U23" s="122">
        <v>1.0</v>
      </c>
      <c r="V23" s="122">
        <f t="shared" ref="V23:V24" si="7">U23*2000</f>
        <v>2000</v>
      </c>
      <c r="W23" s="126">
        <f t="shared" si="6"/>
        <v>20</v>
      </c>
      <c r="Y23" s="45"/>
    </row>
    <row r="24">
      <c r="A24" s="31" t="s">
        <v>1070</v>
      </c>
      <c r="C24" s="31" t="s">
        <v>1071</v>
      </c>
      <c r="D24" s="31" t="s">
        <v>1072</v>
      </c>
      <c r="E24" s="133">
        <v>1000.0</v>
      </c>
      <c r="G24" s="45" t="s">
        <v>1073</v>
      </c>
      <c r="P24" s="71" t="s">
        <v>1074</v>
      </c>
      <c r="Q24" s="71" t="s">
        <v>543</v>
      </c>
      <c r="R24" s="71">
        <v>4000.0</v>
      </c>
      <c r="T24" s="122" t="s">
        <v>523</v>
      </c>
      <c r="U24" s="122">
        <v>1.0</v>
      </c>
      <c r="V24" s="126">
        <f t="shared" si="7"/>
        <v>2000</v>
      </c>
      <c r="W24" s="126">
        <f>U24*40</f>
        <v>40</v>
      </c>
      <c r="Y24" s="45"/>
    </row>
    <row r="25">
      <c r="A25" s="31" t="s">
        <v>1075</v>
      </c>
      <c r="C25" s="31" t="s">
        <v>1076</v>
      </c>
      <c r="D25" s="31" t="s">
        <v>1077</v>
      </c>
      <c r="E25" s="117" t="s">
        <v>1078</v>
      </c>
      <c r="F25" s="29" t="s">
        <v>594</v>
      </c>
      <c r="Q25" s="71" t="s">
        <v>572</v>
      </c>
      <c r="T25" s="122" t="s">
        <v>500</v>
      </c>
      <c r="U25" s="122">
        <v>2.0</v>
      </c>
      <c r="V25" s="126">
        <f>U25*3000</f>
        <v>6000</v>
      </c>
      <c r="W25" s="126">
        <f>U25*60</f>
        <v>120</v>
      </c>
      <c r="Y25" s="45"/>
    </row>
    <row r="26">
      <c r="A26" s="31" t="s">
        <v>1079</v>
      </c>
      <c r="C26" s="31" t="s">
        <v>1080</v>
      </c>
      <c r="D26" s="31" t="s">
        <v>1081</v>
      </c>
      <c r="F26" s="134" t="s">
        <v>456</v>
      </c>
      <c r="G26" s="134" t="s">
        <v>457</v>
      </c>
      <c r="H26" s="134" t="s">
        <v>0</v>
      </c>
      <c r="P26" s="4" t="s">
        <v>1082</v>
      </c>
      <c r="Q26" s="33" t="s">
        <v>1083</v>
      </c>
      <c r="R26" s="4">
        <v>200000.0</v>
      </c>
      <c r="T26" s="122" t="s">
        <v>590</v>
      </c>
      <c r="U26" s="122">
        <v>3.0</v>
      </c>
      <c r="V26" s="126">
        <f>U26*5000</f>
        <v>15000</v>
      </c>
      <c r="W26" s="126">
        <f>U26*100</f>
        <v>300</v>
      </c>
      <c r="Y26" s="45"/>
    </row>
    <row r="27">
      <c r="A27" s="31" t="s">
        <v>1084</v>
      </c>
      <c r="C27" s="31" t="s">
        <v>1085</v>
      </c>
      <c r="D27" s="113" t="s">
        <v>1086</v>
      </c>
      <c r="F27" s="71" t="s">
        <v>446</v>
      </c>
      <c r="G27" s="71" t="s">
        <v>1087</v>
      </c>
      <c r="H27" s="71">
        <v>6000.0</v>
      </c>
      <c r="P27" s="33" t="s">
        <v>217</v>
      </c>
      <c r="R27" s="4">
        <v>1000000.0</v>
      </c>
      <c r="T27" s="122" t="s">
        <v>654</v>
      </c>
      <c r="U27" s="122">
        <v>1.5</v>
      </c>
      <c r="V27" s="126">
        <f>U27*8000</f>
        <v>12000</v>
      </c>
      <c r="W27" s="126">
        <f>U27*80</f>
        <v>120</v>
      </c>
      <c r="Y27" s="45"/>
    </row>
    <row r="28">
      <c r="A28" s="31" t="s">
        <v>1088</v>
      </c>
      <c r="C28" s="31" t="s">
        <v>1089</v>
      </c>
      <c r="D28" s="135">
        <v>50000.0</v>
      </c>
      <c r="G28" s="71" t="s">
        <v>644</v>
      </c>
      <c r="P28" s="33" t="s">
        <v>1090</v>
      </c>
      <c r="R28" s="78">
        <v>500000.0</v>
      </c>
      <c r="T28" s="122" t="s">
        <v>511</v>
      </c>
      <c r="U28" s="122">
        <v>4.5</v>
      </c>
      <c r="V28" s="126">
        <f>U28*10000</f>
        <v>45000</v>
      </c>
      <c r="W28" s="126">
        <f>U28*100</f>
        <v>450</v>
      </c>
      <c r="Y28" s="45"/>
    </row>
    <row r="29">
      <c r="A29" s="31" t="s">
        <v>1091</v>
      </c>
      <c r="C29" s="31" t="s">
        <v>1092</v>
      </c>
      <c r="D29" s="4" t="s">
        <v>175</v>
      </c>
      <c r="G29" s="71" t="s">
        <v>1093</v>
      </c>
      <c r="P29" s="33" t="s">
        <v>1094</v>
      </c>
      <c r="R29" s="78">
        <v>50000.0</v>
      </c>
      <c r="T29" s="122" t="s">
        <v>533</v>
      </c>
      <c r="Y29" s="45"/>
    </row>
    <row r="30">
      <c r="A30" s="31" t="s">
        <v>1095</v>
      </c>
      <c r="C30" s="31" t="s">
        <v>1096</v>
      </c>
      <c r="D30" s="4" t="s">
        <v>1097</v>
      </c>
      <c r="F30" s="71" t="s">
        <v>1098</v>
      </c>
      <c r="G30" s="71" t="s">
        <v>650</v>
      </c>
      <c r="H30" s="71">
        <v>1000.0</v>
      </c>
      <c r="T30" s="122">
        <v>100.0</v>
      </c>
      <c r="U30" s="122">
        <v>1.5</v>
      </c>
      <c r="V30" s="126">
        <f t="shared" ref="V30:V34" si="8">U30*1500</f>
        <v>2250</v>
      </c>
      <c r="W30" s="126">
        <f t="shared" ref="W30:W34" si="9">U30*60</f>
        <v>90</v>
      </c>
      <c r="Y30" s="45"/>
    </row>
    <row r="31">
      <c r="A31" s="31" t="s">
        <v>1099</v>
      </c>
      <c r="C31" s="31" t="s">
        <v>1100</v>
      </c>
      <c r="G31" s="71" t="s">
        <v>621</v>
      </c>
      <c r="T31" s="122" t="s">
        <v>1101</v>
      </c>
      <c r="U31" s="122">
        <v>2.0</v>
      </c>
      <c r="V31" s="126">
        <f t="shared" si="8"/>
        <v>3000</v>
      </c>
      <c r="W31" s="126">
        <f t="shared" si="9"/>
        <v>120</v>
      </c>
      <c r="Y31" s="45"/>
    </row>
    <row r="32">
      <c r="A32" s="31" t="s">
        <v>1102</v>
      </c>
      <c r="C32" s="31" t="s">
        <v>1103</v>
      </c>
      <c r="G32" s="71" t="s">
        <v>652</v>
      </c>
      <c r="T32" s="122" t="s">
        <v>657</v>
      </c>
      <c r="U32" s="122">
        <v>2.0</v>
      </c>
      <c r="V32" s="126">
        <f t="shared" si="8"/>
        <v>3000</v>
      </c>
      <c r="W32" s="126">
        <f t="shared" si="9"/>
        <v>120</v>
      </c>
      <c r="Y32" s="45"/>
    </row>
    <row r="33">
      <c r="A33" s="31" t="s">
        <v>1104</v>
      </c>
      <c r="C33" s="31" t="s">
        <v>1105</v>
      </c>
      <c r="F33" s="71" t="s">
        <v>1106</v>
      </c>
      <c r="G33" s="71" t="s">
        <v>650</v>
      </c>
      <c r="H33" s="71">
        <v>1000.0</v>
      </c>
      <c r="T33" s="122" t="s">
        <v>609</v>
      </c>
      <c r="U33" s="122">
        <v>1.0</v>
      </c>
      <c r="V33" s="126">
        <f t="shared" si="8"/>
        <v>1500</v>
      </c>
      <c r="W33" s="126">
        <f t="shared" si="9"/>
        <v>60</v>
      </c>
      <c r="Y33" s="45"/>
    </row>
    <row r="34">
      <c r="C34" s="31" t="s">
        <v>1107</v>
      </c>
      <c r="G34" s="71" t="s">
        <v>621</v>
      </c>
      <c r="T34" s="122" t="s">
        <v>614</v>
      </c>
      <c r="U34" s="122">
        <v>1.0</v>
      </c>
      <c r="V34" s="126">
        <f t="shared" si="8"/>
        <v>1500</v>
      </c>
      <c r="W34" s="126">
        <f t="shared" si="9"/>
        <v>60</v>
      </c>
      <c r="Y34" s="45"/>
    </row>
    <row r="35">
      <c r="C35" s="31" t="s">
        <v>1108</v>
      </c>
      <c r="G35" s="71" t="s">
        <v>652</v>
      </c>
      <c r="L35" s="45"/>
      <c r="T35" s="128" t="s">
        <v>470</v>
      </c>
      <c r="V35" s="129">
        <f t="shared" ref="V35:W35" si="10">V22+V23+V24+V25+V26+V27+V30+V31+V32+V33+V34+V28</f>
        <v>94250</v>
      </c>
      <c r="W35" s="129">
        <f t="shared" si="10"/>
        <v>1520</v>
      </c>
      <c r="Y35" s="45"/>
    </row>
    <row r="36">
      <c r="C36" s="31" t="s">
        <v>1109</v>
      </c>
      <c r="F36" s="71" t="s">
        <v>1110</v>
      </c>
      <c r="G36" s="71" t="s">
        <v>631</v>
      </c>
      <c r="H36" s="71">
        <v>1500.0</v>
      </c>
      <c r="S36" s="125" t="s">
        <v>1111</v>
      </c>
      <c r="T36" s="122" t="s">
        <v>500</v>
      </c>
      <c r="U36" s="122">
        <v>1.0</v>
      </c>
      <c r="V36" s="126">
        <f>U36*3000</f>
        <v>3000</v>
      </c>
      <c r="W36" s="126">
        <f>U36*60</f>
        <v>60</v>
      </c>
      <c r="Y36" s="45"/>
    </row>
    <row r="37">
      <c r="C37" s="31" t="s">
        <v>1112</v>
      </c>
      <c r="G37" s="71" t="s">
        <v>635</v>
      </c>
      <c r="T37" s="122" t="s">
        <v>533</v>
      </c>
      <c r="Y37" s="45"/>
    </row>
    <row r="38">
      <c r="C38" s="31" t="s">
        <v>1113</v>
      </c>
      <c r="G38" s="71" t="s">
        <v>613</v>
      </c>
      <c r="T38" s="122" t="s">
        <v>1101</v>
      </c>
      <c r="U38" s="122">
        <v>0.5</v>
      </c>
      <c r="V38" s="126">
        <f t="shared" ref="V38:V39" si="11">U38*1500</f>
        <v>750</v>
      </c>
      <c r="W38" s="126">
        <f t="shared" ref="W38:W39" si="12">U38*60</f>
        <v>30</v>
      </c>
      <c r="Y38" s="45"/>
    </row>
    <row r="39">
      <c r="C39" s="31" t="s">
        <v>1114</v>
      </c>
      <c r="F39" s="71" t="s">
        <v>1115</v>
      </c>
      <c r="G39" s="71" t="s">
        <v>650</v>
      </c>
      <c r="H39" s="71">
        <v>500.0</v>
      </c>
      <c r="T39" s="122" t="s">
        <v>552</v>
      </c>
      <c r="U39" s="122">
        <v>0.5</v>
      </c>
      <c r="V39" s="126">
        <f t="shared" si="11"/>
        <v>750</v>
      </c>
      <c r="W39" s="126">
        <f t="shared" si="12"/>
        <v>30</v>
      </c>
      <c r="Y39" s="45"/>
    </row>
    <row r="40">
      <c r="G40" s="71" t="s">
        <v>644</v>
      </c>
      <c r="T40" s="128" t="s">
        <v>470</v>
      </c>
      <c r="V40" s="129">
        <f t="shared" ref="V40:W40" si="13">V36+V38+V39</f>
        <v>4500</v>
      </c>
      <c r="W40" s="129">
        <f t="shared" si="13"/>
        <v>120</v>
      </c>
      <c r="Y40" s="77"/>
    </row>
    <row r="41">
      <c r="G41" s="71" t="s">
        <v>652</v>
      </c>
      <c r="S41" s="125" t="s">
        <v>1116</v>
      </c>
      <c r="T41" s="122" t="s">
        <v>511</v>
      </c>
      <c r="U41" s="122">
        <v>1.0</v>
      </c>
      <c r="V41" s="126">
        <f>U41*10000</f>
        <v>10000</v>
      </c>
      <c r="W41" s="126">
        <f>U41*100</f>
        <v>100</v>
      </c>
      <c r="Y41" s="77"/>
    </row>
    <row r="42">
      <c r="F42" s="71" t="s">
        <v>1117</v>
      </c>
      <c r="G42" s="71" t="s">
        <v>631</v>
      </c>
      <c r="H42" s="71">
        <v>1500.0</v>
      </c>
      <c r="T42" s="122" t="s">
        <v>533</v>
      </c>
      <c r="Y42" s="77"/>
    </row>
    <row r="43">
      <c r="G43" s="71" t="s">
        <v>635</v>
      </c>
      <c r="T43" s="122" t="s">
        <v>609</v>
      </c>
      <c r="U43" s="122">
        <v>3.0</v>
      </c>
      <c r="V43" s="126">
        <f>U43*1500</f>
        <v>4500</v>
      </c>
      <c r="W43" s="126">
        <f>U43*60</f>
        <v>180</v>
      </c>
      <c r="Y43" s="77"/>
    </row>
    <row r="44">
      <c r="G44" s="71" t="s">
        <v>613</v>
      </c>
      <c r="T44" s="128" t="s">
        <v>470</v>
      </c>
      <c r="V44" s="129">
        <f t="shared" ref="V44:W44" si="14">V43+V41</f>
        <v>14500</v>
      </c>
      <c r="W44" s="129">
        <f t="shared" si="14"/>
        <v>280</v>
      </c>
      <c r="Y44" s="77"/>
    </row>
    <row r="45">
      <c r="F45" s="71" t="s">
        <v>1118</v>
      </c>
      <c r="G45" s="71" t="s">
        <v>650</v>
      </c>
      <c r="H45" s="71">
        <v>500.0</v>
      </c>
      <c r="S45" s="125" t="s">
        <v>1119</v>
      </c>
      <c r="T45" s="122" t="s">
        <v>447</v>
      </c>
      <c r="U45" s="122">
        <v>5.0</v>
      </c>
      <c r="V45" s="122">
        <f>U45*1000</f>
        <v>5000</v>
      </c>
      <c r="W45" s="126">
        <f>U45*20</f>
        <v>100</v>
      </c>
      <c r="Y45" s="77"/>
    </row>
    <row r="46">
      <c r="G46" s="71" t="s">
        <v>644</v>
      </c>
      <c r="T46" s="122" t="s">
        <v>523</v>
      </c>
      <c r="U46" s="122">
        <v>4.0</v>
      </c>
      <c r="V46" s="126">
        <f>U46*2000</f>
        <v>8000</v>
      </c>
      <c r="W46" s="126">
        <f>U46*40</f>
        <v>160</v>
      </c>
      <c r="Y46" s="77"/>
    </row>
    <row r="47">
      <c r="G47" s="71" t="s">
        <v>652</v>
      </c>
      <c r="T47" s="122" t="s">
        <v>654</v>
      </c>
      <c r="U47" s="122">
        <v>2.0</v>
      </c>
      <c r="V47" s="126">
        <f>U47*8000</f>
        <v>16000</v>
      </c>
      <c r="W47" s="126">
        <f>U47*80</f>
        <v>160</v>
      </c>
      <c r="Y47" s="77"/>
    </row>
    <row r="48">
      <c r="F48" s="71" t="s">
        <v>1120</v>
      </c>
      <c r="G48" s="71" t="s">
        <v>650</v>
      </c>
      <c r="H48" s="71">
        <v>1000.0</v>
      </c>
      <c r="T48" s="122" t="s">
        <v>511</v>
      </c>
      <c r="U48" s="122">
        <v>4.5</v>
      </c>
      <c r="V48" s="126">
        <f>U48*10000</f>
        <v>45000</v>
      </c>
      <c r="W48" s="126">
        <f>U48*100</f>
        <v>450</v>
      </c>
      <c r="Y48" s="77"/>
    </row>
    <row r="49">
      <c r="G49" s="71" t="s">
        <v>621</v>
      </c>
      <c r="T49" s="122" t="s">
        <v>655</v>
      </c>
      <c r="U49" s="122">
        <v>3.0</v>
      </c>
      <c r="V49" s="122">
        <f>U49*2000</f>
        <v>6000</v>
      </c>
      <c r="W49" s="126">
        <f>U49*20</f>
        <v>60</v>
      </c>
      <c r="Y49" s="77"/>
    </row>
    <row r="50">
      <c r="G50" s="71" t="s">
        <v>652</v>
      </c>
      <c r="T50" s="122" t="s">
        <v>500</v>
      </c>
      <c r="U50" s="122">
        <v>2.0</v>
      </c>
      <c r="V50" s="126">
        <f>U50*3000</f>
        <v>6000</v>
      </c>
      <c r="W50" s="126">
        <f>U50*60</f>
        <v>120</v>
      </c>
      <c r="Y50" s="77"/>
    </row>
    <row r="51">
      <c r="T51" s="122" t="s">
        <v>533</v>
      </c>
      <c r="Y51" s="77"/>
    </row>
    <row r="52">
      <c r="T52" s="122" t="s">
        <v>609</v>
      </c>
      <c r="U52" s="122">
        <v>3.0</v>
      </c>
      <c r="V52" s="126">
        <f t="shared" ref="V52:V53" si="15">U52*1500</f>
        <v>4500</v>
      </c>
      <c r="W52" s="126">
        <f t="shared" ref="W52:W53" si="16">U52*60</f>
        <v>180</v>
      </c>
      <c r="Y52" s="77"/>
    </row>
    <row r="53">
      <c r="T53" s="122" t="s">
        <v>614</v>
      </c>
      <c r="U53" s="122">
        <v>1.0</v>
      </c>
      <c r="V53" s="126">
        <f t="shared" si="15"/>
        <v>1500</v>
      </c>
      <c r="W53" s="126">
        <f t="shared" si="16"/>
        <v>60</v>
      </c>
      <c r="Y53" s="77"/>
    </row>
    <row r="54">
      <c r="T54" s="128" t="s">
        <v>470</v>
      </c>
      <c r="V54" s="129">
        <f t="shared" ref="V54:W54" si="17">V46+V47+V52+V53+V48+V45+V49+V50</f>
        <v>92000</v>
      </c>
      <c r="W54" s="129">
        <f t="shared" si="17"/>
        <v>1290</v>
      </c>
      <c r="Y54" s="77"/>
    </row>
    <row r="55">
      <c r="S55" s="125" t="s">
        <v>1121</v>
      </c>
      <c r="T55" s="122" t="s">
        <v>655</v>
      </c>
      <c r="U55" s="122">
        <v>0.5</v>
      </c>
      <c r="V55" s="122">
        <f>U55*2000</f>
        <v>1000</v>
      </c>
      <c r="W55" s="126">
        <f>U55*20</f>
        <v>10</v>
      </c>
      <c r="Y55" s="77"/>
    </row>
    <row r="56">
      <c r="T56" s="122" t="s">
        <v>511</v>
      </c>
      <c r="U56" s="122">
        <v>0.5</v>
      </c>
      <c r="V56" s="126">
        <f>U56*10000</f>
        <v>5000</v>
      </c>
      <c r="W56" s="126">
        <f>U56*100</f>
        <v>50</v>
      </c>
      <c r="Y56" s="77"/>
    </row>
    <row r="57">
      <c r="T57" s="128" t="s">
        <v>470</v>
      </c>
      <c r="V57" s="129">
        <f t="shared" ref="V57:W57" si="18">V55+V56</f>
        <v>6000</v>
      </c>
      <c r="W57" s="129">
        <f t="shared" si="18"/>
        <v>60</v>
      </c>
      <c r="Y57" s="77"/>
    </row>
    <row r="58">
      <c r="S58" s="125" t="s">
        <v>1122</v>
      </c>
      <c r="T58" s="122" t="s">
        <v>447</v>
      </c>
      <c r="U58" s="122">
        <v>3.0</v>
      </c>
      <c r="V58" s="122">
        <f>U58*1000</f>
        <v>3000</v>
      </c>
      <c r="W58" s="126">
        <f>U58*20</f>
        <v>60</v>
      </c>
      <c r="Y58" s="77"/>
    </row>
    <row r="59">
      <c r="T59" s="122" t="s">
        <v>511</v>
      </c>
      <c r="U59" s="122">
        <v>3.0</v>
      </c>
      <c r="V59" s="126">
        <f>U59*10000</f>
        <v>30000</v>
      </c>
      <c r="W59" s="126">
        <f>U59*100</f>
        <v>300</v>
      </c>
      <c r="Y59" s="77"/>
    </row>
    <row r="60">
      <c r="T60" s="122" t="s">
        <v>500</v>
      </c>
      <c r="U60" s="122">
        <v>3.0</v>
      </c>
      <c r="V60" s="126">
        <f>U60*3000</f>
        <v>9000</v>
      </c>
      <c r="W60" s="126">
        <f>U60*60</f>
        <v>180</v>
      </c>
      <c r="Y60" s="77"/>
    </row>
    <row r="61">
      <c r="T61" s="122" t="s">
        <v>654</v>
      </c>
      <c r="U61" s="122">
        <v>2.0</v>
      </c>
      <c r="V61" s="126">
        <f>U61*8000</f>
        <v>16000</v>
      </c>
      <c r="W61" s="126">
        <f>U61*80</f>
        <v>160</v>
      </c>
      <c r="Y61" s="77"/>
    </row>
    <row r="62">
      <c r="T62" s="128" t="s">
        <v>470</v>
      </c>
      <c r="V62" s="129">
        <f t="shared" ref="V62:W62" si="19">V59+V60+V58+V61</f>
        <v>58000</v>
      </c>
      <c r="W62" s="129">
        <f t="shared" si="19"/>
        <v>700</v>
      </c>
      <c r="Y62" s="77"/>
    </row>
    <row r="63">
      <c r="S63" s="125" t="s">
        <v>664</v>
      </c>
      <c r="T63" s="122" t="s">
        <v>523</v>
      </c>
      <c r="U63" s="122">
        <v>1.0</v>
      </c>
      <c r="V63" s="126">
        <f>U63*2000</f>
        <v>2000</v>
      </c>
      <c r="W63" s="126">
        <f>U63*40</f>
        <v>40</v>
      </c>
      <c r="Y63" s="77"/>
    </row>
    <row r="64">
      <c r="T64" s="122" t="s">
        <v>500</v>
      </c>
      <c r="U64" s="122">
        <v>6.0</v>
      </c>
      <c r="V64" s="126">
        <f>U64*3000</f>
        <v>18000</v>
      </c>
      <c r="W64" s="126">
        <f>U64*60</f>
        <v>360</v>
      </c>
      <c r="Y64" s="77"/>
    </row>
    <row r="65">
      <c r="T65" s="128" t="s">
        <v>470</v>
      </c>
      <c r="V65" s="129">
        <f t="shared" ref="V65:W65" si="20">V64+V63</f>
        <v>20000</v>
      </c>
      <c r="W65" s="129">
        <f t="shared" si="20"/>
        <v>400</v>
      </c>
      <c r="Y65" s="77"/>
    </row>
    <row r="83">
      <c r="A83" s="47" t="s">
        <v>366</v>
      </c>
    </row>
    <row r="84">
      <c r="A84" s="136">
        <f>A86+A93+A122+A151+A173+A199+A229+A254+A277</f>
        <v>3261295</v>
      </c>
    </row>
    <row r="85">
      <c r="A85" s="82" t="s">
        <v>1123</v>
      </c>
    </row>
    <row r="86">
      <c r="A86" s="82">
        <v>-15000.0</v>
      </c>
    </row>
    <row r="87">
      <c r="A87" s="82">
        <v>2026.0</v>
      </c>
    </row>
    <row r="88">
      <c r="A88" s="50" t="s">
        <v>665</v>
      </c>
      <c r="B88" s="50" t="s">
        <v>119</v>
      </c>
      <c r="C88" s="50" t="s">
        <v>142</v>
      </c>
      <c r="D88" s="50" t="s">
        <v>126</v>
      </c>
      <c r="E88" s="50" t="s">
        <v>130</v>
      </c>
    </row>
    <row r="89">
      <c r="A89" s="33" t="s">
        <v>1124</v>
      </c>
    </row>
    <row r="90">
      <c r="A90" s="4" t="s">
        <v>1125</v>
      </c>
    </row>
    <row r="91">
      <c r="A91" s="85"/>
    </row>
    <row r="92">
      <c r="A92" s="86" t="s">
        <v>1126</v>
      </c>
    </row>
    <row r="93">
      <c r="A93" s="86">
        <v>51070.0</v>
      </c>
    </row>
    <row r="94">
      <c r="A94" s="87">
        <v>2026.0</v>
      </c>
    </row>
    <row r="95">
      <c r="A95" s="50" t="s">
        <v>687</v>
      </c>
      <c r="B95" s="50" t="s">
        <v>688</v>
      </c>
      <c r="C95" s="50" t="s">
        <v>689</v>
      </c>
      <c r="D95" s="50" t="s">
        <v>690</v>
      </c>
      <c r="E95" s="50" t="s">
        <v>691</v>
      </c>
      <c r="F95" s="50" t="s">
        <v>692</v>
      </c>
    </row>
    <row r="96">
      <c r="A96" s="84" t="s">
        <v>1127</v>
      </c>
      <c r="B96" s="84" t="s">
        <v>1128</v>
      </c>
      <c r="D96" s="84" t="s">
        <v>1129</v>
      </c>
      <c r="F96" s="84" t="s">
        <v>1130</v>
      </c>
    </row>
    <row r="97">
      <c r="A97" s="31" t="s">
        <v>1131</v>
      </c>
      <c r="B97" s="31" t="s">
        <v>989</v>
      </c>
      <c r="D97" s="31" t="s">
        <v>446</v>
      </c>
      <c r="F97" s="31" t="s">
        <v>464</v>
      </c>
    </row>
    <row r="98">
      <c r="A98" s="31" t="s">
        <v>703</v>
      </c>
      <c r="B98" s="31" t="s">
        <v>677</v>
      </c>
      <c r="D98" s="31" t="s">
        <v>702</v>
      </c>
      <c r="F98" s="31" t="s">
        <v>1132</v>
      </c>
    </row>
    <row r="99">
      <c r="A99" s="31" t="s">
        <v>1133</v>
      </c>
      <c r="B99" s="31" t="s">
        <v>729</v>
      </c>
      <c r="D99" s="31" t="s">
        <v>705</v>
      </c>
      <c r="F99" s="31" t="s">
        <v>705</v>
      </c>
    </row>
    <row r="100">
      <c r="D100" s="31" t="s">
        <v>1134</v>
      </c>
      <c r="F100" s="31" t="s">
        <v>729</v>
      </c>
    </row>
    <row r="101">
      <c r="D101" s="31" t="s">
        <v>1098</v>
      </c>
      <c r="F101" s="31" t="s">
        <v>719</v>
      </c>
    </row>
    <row r="102">
      <c r="D102" s="31" t="s">
        <v>718</v>
      </c>
      <c r="F102" s="31" t="s">
        <v>713</v>
      </c>
    </row>
    <row r="103">
      <c r="D103" s="31" t="s">
        <v>1135</v>
      </c>
      <c r="F103" s="31" t="s">
        <v>1136</v>
      </c>
    </row>
    <row r="104">
      <c r="D104" s="31" t="s">
        <v>780</v>
      </c>
      <c r="F104" s="31" t="s">
        <v>677</v>
      </c>
    </row>
    <row r="105">
      <c r="D105" s="31" t="s">
        <v>705</v>
      </c>
      <c r="F105" s="31" t="s">
        <v>713</v>
      </c>
    </row>
    <row r="106">
      <c r="D106" s="31" t="s">
        <v>1137</v>
      </c>
      <c r="F106" s="31" t="s">
        <v>1138</v>
      </c>
    </row>
    <row r="107">
      <c r="D107" s="31" t="s">
        <v>1139</v>
      </c>
      <c r="F107" s="31" t="s">
        <v>703</v>
      </c>
    </row>
    <row r="108">
      <c r="D108" s="31" t="s">
        <v>685</v>
      </c>
      <c r="F108" s="31" t="s">
        <v>713</v>
      </c>
    </row>
    <row r="109">
      <c r="D109" s="31" t="s">
        <v>1140</v>
      </c>
      <c r="F109" s="31" t="s">
        <v>1141</v>
      </c>
    </row>
    <row r="110">
      <c r="D110" s="31" t="s">
        <v>703</v>
      </c>
      <c r="F110" s="31" t="s">
        <v>703</v>
      </c>
    </row>
    <row r="111">
      <c r="D111" s="31" t="s">
        <v>1142</v>
      </c>
      <c r="F111" s="31" t="s">
        <v>713</v>
      </c>
    </row>
    <row r="112">
      <c r="D112" s="31" t="s">
        <v>703</v>
      </c>
      <c r="F112" s="31" t="s">
        <v>1143</v>
      </c>
    </row>
    <row r="113">
      <c r="D113" s="31" t="s">
        <v>1144</v>
      </c>
      <c r="F113" s="31" t="s">
        <v>703</v>
      </c>
    </row>
    <row r="114">
      <c r="D114" s="31" t="s">
        <v>703</v>
      </c>
      <c r="F114" s="31" t="s">
        <v>713</v>
      </c>
    </row>
    <row r="115">
      <c r="D115" s="31" t="s">
        <v>1145</v>
      </c>
      <c r="F115" s="31" t="s">
        <v>1146</v>
      </c>
    </row>
    <row r="116">
      <c r="D116" s="31" t="s">
        <v>826</v>
      </c>
      <c r="F116" s="31" t="s">
        <v>703</v>
      </c>
    </row>
    <row r="117">
      <c r="D117" s="31" t="s">
        <v>1147</v>
      </c>
      <c r="F117" s="31" t="s">
        <v>713</v>
      </c>
    </row>
    <row r="118">
      <c r="D118" s="31" t="s">
        <v>703</v>
      </c>
    </row>
    <row r="119">
      <c r="D119" s="31" t="s">
        <v>705</v>
      </c>
    </row>
    <row r="120">
      <c r="A120" s="85"/>
    </row>
    <row r="121">
      <c r="A121" s="22" t="s">
        <v>1148</v>
      </c>
    </row>
    <row r="122">
      <c r="A122" s="22">
        <v>145800.0</v>
      </c>
    </row>
    <row r="123">
      <c r="A123" s="19">
        <v>2026.0</v>
      </c>
    </row>
    <row r="124">
      <c r="A124" s="88" t="s">
        <v>1149</v>
      </c>
    </row>
    <row r="125">
      <c r="A125" s="50" t="s">
        <v>733</v>
      </c>
      <c r="B125" s="50" t="s">
        <v>191</v>
      </c>
      <c r="C125" s="50" t="s">
        <v>734</v>
      </c>
      <c r="D125" s="50" t="s">
        <v>735</v>
      </c>
      <c r="E125" s="50" t="s">
        <v>187</v>
      </c>
      <c r="F125" s="50" t="s">
        <v>736</v>
      </c>
      <c r="G125" s="50" t="s">
        <v>179</v>
      </c>
      <c r="H125" s="50" t="s">
        <v>737</v>
      </c>
    </row>
    <row r="126">
      <c r="A126" s="76" t="s">
        <v>1150</v>
      </c>
      <c r="B126" s="76" t="s">
        <v>1151</v>
      </c>
      <c r="C126" s="76" t="s">
        <v>377</v>
      </c>
      <c r="D126" s="76" t="s">
        <v>666</v>
      </c>
      <c r="E126" s="76" t="s">
        <v>377</v>
      </c>
      <c r="F126" s="76" t="s">
        <v>1152</v>
      </c>
      <c r="G126" s="76" t="s">
        <v>1153</v>
      </c>
      <c r="H126" s="76" t="s">
        <v>1154</v>
      </c>
    </row>
    <row r="127">
      <c r="A127" s="31" t="s">
        <v>1155</v>
      </c>
      <c r="B127" s="31" t="s">
        <v>464</v>
      </c>
      <c r="D127" s="31" t="s">
        <v>1156</v>
      </c>
      <c r="F127" s="31" t="s">
        <v>1157</v>
      </c>
      <c r="G127" s="31" t="s">
        <v>446</v>
      </c>
      <c r="H127" s="31" t="s">
        <v>1158</v>
      </c>
    </row>
    <row r="128">
      <c r="A128" s="31" t="s">
        <v>702</v>
      </c>
      <c r="B128" s="31" t="s">
        <v>926</v>
      </c>
      <c r="D128" s="31" t="s">
        <v>671</v>
      </c>
      <c r="F128" s="31" t="s">
        <v>765</v>
      </c>
      <c r="G128" s="31" t="s">
        <v>702</v>
      </c>
      <c r="H128" s="31" t="s">
        <v>826</v>
      </c>
    </row>
    <row r="129">
      <c r="A129" s="31" t="s">
        <v>769</v>
      </c>
      <c r="B129" s="31" t="s">
        <v>769</v>
      </c>
      <c r="F129" s="31" t="s">
        <v>1159</v>
      </c>
      <c r="G129" s="31" t="s">
        <v>1160</v>
      </c>
    </row>
    <row r="130">
      <c r="A130" s="31" t="s">
        <v>925</v>
      </c>
      <c r="B130" s="31" t="s">
        <v>773</v>
      </c>
      <c r="F130" s="31" t="s">
        <v>1161</v>
      </c>
      <c r="G130" s="31" t="s">
        <v>1162</v>
      </c>
    </row>
    <row r="131">
      <c r="A131" s="31" t="s">
        <v>820</v>
      </c>
      <c r="B131" s="31" t="s">
        <v>1163</v>
      </c>
      <c r="G131" s="31" t="s">
        <v>786</v>
      </c>
    </row>
    <row r="132">
      <c r="A132" s="31" t="s">
        <v>1164</v>
      </c>
      <c r="B132" s="31" t="s">
        <v>907</v>
      </c>
      <c r="G132" s="31" t="s">
        <v>1165</v>
      </c>
    </row>
    <row r="133">
      <c r="A133" s="31" t="s">
        <v>757</v>
      </c>
      <c r="B133" s="31" t="s">
        <v>644</v>
      </c>
      <c r="G133" s="31" t="s">
        <v>926</v>
      </c>
    </row>
    <row r="134">
      <c r="A134" s="31" t="s">
        <v>1138</v>
      </c>
      <c r="B134" s="31" t="s">
        <v>773</v>
      </c>
      <c r="G134" s="31" t="s">
        <v>786</v>
      </c>
    </row>
    <row r="135">
      <c r="A135" s="31" t="s">
        <v>820</v>
      </c>
      <c r="B135" s="31" t="s">
        <v>1166</v>
      </c>
      <c r="G135" s="31" t="s">
        <v>1167</v>
      </c>
    </row>
    <row r="136">
      <c r="A136" s="31" t="s">
        <v>613</v>
      </c>
      <c r="B136" s="31" t="s">
        <v>703</v>
      </c>
      <c r="G136" s="31" t="s">
        <v>677</v>
      </c>
    </row>
    <row r="137">
      <c r="A137" s="31" t="s">
        <v>1168</v>
      </c>
      <c r="B137" s="31" t="s">
        <v>773</v>
      </c>
      <c r="G137" s="31" t="s">
        <v>786</v>
      </c>
    </row>
    <row r="138">
      <c r="A138" s="31" t="s">
        <v>844</v>
      </c>
      <c r="G138" s="31" t="s">
        <v>1169</v>
      </c>
    </row>
    <row r="139">
      <c r="A139" s="31" t="s">
        <v>1170</v>
      </c>
      <c r="G139" s="31" t="s">
        <v>703</v>
      </c>
    </row>
    <row r="140">
      <c r="A140" s="31" t="s">
        <v>826</v>
      </c>
      <c r="G140" s="31" t="s">
        <v>786</v>
      </c>
    </row>
    <row r="141">
      <c r="A141" s="31" t="s">
        <v>1171</v>
      </c>
    </row>
    <row r="142">
      <c r="A142" s="31" t="s">
        <v>703</v>
      </c>
    </row>
    <row r="150">
      <c r="A150" s="90" t="s">
        <v>1172</v>
      </c>
    </row>
    <row r="151">
      <c r="A151" s="90">
        <f>A154</f>
        <v>143450</v>
      </c>
    </row>
    <row r="152">
      <c r="A152" s="90">
        <v>2026.0</v>
      </c>
    </row>
    <row r="153">
      <c r="A153" s="90" t="s">
        <v>368</v>
      </c>
    </row>
    <row r="154">
      <c r="A154" s="90">
        <f>A157+B157+C157+D157+E157+F157+G157+H157</f>
        <v>143450</v>
      </c>
    </row>
    <row r="155">
      <c r="A155" s="50" t="s">
        <v>789</v>
      </c>
      <c r="B155" s="50" t="s">
        <v>790</v>
      </c>
      <c r="C155" s="50" t="s">
        <v>215</v>
      </c>
      <c r="D155" s="50" t="s">
        <v>791</v>
      </c>
      <c r="E155" s="50" t="s">
        <v>202</v>
      </c>
      <c r="F155" s="50" t="s">
        <v>792</v>
      </c>
      <c r="G155" s="50" t="s">
        <v>793</v>
      </c>
      <c r="H155" s="50" t="s">
        <v>205</v>
      </c>
    </row>
    <row r="156">
      <c r="A156" s="33" t="s">
        <v>377</v>
      </c>
      <c r="B156" s="33" t="s">
        <v>377</v>
      </c>
      <c r="C156" s="33" t="s">
        <v>377</v>
      </c>
      <c r="D156" s="33" t="s">
        <v>693</v>
      </c>
      <c r="E156" s="33" t="s">
        <v>377</v>
      </c>
      <c r="F156" s="33" t="s">
        <v>377</v>
      </c>
      <c r="G156" s="33" t="s">
        <v>693</v>
      </c>
      <c r="H156" s="33" t="s">
        <v>377</v>
      </c>
    </row>
    <row r="157">
      <c r="A157" s="50">
        <v>0.0</v>
      </c>
      <c r="B157" s="50">
        <v>5000.0</v>
      </c>
      <c r="C157" s="50">
        <v>0.0</v>
      </c>
      <c r="D157" s="50">
        <v>3000.0</v>
      </c>
      <c r="E157" s="50">
        <v>55650.0</v>
      </c>
      <c r="F157" s="50">
        <v>13500.0</v>
      </c>
      <c r="G157" s="50">
        <v>0.0</v>
      </c>
      <c r="H157" s="50">
        <v>66300.0</v>
      </c>
    </row>
    <row r="158">
      <c r="B158" s="31" t="s">
        <v>1173</v>
      </c>
      <c r="D158" s="31" t="s">
        <v>1174</v>
      </c>
      <c r="E158" s="31" t="s">
        <v>464</v>
      </c>
      <c r="F158" s="91" t="s">
        <v>1175</v>
      </c>
      <c r="H158" s="31" t="s">
        <v>446</v>
      </c>
    </row>
    <row r="159">
      <c r="B159" s="31" t="s">
        <v>797</v>
      </c>
      <c r="D159" s="31" t="s">
        <v>1176</v>
      </c>
      <c r="E159" s="31" t="s">
        <v>799</v>
      </c>
      <c r="F159" s="91" t="s">
        <v>819</v>
      </c>
      <c r="H159" s="31" t="s">
        <v>799</v>
      </c>
    </row>
    <row r="160">
      <c r="B160" s="31" t="s">
        <v>802</v>
      </c>
      <c r="E160" s="31" t="s">
        <v>806</v>
      </c>
      <c r="F160" s="91" t="s">
        <v>517</v>
      </c>
      <c r="H160" s="31" t="s">
        <v>1177</v>
      </c>
    </row>
    <row r="161">
      <c r="B161" s="31" t="s">
        <v>1177</v>
      </c>
      <c r="E161" s="31" t="s">
        <v>813</v>
      </c>
      <c r="F161" s="91" t="s">
        <v>1178</v>
      </c>
      <c r="H161" s="31" t="s">
        <v>817</v>
      </c>
    </row>
    <row r="162">
      <c r="E162" s="91" t="s">
        <v>1179</v>
      </c>
      <c r="F162" s="91" t="s">
        <v>1180</v>
      </c>
      <c r="H162" s="31" t="s">
        <v>1098</v>
      </c>
    </row>
    <row r="163">
      <c r="E163" s="91" t="s">
        <v>818</v>
      </c>
      <c r="F163" s="91" t="s">
        <v>1181</v>
      </c>
      <c r="H163" s="31" t="s">
        <v>826</v>
      </c>
    </row>
    <row r="164">
      <c r="H164" s="31" t="s">
        <v>817</v>
      </c>
    </row>
    <row r="165">
      <c r="H165" s="31" t="s">
        <v>1182</v>
      </c>
    </row>
    <row r="166">
      <c r="H166" s="31" t="s">
        <v>1176</v>
      </c>
    </row>
    <row r="167">
      <c r="H167" s="31" t="s">
        <v>817</v>
      </c>
    </row>
    <row r="168">
      <c r="H168" s="31" t="s">
        <v>1183</v>
      </c>
    </row>
    <row r="169">
      <c r="H169" s="31" t="s">
        <v>1184</v>
      </c>
    </row>
    <row r="170">
      <c r="H170" s="31" t="s">
        <v>817</v>
      </c>
    </row>
    <row r="172">
      <c r="A172" s="92" t="s">
        <v>1185</v>
      </c>
    </row>
    <row r="173">
      <c r="A173" s="92">
        <f>-250000+A178+150000-125000</f>
        <v>877800</v>
      </c>
    </row>
    <row r="174">
      <c r="A174" s="92">
        <v>2026.0</v>
      </c>
    </row>
    <row r="175">
      <c r="A175" s="137" t="s">
        <v>1186</v>
      </c>
    </row>
    <row r="176">
      <c r="A176" s="92" t="s">
        <v>368</v>
      </c>
    </row>
    <row r="177">
      <c r="A177" s="92" t="s">
        <v>1187</v>
      </c>
    </row>
    <row r="178">
      <c r="A178" s="138">
        <f>A181+B181+C181+D181+E181+F181+G181+H181+I181+J181</f>
        <v>1102800</v>
      </c>
    </row>
    <row r="179">
      <c r="A179" s="50" t="s">
        <v>829</v>
      </c>
      <c r="B179" s="50" t="s">
        <v>830</v>
      </c>
      <c r="C179" s="50" t="s">
        <v>831</v>
      </c>
      <c r="D179" s="50" t="s">
        <v>832</v>
      </c>
      <c r="E179" s="50" t="s">
        <v>833</v>
      </c>
      <c r="F179" s="50" t="s">
        <v>834</v>
      </c>
      <c r="G179" s="95" t="s">
        <v>835</v>
      </c>
      <c r="H179" s="103" t="s">
        <v>836</v>
      </c>
      <c r="I179" s="139" t="s">
        <v>837</v>
      </c>
      <c r="J179" s="103" t="s">
        <v>838</v>
      </c>
    </row>
    <row r="180">
      <c r="A180" s="33" t="s">
        <v>377</v>
      </c>
      <c r="B180" s="33" t="s">
        <v>377</v>
      </c>
      <c r="C180" s="33" t="s">
        <v>377</v>
      </c>
      <c r="D180" s="33" t="s">
        <v>377</v>
      </c>
      <c r="E180" s="33" t="s">
        <v>377</v>
      </c>
      <c r="F180" s="33" t="s">
        <v>377</v>
      </c>
      <c r="G180" s="33" t="s">
        <v>377</v>
      </c>
      <c r="H180" s="64" t="s">
        <v>377</v>
      </c>
      <c r="I180" s="64" t="s">
        <v>377</v>
      </c>
      <c r="J180" s="64" t="s">
        <v>377</v>
      </c>
    </row>
    <row r="181">
      <c r="A181" s="50">
        <v>113000.0</v>
      </c>
      <c r="B181" s="50">
        <v>110000.0</v>
      </c>
      <c r="C181" s="50">
        <v>110000.0</v>
      </c>
      <c r="D181" s="50">
        <v>112000.0</v>
      </c>
      <c r="E181" s="50">
        <v>150600.0</v>
      </c>
      <c r="F181" s="50">
        <v>117100.0</v>
      </c>
      <c r="G181" s="50">
        <v>136900.0</v>
      </c>
      <c r="H181" s="50">
        <v>112900.0</v>
      </c>
      <c r="I181" s="99">
        <v>140300.0</v>
      </c>
      <c r="J181" s="103">
        <v>0.0</v>
      </c>
    </row>
    <row r="182">
      <c r="A182" s="31" t="s">
        <v>1188</v>
      </c>
      <c r="B182" s="31" t="s">
        <v>1189</v>
      </c>
      <c r="C182" s="31" t="s">
        <v>1190</v>
      </c>
      <c r="D182" s="31" t="s">
        <v>1191</v>
      </c>
      <c r="E182" s="31" t="s">
        <v>1192</v>
      </c>
      <c r="F182" s="31" t="s">
        <v>1193</v>
      </c>
      <c r="G182" s="31" t="s">
        <v>446</v>
      </c>
      <c r="H182" s="31" t="s">
        <v>1194</v>
      </c>
      <c r="I182" s="31" t="s">
        <v>884</v>
      </c>
    </row>
    <row r="183">
      <c r="A183" s="31" t="s">
        <v>849</v>
      </c>
      <c r="B183" s="31" t="s">
        <v>849</v>
      </c>
      <c r="C183" s="31" t="s">
        <v>849</v>
      </c>
      <c r="D183" s="31" t="s">
        <v>849</v>
      </c>
      <c r="E183" s="31" t="s">
        <v>849</v>
      </c>
      <c r="F183" s="31" t="s">
        <v>849</v>
      </c>
      <c r="G183" s="31" t="s">
        <v>849</v>
      </c>
      <c r="H183" s="31" t="s">
        <v>849</v>
      </c>
      <c r="I183" s="31" t="s">
        <v>849</v>
      </c>
    </row>
    <row r="184">
      <c r="A184" s="31" t="s">
        <v>1195</v>
      </c>
      <c r="B184" s="91" t="s">
        <v>1196</v>
      </c>
      <c r="C184" s="31" t="s">
        <v>1197</v>
      </c>
      <c r="D184" s="91" t="s">
        <v>517</v>
      </c>
      <c r="E184" s="31" t="s">
        <v>1198</v>
      </c>
      <c r="F184" s="31" t="s">
        <v>1195</v>
      </c>
      <c r="G184" s="31" t="s">
        <v>1199</v>
      </c>
      <c r="H184" s="31" t="s">
        <v>1200</v>
      </c>
      <c r="I184" s="31" t="s">
        <v>1201</v>
      </c>
    </row>
    <row r="185">
      <c r="A185" s="31" t="s">
        <v>1199</v>
      </c>
      <c r="B185" s="91" t="s">
        <v>1202</v>
      </c>
      <c r="C185" s="31" t="s">
        <v>1202</v>
      </c>
      <c r="D185" s="91" t="s">
        <v>1202</v>
      </c>
      <c r="E185" s="31" t="s">
        <v>1202</v>
      </c>
      <c r="F185" s="31" t="s">
        <v>1203</v>
      </c>
      <c r="G185" s="45" t="s">
        <v>1204</v>
      </c>
      <c r="H185" s="31" t="s">
        <v>1205</v>
      </c>
      <c r="I185" s="31" t="s">
        <v>1202</v>
      </c>
    </row>
    <row r="186">
      <c r="A186" s="91" t="s">
        <v>1179</v>
      </c>
      <c r="D186" s="31" t="s">
        <v>1206</v>
      </c>
      <c r="E186" s="31" t="s">
        <v>1195</v>
      </c>
      <c r="F186" s="31" t="s">
        <v>1202</v>
      </c>
      <c r="G186" s="45" t="s">
        <v>1202</v>
      </c>
      <c r="H186" s="31" t="s">
        <v>1202</v>
      </c>
      <c r="I186" s="31" t="s">
        <v>1207</v>
      </c>
    </row>
    <row r="187">
      <c r="A187" s="91" t="s">
        <v>1202</v>
      </c>
      <c r="D187" s="31" t="s">
        <v>826</v>
      </c>
      <c r="E187" s="31" t="s">
        <v>854</v>
      </c>
      <c r="F187" s="31" t="s">
        <v>1208</v>
      </c>
      <c r="G187" s="31" t="s">
        <v>1209</v>
      </c>
      <c r="H187" s="31" t="s">
        <v>1210</v>
      </c>
      <c r="I187" s="31" t="s">
        <v>703</v>
      </c>
    </row>
    <row r="188">
      <c r="E188" s="31" t="s">
        <v>1211</v>
      </c>
      <c r="F188" s="31" t="s">
        <v>728</v>
      </c>
      <c r="G188" s="31" t="s">
        <v>845</v>
      </c>
      <c r="H188" s="31" t="s">
        <v>1212</v>
      </c>
      <c r="I188" s="31" t="s">
        <v>1213</v>
      </c>
    </row>
    <row r="189">
      <c r="E189" s="31" t="s">
        <v>845</v>
      </c>
      <c r="F189" s="31" t="s">
        <v>1195</v>
      </c>
      <c r="G189" s="31" t="s">
        <v>1214</v>
      </c>
      <c r="I189" s="31" t="s">
        <v>703</v>
      </c>
    </row>
    <row r="190">
      <c r="E190" s="31" t="s">
        <v>1169</v>
      </c>
      <c r="F190" s="31" t="s">
        <v>1199</v>
      </c>
      <c r="G190" s="31" t="s">
        <v>1212</v>
      </c>
      <c r="I190" s="31" t="s">
        <v>1215</v>
      </c>
    </row>
    <row r="191">
      <c r="E191" s="31" t="s">
        <v>1216</v>
      </c>
      <c r="F191" s="31" t="s">
        <v>854</v>
      </c>
      <c r="I191" s="31" t="s">
        <v>845</v>
      </c>
    </row>
    <row r="192">
      <c r="E192" s="31" t="s">
        <v>1217</v>
      </c>
      <c r="I192" s="31" t="s">
        <v>1195</v>
      </c>
    </row>
    <row r="193">
      <c r="E193" s="31" t="s">
        <v>855</v>
      </c>
      <c r="I193" s="31" t="s">
        <v>854</v>
      </c>
    </row>
    <row r="194">
      <c r="I194" s="31" t="s">
        <v>1218</v>
      </c>
    </row>
    <row r="195">
      <c r="I195" s="31" t="s">
        <v>1219</v>
      </c>
    </row>
    <row r="196">
      <c r="A196" s="33" t="s">
        <v>1220</v>
      </c>
    </row>
    <row r="197">
      <c r="A197" s="96" t="s">
        <v>871</v>
      </c>
    </row>
    <row r="198">
      <c r="A198" s="97" t="s">
        <v>872</v>
      </c>
    </row>
    <row r="199">
      <c r="A199" s="97">
        <f>A202</f>
        <v>212000</v>
      </c>
    </row>
    <row r="200">
      <c r="A200" s="97">
        <v>2026.0</v>
      </c>
    </row>
    <row r="201">
      <c r="A201" s="97" t="s">
        <v>368</v>
      </c>
    </row>
    <row r="202">
      <c r="A202" s="98">
        <f>A205+B205+C205+D205+E205+F205+G205+H205+I205+J205</f>
        <v>212000</v>
      </c>
    </row>
    <row r="203">
      <c r="A203" s="50" t="s">
        <v>873</v>
      </c>
      <c r="B203" s="50" t="s">
        <v>874</v>
      </c>
      <c r="C203" s="50" t="s">
        <v>875</v>
      </c>
      <c r="D203" s="50" t="s">
        <v>876</v>
      </c>
      <c r="E203" s="50" t="s">
        <v>877</v>
      </c>
      <c r="F203" s="50" t="s">
        <v>878</v>
      </c>
      <c r="G203" s="94" t="s">
        <v>879</v>
      </c>
      <c r="H203" s="99" t="s">
        <v>880</v>
      </c>
      <c r="I203" s="99" t="s">
        <v>881</v>
      </c>
      <c r="J203" s="99" t="s">
        <v>882</v>
      </c>
    </row>
    <row r="204">
      <c r="A204" s="33" t="s">
        <v>377</v>
      </c>
      <c r="B204" s="33" t="s">
        <v>377</v>
      </c>
      <c r="C204" s="33" t="s">
        <v>377</v>
      </c>
      <c r="D204" s="33" t="s">
        <v>377</v>
      </c>
      <c r="E204" s="33" t="s">
        <v>377</v>
      </c>
      <c r="F204" s="33" t="s">
        <v>377</v>
      </c>
      <c r="G204" s="33" t="s">
        <v>377</v>
      </c>
      <c r="H204" s="64" t="s">
        <v>377</v>
      </c>
      <c r="I204" s="64" t="s">
        <v>377</v>
      </c>
      <c r="J204" s="64" t="s">
        <v>377</v>
      </c>
    </row>
    <row r="205">
      <c r="A205" s="50"/>
      <c r="B205" s="50"/>
      <c r="C205" s="50">
        <v>82500.0</v>
      </c>
      <c r="D205" s="50"/>
      <c r="E205" s="50">
        <v>114500.0</v>
      </c>
      <c r="F205" s="50"/>
      <c r="G205" s="50">
        <v>15000.0</v>
      </c>
      <c r="H205" s="50"/>
      <c r="I205" s="50"/>
      <c r="J205" s="50"/>
    </row>
    <row r="206">
      <c r="C206" s="31" t="s">
        <v>446</v>
      </c>
      <c r="E206" s="91" t="s">
        <v>1194</v>
      </c>
      <c r="G206" s="31" t="s">
        <v>1221</v>
      </c>
      <c r="I206" s="31" t="s">
        <v>1222</v>
      </c>
    </row>
    <row r="207">
      <c r="C207" s="31" t="s">
        <v>1223</v>
      </c>
      <c r="E207" s="91" t="s">
        <v>1223</v>
      </c>
      <c r="G207" s="31" t="s">
        <v>820</v>
      </c>
      <c r="I207" s="31" t="s">
        <v>906</v>
      </c>
    </row>
    <row r="208">
      <c r="C208" s="31" t="s">
        <v>890</v>
      </c>
      <c r="E208" s="91" t="s">
        <v>1224</v>
      </c>
      <c r="G208" s="31" t="s">
        <v>1225</v>
      </c>
    </row>
    <row r="209">
      <c r="C209" s="31" t="s">
        <v>1226</v>
      </c>
      <c r="E209" s="91" t="s">
        <v>1227</v>
      </c>
      <c r="G209" s="31" t="s">
        <v>844</v>
      </c>
    </row>
    <row r="210">
      <c r="C210" s="31" t="s">
        <v>1228</v>
      </c>
      <c r="E210" s="31" t="s">
        <v>1229</v>
      </c>
    </row>
    <row r="211">
      <c r="C211" s="31" t="s">
        <v>677</v>
      </c>
      <c r="E211" s="31" t="s">
        <v>677</v>
      </c>
    </row>
    <row r="212">
      <c r="C212" s="31" t="s">
        <v>898</v>
      </c>
      <c r="E212" s="31" t="s">
        <v>1058</v>
      </c>
    </row>
    <row r="213">
      <c r="C213" s="31" t="s">
        <v>1230</v>
      </c>
      <c r="E213" s="31" t="s">
        <v>951</v>
      </c>
    </row>
    <row r="214">
      <c r="C214" s="31" t="s">
        <v>960</v>
      </c>
      <c r="E214" s="31" t="s">
        <v>900</v>
      </c>
    </row>
    <row r="215">
      <c r="C215" s="31" t="s">
        <v>903</v>
      </c>
      <c r="E215" s="31" t="s">
        <v>1226</v>
      </c>
    </row>
    <row r="216">
      <c r="C216" s="31" t="s">
        <v>1231</v>
      </c>
    </row>
    <row r="217">
      <c r="C217" s="31" t="s">
        <v>1232</v>
      </c>
    </row>
    <row r="219">
      <c r="A219" s="100" t="s">
        <v>913</v>
      </c>
    </row>
    <row r="220">
      <c r="A220" s="100">
        <f>A223</f>
        <v>0</v>
      </c>
    </row>
    <row r="221">
      <c r="A221" s="100">
        <v>2026.0</v>
      </c>
    </row>
    <row r="222">
      <c r="A222" s="100" t="s">
        <v>368</v>
      </c>
    </row>
    <row r="223">
      <c r="A223" s="100">
        <f>A226+B226+C226+D226+E226+F226+G226+H226</f>
        <v>0</v>
      </c>
    </row>
    <row r="224">
      <c r="A224" s="50" t="s">
        <v>914</v>
      </c>
      <c r="B224" s="50" t="s">
        <v>246</v>
      </c>
      <c r="C224" s="50" t="s">
        <v>247</v>
      </c>
      <c r="D224" s="50" t="s">
        <v>249</v>
      </c>
      <c r="E224" s="50" t="s">
        <v>915</v>
      </c>
      <c r="F224" s="50" t="s">
        <v>916</v>
      </c>
      <c r="G224" s="50" t="s">
        <v>253</v>
      </c>
      <c r="H224" s="50" t="s">
        <v>252</v>
      </c>
    </row>
    <row r="225">
      <c r="A225" s="33" t="s">
        <v>377</v>
      </c>
      <c r="B225" s="33" t="s">
        <v>377</v>
      </c>
      <c r="C225" s="33" t="s">
        <v>377</v>
      </c>
      <c r="D225" s="33" t="s">
        <v>377</v>
      </c>
      <c r="E225" s="33" t="s">
        <v>377</v>
      </c>
      <c r="F225" s="33" t="s">
        <v>377</v>
      </c>
      <c r="G225" s="33" t="s">
        <v>377</v>
      </c>
      <c r="H225" s="33" t="s">
        <v>377</v>
      </c>
    </row>
    <row r="226">
      <c r="A226" s="50">
        <v>0.0</v>
      </c>
      <c r="B226" s="50">
        <v>0.0</v>
      </c>
      <c r="C226" s="50">
        <v>0.0</v>
      </c>
      <c r="D226" s="50">
        <v>0.0</v>
      </c>
      <c r="E226" s="50">
        <v>0.0</v>
      </c>
      <c r="F226" s="50">
        <v>0.0</v>
      </c>
      <c r="G226" s="50">
        <v>0.0</v>
      </c>
      <c r="H226" s="50">
        <v>0.0</v>
      </c>
    </row>
    <row r="228">
      <c r="A228" s="101" t="s">
        <v>928</v>
      </c>
    </row>
    <row r="229">
      <c r="A229" s="101">
        <f>A232</f>
        <v>314000</v>
      </c>
    </row>
    <row r="230">
      <c r="A230" s="101">
        <v>2026.0</v>
      </c>
    </row>
    <row r="231">
      <c r="A231" s="101" t="s">
        <v>368</v>
      </c>
    </row>
    <row r="232">
      <c r="A232" s="102">
        <f>A235+B235+C235+D235+E235+F235+G235+H235+I235+J235</f>
        <v>314000</v>
      </c>
    </row>
    <row r="233">
      <c r="A233" s="50" t="s">
        <v>929</v>
      </c>
      <c r="B233" s="50" t="s">
        <v>930</v>
      </c>
      <c r="C233" s="50" t="s">
        <v>931</v>
      </c>
      <c r="D233" s="50" t="s">
        <v>932</v>
      </c>
      <c r="E233" s="50" t="s">
        <v>933</v>
      </c>
      <c r="F233" s="50" t="s">
        <v>934</v>
      </c>
      <c r="G233" s="50" t="s">
        <v>935</v>
      </c>
      <c r="H233" s="50" t="s">
        <v>936</v>
      </c>
      <c r="I233" s="50" t="s">
        <v>937</v>
      </c>
      <c r="J233" s="50" t="s">
        <v>938</v>
      </c>
    </row>
    <row r="234">
      <c r="A234" s="33" t="s">
        <v>377</v>
      </c>
      <c r="B234" s="33" t="s">
        <v>377</v>
      </c>
      <c r="C234" s="33" t="s">
        <v>377</v>
      </c>
      <c r="D234" s="33" t="s">
        <v>377</v>
      </c>
      <c r="E234" s="33" t="s">
        <v>377</v>
      </c>
      <c r="F234" s="33" t="s">
        <v>377</v>
      </c>
      <c r="G234" s="33" t="s">
        <v>377</v>
      </c>
      <c r="H234" s="64" t="s">
        <v>377</v>
      </c>
      <c r="I234" s="64" t="s">
        <v>377</v>
      </c>
      <c r="J234" s="64" t="s">
        <v>377</v>
      </c>
    </row>
    <row r="235">
      <c r="A235" s="50">
        <v>4000.0</v>
      </c>
      <c r="B235" s="50">
        <v>0.0</v>
      </c>
      <c r="C235" s="50">
        <v>2000.0</v>
      </c>
      <c r="D235" s="50">
        <v>0.0</v>
      </c>
      <c r="E235" s="50">
        <v>0.0</v>
      </c>
      <c r="F235" s="50">
        <v>42000.0</v>
      </c>
      <c r="G235" s="50">
        <v>107000.0</v>
      </c>
      <c r="H235" s="50">
        <v>35000.0</v>
      </c>
      <c r="I235" s="50">
        <v>0.0</v>
      </c>
      <c r="J235" s="50">
        <f>67000+57000</f>
        <v>124000</v>
      </c>
    </row>
    <row r="236">
      <c r="A236" s="31" t="s">
        <v>1233</v>
      </c>
      <c r="C236" s="31" t="s">
        <v>1234</v>
      </c>
      <c r="F236" s="31" t="s">
        <v>1235</v>
      </c>
      <c r="G236" s="31" t="s">
        <v>446</v>
      </c>
      <c r="H236" s="31" t="s">
        <v>1005</v>
      </c>
      <c r="J236" s="31" t="s">
        <v>464</v>
      </c>
    </row>
    <row r="237">
      <c r="A237" s="31" t="s">
        <v>826</v>
      </c>
      <c r="C237" s="31" t="s">
        <v>826</v>
      </c>
      <c r="F237" s="31" t="s">
        <v>844</v>
      </c>
      <c r="G237" s="31" t="s">
        <v>1236</v>
      </c>
      <c r="H237" s="31" t="s">
        <v>848</v>
      </c>
      <c r="J237" s="31" t="s">
        <v>1237</v>
      </c>
    </row>
    <row r="238">
      <c r="A238" s="31" t="s">
        <v>1198</v>
      </c>
      <c r="F238" s="31" t="s">
        <v>945</v>
      </c>
      <c r="G238" s="31" t="s">
        <v>945</v>
      </c>
      <c r="H238" s="31" t="s">
        <v>944</v>
      </c>
      <c r="J238" s="31" t="s">
        <v>380</v>
      </c>
    </row>
    <row r="239">
      <c r="A239" s="31" t="s">
        <v>826</v>
      </c>
      <c r="F239" s="31" t="s">
        <v>1238</v>
      </c>
      <c r="G239" s="31" t="s">
        <v>1239</v>
      </c>
      <c r="H239" s="31" t="s">
        <v>945</v>
      </c>
      <c r="J239" s="31" t="s">
        <v>945</v>
      </c>
    </row>
    <row r="240">
      <c r="F240" s="31" t="s">
        <v>826</v>
      </c>
      <c r="G240" s="31" t="s">
        <v>826</v>
      </c>
      <c r="J240" s="31" t="s">
        <v>1240</v>
      </c>
    </row>
    <row r="241">
      <c r="F241" s="31" t="s">
        <v>1241</v>
      </c>
      <c r="J241" s="76" t="s">
        <v>946</v>
      </c>
    </row>
    <row r="242">
      <c r="F242" s="31" t="s">
        <v>767</v>
      </c>
    </row>
    <row r="243">
      <c r="F243" s="31" t="s">
        <v>945</v>
      </c>
    </row>
    <row r="244">
      <c r="F244" s="140" t="s">
        <v>941</v>
      </c>
    </row>
    <row r="245">
      <c r="F245" s="140" t="s">
        <v>826</v>
      </c>
    </row>
    <row r="246">
      <c r="F246" s="31" t="s">
        <v>1242</v>
      </c>
    </row>
    <row r="247">
      <c r="F247" s="31" t="s">
        <v>826</v>
      </c>
    </row>
    <row r="248">
      <c r="F248" s="31" t="s">
        <v>1243</v>
      </c>
    </row>
    <row r="249">
      <c r="F249" s="31" t="s">
        <v>820</v>
      </c>
    </row>
    <row r="250">
      <c r="F250" s="31" t="s">
        <v>381</v>
      </c>
    </row>
    <row r="253">
      <c r="A253" s="48" t="s">
        <v>367</v>
      </c>
    </row>
    <row r="254">
      <c r="A254" s="49">
        <f>A257</f>
        <v>1532175</v>
      </c>
    </row>
    <row r="255">
      <c r="A255" s="49">
        <v>2026.0</v>
      </c>
    </row>
    <row r="256">
      <c r="A256" s="49" t="s">
        <v>368</v>
      </c>
    </row>
    <row r="257">
      <c r="A257" s="49">
        <f>A260+B260+C260+D260+E260+F260+G260+H260</f>
        <v>1532175</v>
      </c>
    </row>
    <row r="258">
      <c r="A258" s="33" t="s">
        <v>369</v>
      </c>
      <c r="B258" s="33" t="s">
        <v>370</v>
      </c>
      <c r="C258" s="33" t="s">
        <v>371</v>
      </c>
      <c r="D258" s="33" t="s">
        <v>372</v>
      </c>
      <c r="E258" s="33" t="s">
        <v>373</v>
      </c>
      <c r="F258" s="33" t="s">
        <v>374</v>
      </c>
      <c r="G258" s="33" t="s">
        <v>375</v>
      </c>
      <c r="H258" s="33" t="s">
        <v>376</v>
      </c>
      <c r="I258" s="103"/>
      <c r="J258" s="103"/>
    </row>
    <row r="259">
      <c r="A259" s="33" t="s">
        <v>377</v>
      </c>
      <c r="B259" s="33" t="s">
        <v>377</v>
      </c>
      <c r="C259" s="33" t="s">
        <v>377</v>
      </c>
      <c r="D259" s="33" t="s">
        <v>377</v>
      </c>
      <c r="E259" s="33" t="s">
        <v>377</v>
      </c>
      <c r="F259" s="33" t="s">
        <v>377</v>
      </c>
      <c r="G259" s="33" t="s">
        <v>377</v>
      </c>
      <c r="H259" s="33" t="s">
        <v>377</v>
      </c>
    </row>
    <row r="260">
      <c r="A260" s="50">
        <f>4000+(59825*2)</f>
        <v>123650</v>
      </c>
      <c r="B260" s="50">
        <v>0.0</v>
      </c>
      <c r="C260" s="50">
        <v>0.0</v>
      </c>
      <c r="D260" s="50">
        <v>2000.0</v>
      </c>
      <c r="E260" s="50">
        <v>12000.0</v>
      </c>
      <c r="F260" s="50">
        <v>145000.0</v>
      </c>
      <c r="G260" s="50">
        <f>177000+300000+(119175*3)</f>
        <v>834525</v>
      </c>
      <c r="H260" s="50">
        <v>415000.0</v>
      </c>
    </row>
    <row r="261">
      <c r="A261" s="31" t="s">
        <v>1244</v>
      </c>
      <c r="D261" s="104" t="s">
        <v>1245</v>
      </c>
      <c r="E261" s="31" t="s">
        <v>1246</v>
      </c>
      <c r="F261" s="31" t="s">
        <v>1193</v>
      </c>
      <c r="G261" s="31" t="s">
        <v>464</v>
      </c>
      <c r="H261" s="31" t="s">
        <v>446</v>
      </c>
    </row>
    <row r="262">
      <c r="A262" s="31" t="s">
        <v>826</v>
      </c>
      <c r="D262" s="104" t="s">
        <v>826</v>
      </c>
      <c r="E262" s="31" t="s">
        <v>1247</v>
      </c>
      <c r="F262" s="31" t="s">
        <v>1248</v>
      </c>
      <c r="G262" s="31" t="s">
        <v>1236</v>
      </c>
      <c r="H262" s="31" t="s">
        <v>1236</v>
      </c>
    </row>
    <row r="263">
      <c r="A263" s="76" t="s">
        <v>954</v>
      </c>
      <c r="F263" s="31" t="s">
        <v>1249</v>
      </c>
      <c r="G263" s="31" t="s">
        <v>1250</v>
      </c>
      <c r="H263" s="31" t="s">
        <v>1251</v>
      </c>
    </row>
    <row r="264">
      <c r="A264" s="31" t="s">
        <v>893</v>
      </c>
      <c r="F264" s="31" t="s">
        <v>1252</v>
      </c>
      <c r="G264" s="31" t="s">
        <v>1253</v>
      </c>
      <c r="H264" s="31" t="s">
        <v>826</v>
      </c>
    </row>
    <row r="265">
      <c r="A265" s="31" t="s">
        <v>826</v>
      </c>
      <c r="G265" s="31" t="s">
        <v>967</v>
      </c>
      <c r="H265" s="31" t="s">
        <v>1254</v>
      </c>
    </row>
    <row r="266">
      <c r="A266" s="76" t="s">
        <v>954</v>
      </c>
      <c r="G266" s="76" t="s">
        <v>958</v>
      </c>
      <c r="H266" s="31" t="s">
        <v>1255</v>
      </c>
    </row>
    <row r="267">
      <c r="G267" s="31" t="s">
        <v>1198</v>
      </c>
      <c r="H267" s="31" t="s">
        <v>1256</v>
      </c>
    </row>
    <row r="268">
      <c r="G268" s="31" t="s">
        <v>951</v>
      </c>
      <c r="H268" s="31" t="s">
        <v>942</v>
      </c>
    </row>
    <row r="269">
      <c r="G269" s="76" t="s">
        <v>958</v>
      </c>
      <c r="H269" s="31" t="s">
        <v>1046</v>
      </c>
    </row>
    <row r="270">
      <c r="G270" s="31" t="s">
        <v>1257</v>
      </c>
      <c r="H270" s="31" t="s">
        <v>1255</v>
      </c>
    </row>
    <row r="271">
      <c r="G271" s="31" t="s">
        <v>826</v>
      </c>
      <c r="H271" s="31" t="s">
        <v>1258</v>
      </c>
    </row>
    <row r="272">
      <c r="G272" s="76" t="s">
        <v>958</v>
      </c>
      <c r="H272" s="31" t="s">
        <v>1255</v>
      </c>
    </row>
    <row r="273">
      <c r="H273" s="31" t="s">
        <v>1259</v>
      </c>
    </row>
    <row r="274">
      <c r="H274" s="31" t="s">
        <v>718</v>
      </c>
    </row>
    <row r="276">
      <c r="A276" s="107" t="s">
        <v>913</v>
      </c>
    </row>
    <row r="277">
      <c r="A277" s="108">
        <f>A280</f>
        <v>0</v>
      </c>
    </row>
    <row r="278">
      <c r="A278" s="108">
        <v>2026.0</v>
      </c>
    </row>
    <row r="279">
      <c r="A279" s="108" t="s">
        <v>368</v>
      </c>
    </row>
    <row r="280">
      <c r="A280" s="108">
        <f>A283+B283+C283+D283+E283+F283+G283+H283</f>
        <v>0</v>
      </c>
    </row>
    <row r="281">
      <c r="A281" s="50" t="s">
        <v>126</v>
      </c>
      <c r="B281" s="50" t="s">
        <v>687</v>
      </c>
      <c r="C281" s="50" t="s">
        <v>179</v>
      </c>
      <c r="D281" s="50" t="s">
        <v>202</v>
      </c>
      <c r="E281" s="99" t="s">
        <v>880</v>
      </c>
      <c r="F281" s="50" t="s">
        <v>969</v>
      </c>
      <c r="G281" s="50" t="s">
        <v>932</v>
      </c>
      <c r="H281" s="50" t="s">
        <v>970</v>
      </c>
    </row>
    <row r="282">
      <c r="A282" s="33" t="s">
        <v>377</v>
      </c>
      <c r="B282" s="33" t="s">
        <v>377</v>
      </c>
      <c r="C282" s="33" t="s">
        <v>377</v>
      </c>
      <c r="D282" s="33" t="s">
        <v>377</v>
      </c>
      <c r="E282" s="33" t="s">
        <v>377</v>
      </c>
      <c r="F282" s="33" t="s">
        <v>377</v>
      </c>
      <c r="G282" s="33" t="s">
        <v>377</v>
      </c>
      <c r="H282" s="33" t="s">
        <v>377</v>
      </c>
    </row>
    <row r="283">
      <c r="A283" s="50">
        <v>0.0</v>
      </c>
      <c r="B283" s="50">
        <v>0.0</v>
      </c>
      <c r="C283" s="50">
        <v>0.0</v>
      </c>
      <c r="D283" s="50">
        <v>0.0</v>
      </c>
      <c r="E283" s="50">
        <v>0.0</v>
      </c>
      <c r="F283" s="50">
        <v>0.0</v>
      </c>
      <c r="G283" s="50">
        <v>0.0</v>
      </c>
      <c r="H283" s="50">
        <v>0.0</v>
      </c>
    </row>
  </sheetData>
  <mergeCells count="140">
    <mergeCell ref="P24:P25"/>
    <mergeCell ref="P27:Q27"/>
    <mergeCell ref="P13:P15"/>
    <mergeCell ref="P16:P17"/>
    <mergeCell ref="R16:R17"/>
    <mergeCell ref="T17:W17"/>
    <mergeCell ref="P20:P23"/>
    <mergeCell ref="R20:R23"/>
    <mergeCell ref="R24:R25"/>
    <mergeCell ref="S9:S10"/>
    <mergeCell ref="T10:U10"/>
    <mergeCell ref="S11:S21"/>
    <mergeCell ref="T21:U21"/>
    <mergeCell ref="S22:S35"/>
    <mergeCell ref="T35:U35"/>
    <mergeCell ref="T37:W37"/>
    <mergeCell ref="S45:S54"/>
    <mergeCell ref="S55:S57"/>
    <mergeCell ref="S58:S62"/>
    <mergeCell ref="S63:S65"/>
    <mergeCell ref="T57:U57"/>
    <mergeCell ref="T62:U62"/>
    <mergeCell ref="T65:U65"/>
    <mergeCell ref="S36:S40"/>
    <mergeCell ref="T40:U40"/>
    <mergeCell ref="S41:S44"/>
    <mergeCell ref="T42:W42"/>
    <mergeCell ref="T44:U44"/>
    <mergeCell ref="T51:W51"/>
    <mergeCell ref="T54:U54"/>
    <mergeCell ref="A1:W1"/>
    <mergeCell ref="A2:W2"/>
    <mergeCell ref="A3:W3"/>
    <mergeCell ref="A4:W4"/>
    <mergeCell ref="A5:W5"/>
    <mergeCell ref="F6:H6"/>
    <mergeCell ref="J6:L6"/>
    <mergeCell ref="S6:W6"/>
    <mergeCell ref="M6:O6"/>
    <mergeCell ref="P6:R6"/>
    <mergeCell ref="F7:H7"/>
    <mergeCell ref="J7:L7"/>
    <mergeCell ref="M7:O7"/>
    <mergeCell ref="P7:R7"/>
    <mergeCell ref="S7:W7"/>
    <mergeCell ref="J8:L8"/>
    <mergeCell ref="M8:O8"/>
    <mergeCell ref="P8:R8"/>
    <mergeCell ref="J9:L9"/>
    <mergeCell ref="M9:O9"/>
    <mergeCell ref="P9:R9"/>
    <mergeCell ref="J10:L10"/>
    <mergeCell ref="M11:N11"/>
    <mergeCell ref="P11:P12"/>
    <mergeCell ref="R11:R12"/>
    <mergeCell ref="L12:L14"/>
    <mergeCell ref="M13:M14"/>
    <mergeCell ref="R13:R15"/>
    <mergeCell ref="M15:N15"/>
    <mergeCell ref="F27:F29"/>
    <mergeCell ref="H27:H29"/>
    <mergeCell ref="P28:Q28"/>
    <mergeCell ref="P29:Q29"/>
    <mergeCell ref="T29:W29"/>
    <mergeCell ref="J12:J14"/>
    <mergeCell ref="J15:J17"/>
    <mergeCell ref="L15:L17"/>
    <mergeCell ref="J18:J20"/>
    <mergeCell ref="L18:L20"/>
    <mergeCell ref="J22:K22"/>
    <mergeCell ref="F25:H25"/>
    <mergeCell ref="H42:H44"/>
    <mergeCell ref="H45:H47"/>
    <mergeCell ref="A221:H221"/>
    <mergeCell ref="A222:H222"/>
    <mergeCell ref="A223:H223"/>
    <mergeCell ref="A228:J228"/>
    <mergeCell ref="A229:J229"/>
    <mergeCell ref="A230:J230"/>
    <mergeCell ref="A231:J231"/>
    <mergeCell ref="A277:H277"/>
    <mergeCell ref="A278:H278"/>
    <mergeCell ref="A279:H279"/>
    <mergeCell ref="A280:H280"/>
    <mergeCell ref="A232:J232"/>
    <mergeCell ref="A253:H253"/>
    <mergeCell ref="A254:H254"/>
    <mergeCell ref="A255:H255"/>
    <mergeCell ref="A256:H256"/>
    <mergeCell ref="A257:H257"/>
    <mergeCell ref="A276:H276"/>
    <mergeCell ref="F30:F32"/>
    <mergeCell ref="H30:H32"/>
    <mergeCell ref="F33:F35"/>
    <mergeCell ref="H33:H35"/>
    <mergeCell ref="F36:F38"/>
    <mergeCell ref="H36:H38"/>
    <mergeCell ref="H39:H41"/>
    <mergeCell ref="F39:F41"/>
    <mergeCell ref="F42:F44"/>
    <mergeCell ref="F45:F47"/>
    <mergeCell ref="F48:F50"/>
    <mergeCell ref="H48:H50"/>
    <mergeCell ref="A83:E83"/>
    <mergeCell ref="A84:E84"/>
    <mergeCell ref="A85:E85"/>
    <mergeCell ref="A86:E86"/>
    <mergeCell ref="A87:E87"/>
    <mergeCell ref="A89:E89"/>
    <mergeCell ref="A90:E90"/>
    <mergeCell ref="A91:F91"/>
    <mergeCell ref="A92:F92"/>
    <mergeCell ref="A93:F93"/>
    <mergeCell ref="A94:F94"/>
    <mergeCell ref="A120:H120"/>
    <mergeCell ref="A121:H121"/>
    <mergeCell ref="A122:H122"/>
    <mergeCell ref="A123:H123"/>
    <mergeCell ref="A124:H124"/>
    <mergeCell ref="A150:H150"/>
    <mergeCell ref="A151:H151"/>
    <mergeCell ref="A152:H152"/>
    <mergeCell ref="A153:H153"/>
    <mergeCell ref="A154:H154"/>
    <mergeCell ref="A172:J172"/>
    <mergeCell ref="A173:J173"/>
    <mergeCell ref="A174:J174"/>
    <mergeCell ref="A175:J175"/>
    <mergeCell ref="A176:J176"/>
    <mergeCell ref="A177:J177"/>
    <mergeCell ref="A178:J178"/>
    <mergeCell ref="A196:J196"/>
    <mergeCell ref="A197:J197"/>
    <mergeCell ref="A198:J198"/>
    <mergeCell ref="A199:J199"/>
    <mergeCell ref="A200:J200"/>
    <mergeCell ref="A201:J201"/>
    <mergeCell ref="A202:J202"/>
    <mergeCell ref="A219:H219"/>
    <mergeCell ref="A220:H220"/>
  </mergeCells>
  <hyperlinks>
    <hyperlink r:id="rId1" ref="A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8.25"/>
    <col customWidth="1" min="3" max="3" width="40.38"/>
    <col customWidth="1" min="4" max="4" width="33.38"/>
    <col customWidth="1" min="10" max="10" width="16.5"/>
    <col customWidth="1" min="11" max="11" width="33.38"/>
  </cols>
  <sheetData>
    <row r="1">
      <c r="A1" s="141" t="s">
        <v>1260</v>
      </c>
    </row>
    <row r="2">
      <c r="A2" s="142" t="s">
        <v>1261</v>
      </c>
    </row>
    <row r="3">
      <c r="A3" s="141" t="s">
        <v>338</v>
      </c>
    </row>
    <row r="4">
      <c r="A4" s="143">
        <f>100000+B6+C6+E6+J6+A27</f>
        <v>251500</v>
      </c>
    </row>
    <row r="5">
      <c r="A5" s="33" t="s">
        <v>339</v>
      </c>
      <c r="B5" s="33" t="s">
        <v>414</v>
      </c>
      <c r="C5" s="33" t="s">
        <v>342</v>
      </c>
      <c r="D5" s="33" t="s">
        <v>344</v>
      </c>
      <c r="E5" s="144" t="s">
        <v>422</v>
      </c>
      <c r="J5" s="145" t="s">
        <v>1262</v>
      </c>
    </row>
    <row r="6">
      <c r="A6" s="31" t="s">
        <v>1263</v>
      </c>
      <c r="B6" s="146">
        <v>-30000.0</v>
      </c>
      <c r="C6" s="146">
        <v>14500.0</v>
      </c>
      <c r="D6" s="31" t="s">
        <v>1264</v>
      </c>
      <c r="E6" s="147">
        <f>H9+H11</f>
        <v>4000</v>
      </c>
      <c r="J6" s="148">
        <f>J8</f>
        <v>142000</v>
      </c>
    </row>
    <row r="7">
      <c r="A7" s="31" t="s">
        <v>1265</v>
      </c>
      <c r="B7" s="55" t="s">
        <v>349</v>
      </c>
      <c r="C7" s="31" t="s">
        <v>1266</v>
      </c>
      <c r="D7" s="31" t="s">
        <v>1267</v>
      </c>
      <c r="E7" s="149" t="s">
        <v>436</v>
      </c>
      <c r="F7" s="149" t="s">
        <v>437</v>
      </c>
      <c r="G7" s="149" t="s">
        <v>438</v>
      </c>
      <c r="H7" s="149" t="s">
        <v>0</v>
      </c>
      <c r="I7" s="149" t="s">
        <v>439</v>
      </c>
      <c r="J7" s="150" t="s">
        <v>435</v>
      </c>
    </row>
    <row r="8">
      <c r="A8" s="31" t="s">
        <v>1268</v>
      </c>
      <c r="B8" s="4" t="s">
        <v>35</v>
      </c>
      <c r="C8" s="31" t="s">
        <v>1269</v>
      </c>
      <c r="D8" s="31" t="s">
        <v>1270</v>
      </c>
      <c r="E8" s="151" t="s">
        <v>1271</v>
      </c>
      <c r="F8" s="152" t="s">
        <v>447</v>
      </c>
      <c r="G8" s="152">
        <v>3.0</v>
      </c>
      <c r="H8" s="152">
        <f>G8*1000</f>
        <v>3000</v>
      </c>
      <c r="I8" s="153">
        <f>G8*20</f>
        <v>60</v>
      </c>
      <c r="J8" s="154">
        <f>L10+L15+L17+L18</f>
        <v>142000</v>
      </c>
    </row>
    <row r="9">
      <c r="A9" s="31" t="s">
        <v>1272</v>
      </c>
      <c r="B9" s="55" t="s">
        <v>48</v>
      </c>
      <c r="C9" s="31" t="s">
        <v>1273</v>
      </c>
      <c r="D9" s="31" t="s">
        <v>1274</v>
      </c>
      <c r="F9" s="155" t="s">
        <v>470</v>
      </c>
      <c r="H9" s="156">
        <f t="shared" ref="H9:I9" si="1">H8</f>
        <v>3000</v>
      </c>
      <c r="I9" s="156">
        <f t="shared" si="1"/>
        <v>60</v>
      </c>
      <c r="J9" s="157" t="s">
        <v>456</v>
      </c>
      <c r="K9" s="157" t="s">
        <v>457</v>
      </c>
      <c r="L9" s="157" t="s">
        <v>0</v>
      </c>
    </row>
    <row r="10">
      <c r="A10" s="31" t="s">
        <v>1275</v>
      </c>
      <c r="B10" s="4" t="s">
        <v>60</v>
      </c>
      <c r="C10" s="31" t="s">
        <v>627</v>
      </c>
      <c r="D10" s="31" t="s">
        <v>1276</v>
      </c>
      <c r="E10" s="31" t="s">
        <v>1277</v>
      </c>
      <c r="F10" s="152" t="s">
        <v>447</v>
      </c>
      <c r="G10" s="152">
        <v>1.0</v>
      </c>
      <c r="H10" s="152">
        <f>G10*1000</f>
        <v>1000</v>
      </c>
      <c r="I10" s="153">
        <f>G10*20</f>
        <v>20</v>
      </c>
      <c r="J10" s="71" t="s">
        <v>1278</v>
      </c>
      <c r="K10" s="4" t="s">
        <v>1279</v>
      </c>
      <c r="L10" s="71">
        <v>50000.0</v>
      </c>
    </row>
    <row r="11">
      <c r="A11" s="31" t="s">
        <v>1280</v>
      </c>
      <c r="B11" s="55" t="s">
        <v>69</v>
      </c>
      <c r="C11" s="31" t="s">
        <v>1281</v>
      </c>
      <c r="D11" s="31" t="s">
        <v>1282</v>
      </c>
      <c r="F11" s="155" t="s">
        <v>470</v>
      </c>
      <c r="H11" s="156">
        <f t="shared" ref="H11:I11" si="2">H10</f>
        <v>1000</v>
      </c>
      <c r="I11" s="156">
        <f t="shared" si="2"/>
        <v>20</v>
      </c>
      <c r="K11" s="71" t="s">
        <v>1283</v>
      </c>
    </row>
    <row r="12">
      <c r="A12" s="31" t="s">
        <v>1284</v>
      </c>
      <c r="B12" s="4" t="s">
        <v>60</v>
      </c>
      <c r="C12" s="31" t="s">
        <v>1285</v>
      </c>
      <c r="D12" s="31" t="s">
        <v>1286</v>
      </c>
      <c r="K12" s="4" t="s">
        <v>1287</v>
      </c>
    </row>
    <row r="13">
      <c r="A13" s="31" t="s">
        <v>1288</v>
      </c>
      <c r="C13" s="31" t="s">
        <v>1289</v>
      </c>
      <c r="K13" s="33" t="s">
        <v>1290</v>
      </c>
    </row>
    <row r="14">
      <c r="A14" s="31" t="s">
        <v>1291</v>
      </c>
      <c r="C14" s="31" t="s">
        <v>1292</v>
      </c>
      <c r="K14" s="131" t="s">
        <v>1293</v>
      </c>
    </row>
    <row r="15">
      <c r="A15" s="31" t="s">
        <v>1294</v>
      </c>
      <c r="C15" s="31" t="s">
        <v>1295</v>
      </c>
      <c r="J15" s="71" t="s">
        <v>1296</v>
      </c>
      <c r="K15" s="71" t="s">
        <v>1283</v>
      </c>
      <c r="L15" s="71">
        <v>16000.0</v>
      </c>
    </row>
    <row r="16">
      <c r="A16" s="31" t="s">
        <v>1297</v>
      </c>
      <c r="C16" s="31" t="s">
        <v>1298</v>
      </c>
      <c r="K16" s="131" t="s">
        <v>1299</v>
      </c>
    </row>
    <row r="17">
      <c r="A17" s="31" t="s">
        <v>1300</v>
      </c>
      <c r="C17" s="31" t="s">
        <v>1301</v>
      </c>
      <c r="J17" s="4" t="s">
        <v>1302</v>
      </c>
      <c r="K17" s="4" t="s">
        <v>489</v>
      </c>
      <c r="L17" s="4">
        <v>1000.0</v>
      </c>
    </row>
    <row r="18">
      <c r="A18" s="31" t="s">
        <v>1303</v>
      </c>
      <c r="C18" s="31" t="s">
        <v>1304</v>
      </c>
      <c r="J18" s="33" t="s">
        <v>145</v>
      </c>
      <c r="L18" s="33">
        <v>75000.0</v>
      </c>
    </row>
    <row r="19">
      <c r="A19" s="31" t="s">
        <v>1305</v>
      </c>
      <c r="B19" s="158" t="s">
        <v>974</v>
      </c>
      <c r="C19" s="31" t="s">
        <v>1306</v>
      </c>
    </row>
    <row r="20">
      <c r="A20" s="31" t="s">
        <v>1307</v>
      </c>
      <c r="B20" s="159">
        <v>0.0</v>
      </c>
      <c r="C20" s="31" t="s">
        <v>1289</v>
      </c>
    </row>
    <row r="21">
      <c r="A21" s="31" t="s">
        <v>1308</v>
      </c>
      <c r="B21" s="31" t="s">
        <v>1309</v>
      </c>
    </row>
    <row r="22">
      <c r="A22" s="31" t="s">
        <v>1310</v>
      </c>
      <c r="B22" s="31" t="s">
        <v>1311</v>
      </c>
    </row>
    <row r="23">
      <c r="A23" s="31" t="s">
        <v>1312</v>
      </c>
      <c r="B23" s="31" t="s">
        <v>1313</v>
      </c>
    </row>
    <row r="24">
      <c r="A24" s="31" t="s">
        <v>1314</v>
      </c>
    </row>
    <row r="26">
      <c r="A26" s="47" t="s">
        <v>366</v>
      </c>
    </row>
    <row r="27">
      <c r="A27" s="47">
        <f>A29</f>
        <v>21000</v>
      </c>
    </row>
    <row r="28">
      <c r="A28" s="48" t="s">
        <v>367</v>
      </c>
      <c r="I28" s="160"/>
      <c r="Q28" s="160"/>
    </row>
    <row r="29">
      <c r="A29" s="49">
        <f>A32</f>
        <v>21000</v>
      </c>
      <c r="I29" s="160"/>
      <c r="Q29" s="160"/>
    </row>
    <row r="30">
      <c r="A30" s="49">
        <v>2026.0</v>
      </c>
      <c r="I30" s="160"/>
      <c r="Q30" s="160"/>
    </row>
    <row r="31">
      <c r="A31" s="49" t="s">
        <v>368</v>
      </c>
      <c r="I31" s="160"/>
      <c r="Q31" s="160"/>
    </row>
    <row r="32">
      <c r="A32" s="49">
        <f>A35+B35+C35+D35+E35+F35+G35+H35</f>
        <v>21000</v>
      </c>
      <c r="I32" s="160"/>
      <c r="Q32" s="160"/>
    </row>
    <row r="33">
      <c r="A33" s="33" t="s">
        <v>369</v>
      </c>
      <c r="B33" s="33" t="s">
        <v>370</v>
      </c>
      <c r="C33" s="33" t="s">
        <v>371</v>
      </c>
      <c r="D33" s="33" t="s">
        <v>372</v>
      </c>
      <c r="E33" s="33" t="s">
        <v>373</v>
      </c>
      <c r="F33" s="33" t="s">
        <v>374</v>
      </c>
      <c r="G33" s="33" t="s">
        <v>375</v>
      </c>
      <c r="H33" s="33" t="s">
        <v>376</v>
      </c>
      <c r="I33" s="103"/>
      <c r="J33" s="103"/>
    </row>
    <row r="34">
      <c r="A34" s="33" t="s">
        <v>377</v>
      </c>
      <c r="B34" s="33" t="s">
        <v>377</v>
      </c>
      <c r="C34" s="33" t="s">
        <v>377</v>
      </c>
      <c r="D34" s="33" t="s">
        <v>377</v>
      </c>
      <c r="E34" s="33" t="s">
        <v>377</v>
      </c>
      <c r="F34" s="33" t="s">
        <v>377</v>
      </c>
      <c r="G34" s="33" t="s">
        <v>377</v>
      </c>
      <c r="H34" s="33" t="s">
        <v>377</v>
      </c>
      <c r="I34" s="33"/>
      <c r="J34" s="33"/>
      <c r="K34" s="33"/>
      <c r="L34" s="33"/>
      <c r="M34" s="33"/>
      <c r="N34" s="33"/>
      <c r="O34" s="33"/>
      <c r="P34" s="33"/>
      <c r="Q34" s="25"/>
      <c r="R34" s="25"/>
      <c r="S34" s="25"/>
      <c r="T34" s="25"/>
      <c r="U34" s="25"/>
      <c r="V34" s="25"/>
      <c r="W34" s="25"/>
      <c r="X34" s="25"/>
    </row>
    <row r="35">
      <c r="A35" s="50">
        <v>0.0</v>
      </c>
      <c r="B35" s="50">
        <v>15000.0</v>
      </c>
      <c r="C35" s="50">
        <v>0.0</v>
      </c>
      <c r="D35" s="50">
        <v>6000.0</v>
      </c>
      <c r="E35" s="50">
        <v>0.0</v>
      </c>
      <c r="F35" s="50">
        <v>0.0</v>
      </c>
      <c r="G35" s="50">
        <v>0.0</v>
      </c>
      <c r="H35" s="50">
        <v>0.0</v>
      </c>
      <c r="I35" s="50"/>
      <c r="J35" s="50"/>
      <c r="K35" s="50"/>
      <c r="L35" s="50"/>
      <c r="M35" s="50"/>
      <c r="N35" s="50"/>
      <c r="O35" s="50"/>
      <c r="P35" s="50"/>
      <c r="Q35" s="161"/>
      <c r="R35" s="161"/>
      <c r="S35" s="161"/>
      <c r="T35" s="161"/>
      <c r="U35" s="161"/>
      <c r="V35" s="161"/>
      <c r="W35" s="161"/>
      <c r="X35" s="161"/>
    </row>
    <row r="36">
      <c r="B36" s="31" t="s">
        <v>1278</v>
      </c>
      <c r="D36" s="31" t="s">
        <v>1315</v>
      </c>
      <c r="Q36" s="77"/>
      <c r="R36" s="77"/>
      <c r="S36" s="77"/>
      <c r="T36" s="77"/>
      <c r="U36" s="77"/>
      <c r="V36" s="77"/>
      <c r="W36" s="77"/>
      <c r="X36" s="77"/>
    </row>
    <row r="37">
      <c r="B37" s="31" t="s">
        <v>1316</v>
      </c>
      <c r="D37" s="31" t="s">
        <v>767</v>
      </c>
    </row>
  </sheetData>
  <mergeCells count="36">
    <mergeCell ref="A1:L1"/>
    <mergeCell ref="A2:L2"/>
    <mergeCell ref="A3:L3"/>
    <mergeCell ref="A4:L4"/>
    <mergeCell ref="E5:I5"/>
    <mergeCell ref="J5:L5"/>
    <mergeCell ref="E6:I6"/>
    <mergeCell ref="J6:L6"/>
    <mergeCell ref="J7:L7"/>
    <mergeCell ref="E8:E9"/>
    <mergeCell ref="J8:L8"/>
    <mergeCell ref="F9:G9"/>
    <mergeCell ref="J10:J14"/>
    <mergeCell ref="J15:J16"/>
    <mergeCell ref="J18:K18"/>
    <mergeCell ref="I30:P30"/>
    <mergeCell ref="I31:P31"/>
    <mergeCell ref="I32:P32"/>
    <mergeCell ref="A31:H31"/>
    <mergeCell ref="A32:H32"/>
    <mergeCell ref="E10:E11"/>
    <mergeCell ref="F11:G11"/>
    <mergeCell ref="A26:H26"/>
    <mergeCell ref="A27:H27"/>
    <mergeCell ref="A28:H28"/>
    <mergeCell ref="A29:H29"/>
    <mergeCell ref="A30:H30"/>
    <mergeCell ref="Q31:X31"/>
    <mergeCell ref="Q32:X32"/>
    <mergeCell ref="L10:L14"/>
    <mergeCell ref="L15:L16"/>
    <mergeCell ref="I28:P28"/>
    <mergeCell ref="Q28:X28"/>
    <mergeCell ref="I29:P29"/>
    <mergeCell ref="Q29:X29"/>
    <mergeCell ref="Q30:X3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41.25"/>
    <col customWidth="1" min="3" max="3" width="38.5"/>
    <col customWidth="1" min="4" max="4" width="39.5"/>
    <col customWidth="1" min="5" max="5" width="29.75"/>
    <col customWidth="1" min="6" max="6" width="32.5"/>
    <col customWidth="1" min="7" max="7" width="21.63"/>
    <col customWidth="1" min="8" max="8" width="26.88"/>
    <col customWidth="1" min="9" max="9" width="22.75"/>
    <col customWidth="1" min="10" max="10" width="29.88"/>
    <col customWidth="1" min="11" max="11" width="30.88"/>
    <col customWidth="1" min="12" max="12" width="24.63"/>
    <col customWidth="1" min="13" max="13" width="22.63"/>
    <col customWidth="1" min="14" max="14" width="16.88"/>
    <col customWidth="1" min="15" max="15" width="32.13"/>
    <col customWidth="1" min="17" max="17" width="14.13"/>
    <col customWidth="1" min="18" max="18" width="17.75"/>
    <col customWidth="1" min="21" max="21" width="22.0"/>
    <col customWidth="1" min="24" max="24" width="17.5"/>
    <col customWidth="1" min="29" max="29" width="30.88"/>
  </cols>
  <sheetData>
    <row r="1">
      <c r="A1" s="162" t="s">
        <v>1317</v>
      </c>
    </row>
    <row r="2">
      <c r="A2" s="162" t="s">
        <v>1318</v>
      </c>
    </row>
    <row r="3">
      <c r="A3" s="163" t="s">
        <v>1319</v>
      </c>
    </row>
    <row r="4">
      <c r="A4" s="163" t="s">
        <v>1320</v>
      </c>
    </row>
    <row r="5">
      <c r="A5" s="163" t="s">
        <v>1321</v>
      </c>
    </row>
    <row r="6">
      <c r="A6" s="164" t="s">
        <v>338</v>
      </c>
    </row>
    <row r="7">
      <c r="A7" s="165">
        <f>100000+B9+C9+D9+F9+G9+I9+A74+E30+L9+F28+E34+N9+W9+F34+T9+Q9</f>
        <v>3834985</v>
      </c>
    </row>
    <row r="8">
      <c r="A8" s="33" t="s">
        <v>339</v>
      </c>
      <c r="B8" s="33" t="s">
        <v>414</v>
      </c>
      <c r="C8" s="33" t="s">
        <v>342</v>
      </c>
      <c r="D8" s="33" t="s">
        <v>1322</v>
      </c>
      <c r="E8" s="33" t="s">
        <v>344</v>
      </c>
      <c r="F8" s="33" t="s">
        <v>1323</v>
      </c>
      <c r="G8" s="33" t="s">
        <v>1324</v>
      </c>
      <c r="I8" s="33" t="s">
        <v>419</v>
      </c>
      <c r="L8" s="33" t="s">
        <v>1325</v>
      </c>
      <c r="N8" s="57" t="s">
        <v>1326</v>
      </c>
      <c r="Q8" s="33" t="s">
        <v>978</v>
      </c>
      <c r="T8" s="57" t="s">
        <v>421</v>
      </c>
      <c r="W8" s="166" t="s">
        <v>422</v>
      </c>
      <c r="AC8" s="33"/>
    </row>
    <row r="9">
      <c r="A9" s="31" t="s">
        <v>1327</v>
      </c>
      <c r="B9" s="165">
        <v>-260000.0</v>
      </c>
      <c r="C9" s="165">
        <v>87000.0</v>
      </c>
      <c r="D9" s="165">
        <v>-1500.0</v>
      </c>
      <c r="E9" s="31" t="s">
        <v>1328</v>
      </c>
      <c r="F9" s="165">
        <v>24000.0</v>
      </c>
      <c r="G9" s="165">
        <v>92600.0</v>
      </c>
      <c r="I9" s="165">
        <f>I11+J11+K11</f>
        <v>-1000</v>
      </c>
      <c r="L9" s="165">
        <v>135000.0</v>
      </c>
      <c r="N9" s="167">
        <f>N11</f>
        <v>403200</v>
      </c>
      <c r="Q9" s="54">
        <f>Q11</f>
        <v>50000</v>
      </c>
      <c r="T9" s="167">
        <f>T11</f>
        <v>1053000</v>
      </c>
      <c r="W9" s="168">
        <f>Z18+Z23+Z40+Z43+Z51+Z54+Z57+Z59+Z61</f>
        <v>481000</v>
      </c>
      <c r="AC9" s="169"/>
    </row>
    <row r="10">
      <c r="A10" s="31" t="s">
        <v>1329</v>
      </c>
      <c r="B10" s="55" t="s">
        <v>349</v>
      </c>
      <c r="C10" s="31" t="s">
        <v>1330</v>
      </c>
      <c r="D10" s="31" t="s">
        <v>1331</v>
      </c>
      <c r="E10" s="31" t="s">
        <v>1332</v>
      </c>
      <c r="F10" s="31" t="s">
        <v>1333</v>
      </c>
      <c r="G10" s="31" t="s">
        <v>445</v>
      </c>
      <c r="H10" s="84" t="s">
        <v>1334</v>
      </c>
      <c r="I10" s="46" t="s">
        <v>432</v>
      </c>
      <c r="J10" s="46" t="s">
        <v>433</v>
      </c>
      <c r="K10" s="46" t="s">
        <v>434</v>
      </c>
      <c r="L10" s="84" t="s">
        <v>1335</v>
      </c>
      <c r="M10" s="84" t="s">
        <v>133</v>
      </c>
      <c r="N10" s="64" t="s">
        <v>435</v>
      </c>
      <c r="Q10" s="33" t="s">
        <v>435</v>
      </c>
      <c r="T10" s="64" t="s">
        <v>435</v>
      </c>
      <c r="W10" s="46" t="s">
        <v>436</v>
      </c>
      <c r="X10" s="46" t="s">
        <v>437</v>
      </c>
      <c r="Y10" s="46" t="s">
        <v>438</v>
      </c>
      <c r="Z10" s="46" t="s">
        <v>0</v>
      </c>
      <c r="AA10" s="46" t="s">
        <v>439</v>
      </c>
    </row>
    <row r="11">
      <c r="A11" s="31" t="s">
        <v>1336</v>
      </c>
      <c r="B11" s="4" t="s">
        <v>22</v>
      </c>
      <c r="C11" s="31" t="s">
        <v>1337</v>
      </c>
      <c r="D11" s="31" t="s">
        <v>1338</v>
      </c>
      <c r="E11" s="31" t="s">
        <v>1339</v>
      </c>
      <c r="F11" s="31" t="s">
        <v>1340</v>
      </c>
      <c r="G11" s="31" t="s">
        <v>1341</v>
      </c>
      <c r="H11" s="31" t="s">
        <v>1342</v>
      </c>
      <c r="I11" s="170">
        <f>K29+K32+K35+K38+K41+K44+K47+K50+K53+K56+K59</f>
        <v>15000</v>
      </c>
      <c r="J11" s="170">
        <v>-11000.0</v>
      </c>
      <c r="K11" s="170">
        <v>-5000.0</v>
      </c>
      <c r="L11" s="31" t="s">
        <v>1343</v>
      </c>
      <c r="M11" s="31" t="s">
        <v>1344</v>
      </c>
      <c r="N11" s="171">
        <f>P13+P17+P18+P21+P23+P25</f>
        <v>403200</v>
      </c>
      <c r="Q11" s="172">
        <f>S13+S14</f>
        <v>50000</v>
      </c>
      <c r="T11" s="171">
        <f>V13+V14+V19+V21+V23+V24+V26+V27+V28</f>
        <v>1053000</v>
      </c>
      <c r="W11" s="173" t="s">
        <v>1345</v>
      </c>
      <c r="X11" s="174" t="s">
        <v>447</v>
      </c>
      <c r="Y11" s="174">
        <v>11.0</v>
      </c>
      <c r="Z11" s="174">
        <f>Y11*1000</f>
        <v>11000</v>
      </c>
      <c r="AA11" s="175">
        <f>Y11*20</f>
        <v>220</v>
      </c>
    </row>
    <row r="12">
      <c r="A12" s="31" t="s">
        <v>1346</v>
      </c>
      <c r="B12" s="4" t="s">
        <v>38</v>
      </c>
      <c r="C12" s="31" t="s">
        <v>1347</v>
      </c>
      <c r="E12" s="31" t="s">
        <v>1348</v>
      </c>
      <c r="F12" s="31" t="s">
        <v>1349</v>
      </c>
      <c r="G12" s="31" t="s">
        <v>1350</v>
      </c>
      <c r="H12" s="31" t="s">
        <v>1351</v>
      </c>
      <c r="I12" s="25"/>
      <c r="J12" s="31" t="s">
        <v>1352</v>
      </c>
      <c r="K12" s="46" t="s">
        <v>455</v>
      </c>
      <c r="L12" s="31" t="s">
        <v>1353</v>
      </c>
      <c r="M12" s="31" t="s">
        <v>1354</v>
      </c>
      <c r="N12" s="46" t="s">
        <v>456</v>
      </c>
      <c r="O12" s="46" t="s">
        <v>457</v>
      </c>
      <c r="P12" s="46" t="s">
        <v>0</v>
      </c>
      <c r="Q12" s="176" t="s">
        <v>456</v>
      </c>
      <c r="R12" s="176" t="s">
        <v>457</v>
      </c>
      <c r="S12" s="176" t="s">
        <v>0</v>
      </c>
      <c r="T12" s="46" t="s">
        <v>456</v>
      </c>
      <c r="U12" s="46" t="s">
        <v>457</v>
      </c>
      <c r="V12" s="46" t="s">
        <v>0</v>
      </c>
      <c r="X12" s="174" t="s">
        <v>500</v>
      </c>
      <c r="Y12" s="174">
        <v>0.5</v>
      </c>
      <c r="Z12" s="175">
        <f>Y12*3000</f>
        <v>1500</v>
      </c>
      <c r="AA12" s="175">
        <f>Y12*40</f>
        <v>20</v>
      </c>
    </row>
    <row r="13">
      <c r="A13" s="31" t="s">
        <v>1355</v>
      </c>
      <c r="B13" s="4" t="s">
        <v>53</v>
      </c>
      <c r="C13" s="31" t="s">
        <v>1356</v>
      </c>
      <c r="E13" s="31" t="s">
        <v>1357</v>
      </c>
      <c r="F13" s="31" t="s">
        <v>1358</v>
      </c>
      <c r="G13" s="31" t="s">
        <v>475</v>
      </c>
      <c r="H13" s="31" t="s">
        <v>1359</v>
      </c>
      <c r="J13" s="31" t="s">
        <v>1360</v>
      </c>
      <c r="K13" s="31" t="s">
        <v>1361</v>
      </c>
      <c r="L13" s="31" t="s">
        <v>1362</v>
      </c>
      <c r="M13" s="31" t="s">
        <v>1363</v>
      </c>
      <c r="N13" s="71" t="s">
        <v>1364</v>
      </c>
      <c r="O13" s="4" t="s">
        <v>1365</v>
      </c>
      <c r="P13" s="71">
        <f>12000+25000+5400</f>
        <v>42400</v>
      </c>
      <c r="Q13" s="26" t="s">
        <v>272</v>
      </c>
      <c r="S13" s="25">
        <v>20000.0</v>
      </c>
      <c r="T13" s="71" t="s">
        <v>1366</v>
      </c>
      <c r="U13" s="71" t="s">
        <v>532</v>
      </c>
      <c r="V13" s="71">
        <v>3000.0</v>
      </c>
      <c r="X13" s="174" t="s">
        <v>654</v>
      </c>
      <c r="Y13" s="174">
        <v>1.5</v>
      </c>
      <c r="Z13" s="175">
        <f>Y13*8000</f>
        <v>12000</v>
      </c>
      <c r="AA13" s="175">
        <f>Y13*80</f>
        <v>120</v>
      </c>
    </row>
    <row r="14">
      <c r="A14" s="45" t="s">
        <v>1367</v>
      </c>
      <c r="B14" s="4" t="s">
        <v>64</v>
      </c>
      <c r="C14" s="31" t="s">
        <v>1368</v>
      </c>
      <c r="E14" s="31" t="s">
        <v>1369</v>
      </c>
      <c r="F14" s="33" t="s">
        <v>1370</v>
      </c>
      <c r="G14" s="31" t="s">
        <v>1371</v>
      </c>
      <c r="H14" s="31" t="s">
        <v>1372</v>
      </c>
      <c r="J14" s="31" t="s">
        <v>1373</v>
      </c>
      <c r="K14" s="31" t="s">
        <v>1374</v>
      </c>
      <c r="L14" s="31" t="s">
        <v>1375</v>
      </c>
      <c r="M14" s="31" t="s">
        <v>1376</v>
      </c>
      <c r="O14" s="4" t="s">
        <v>1377</v>
      </c>
      <c r="Q14" s="71" t="s">
        <v>276</v>
      </c>
      <c r="R14" s="71" t="s">
        <v>135</v>
      </c>
      <c r="S14" s="71">
        <v>30000.0</v>
      </c>
      <c r="T14" s="71" t="s">
        <v>1378</v>
      </c>
      <c r="U14" s="71" t="s">
        <v>1052</v>
      </c>
      <c r="V14" s="71">
        <v>23000.0</v>
      </c>
      <c r="X14" s="174" t="s">
        <v>655</v>
      </c>
      <c r="Y14" s="174">
        <v>1.5</v>
      </c>
      <c r="Z14" s="174">
        <f>Y14*2000</f>
        <v>3000</v>
      </c>
      <c r="AA14" s="175">
        <f>Y14*20</f>
        <v>30</v>
      </c>
    </row>
    <row r="15">
      <c r="A15" s="45" t="s">
        <v>1379</v>
      </c>
      <c r="B15" s="4" t="s">
        <v>73</v>
      </c>
      <c r="C15" s="31" t="s">
        <v>1380</v>
      </c>
      <c r="E15" s="31" t="s">
        <v>1381</v>
      </c>
      <c r="F15" s="31" t="s">
        <v>1382</v>
      </c>
      <c r="G15" s="31" t="s">
        <v>1383</v>
      </c>
      <c r="H15" s="31" t="s">
        <v>1384</v>
      </c>
      <c r="J15" s="31" t="s">
        <v>1385</v>
      </c>
      <c r="K15" s="31" t="s">
        <v>1386</v>
      </c>
      <c r="L15" s="31" t="s">
        <v>1387</v>
      </c>
      <c r="M15" s="31" t="s">
        <v>1388</v>
      </c>
      <c r="O15" s="33" t="s">
        <v>541</v>
      </c>
      <c r="Q15" s="71"/>
      <c r="R15" s="71"/>
      <c r="S15" s="71"/>
      <c r="U15" s="71" t="s">
        <v>543</v>
      </c>
      <c r="X15" s="174" t="s">
        <v>533</v>
      </c>
    </row>
    <row r="16">
      <c r="A16" s="31" t="s">
        <v>1389</v>
      </c>
      <c r="B16" s="4" t="s">
        <v>80</v>
      </c>
      <c r="C16" s="31" t="s">
        <v>1390</v>
      </c>
      <c r="E16" s="31" t="s">
        <v>1391</v>
      </c>
      <c r="F16" s="31" t="s">
        <v>1392</v>
      </c>
      <c r="G16" s="31" t="s">
        <v>1393</v>
      </c>
      <c r="H16" s="31" t="s">
        <v>1394</v>
      </c>
      <c r="J16" s="31" t="s">
        <v>1395</v>
      </c>
      <c r="K16" s="31" t="s">
        <v>1396</v>
      </c>
      <c r="L16" s="31" t="s">
        <v>1397</v>
      </c>
      <c r="M16" s="75">
        <v>50000.0</v>
      </c>
      <c r="O16" s="33" t="s">
        <v>498</v>
      </c>
      <c r="Q16" s="71"/>
      <c r="R16" s="71"/>
      <c r="S16" s="71"/>
      <c r="U16" s="71" t="s">
        <v>1064</v>
      </c>
      <c r="X16" s="174">
        <v>100.0</v>
      </c>
      <c r="Y16" s="174">
        <v>3.5</v>
      </c>
      <c r="Z16" s="175">
        <f t="shared" ref="Z16:Z17" si="1">Y16*1500</f>
        <v>5250</v>
      </c>
      <c r="AA16" s="175">
        <f t="shared" ref="AA16:AA17" si="2">Y16*60</f>
        <v>210</v>
      </c>
    </row>
    <row r="17">
      <c r="A17" s="31" t="s">
        <v>1398</v>
      </c>
      <c r="B17" s="4" t="s">
        <v>86</v>
      </c>
      <c r="C17" s="31" t="s">
        <v>1399</v>
      </c>
      <c r="E17" s="31" t="s">
        <v>1400</v>
      </c>
      <c r="F17" s="31" t="s">
        <v>1401</v>
      </c>
      <c r="G17" s="31" t="s">
        <v>576</v>
      </c>
      <c r="H17" s="31" t="s">
        <v>1402</v>
      </c>
      <c r="J17" s="31" t="s">
        <v>1403</v>
      </c>
      <c r="K17" s="31" t="s">
        <v>1404</v>
      </c>
      <c r="N17" s="71" t="s">
        <v>1405</v>
      </c>
      <c r="O17" s="4" t="s">
        <v>1406</v>
      </c>
      <c r="P17" s="71">
        <f>1000</f>
        <v>1000</v>
      </c>
      <c r="Q17" s="71"/>
      <c r="R17" s="71"/>
      <c r="S17" s="71"/>
      <c r="U17" s="71" t="s">
        <v>510</v>
      </c>
      <c r="X17" s="174" t="s">
        <v>1407</v>
      </c>
      <c r="Y17" s="174">
        <v>1.0</v>
      </c>
      <c r="Z17" s="175">
        <f t="shared" si="1"/>
        <v>1500</v>
      </c>
      <c r="AA17" s="175">
        <f t="shared" si="2"/>
        <v>60</v>
      </c>
    </row>
    <row r="18">
      <c r="A18" s="31" t="s">
        <v>1408</v>
      </c>
      <c r="B18" s="4" t="s">
        <v>93</v>
      </c>
      <c r="C18" s="31" t="s">
        <v>1409</v>
      </c>
      <c r="E18" s="31" t="s">
        <v>1410</v>
      </c>
      <c r="F18" s="31" t="s">
        <v>1411</v>
      </c>
      <c r="G18" s="31" t="s">
        <v>1412</v>
      </c>
      <c r="H18" s="31" t="s">
        <v>1413</v>
      </c>
      <c r="J18" s="31" t="s">
        <v>1414</v>
      </c>
      <c r="K18" s="31" t="s">
        <v>1415</v>
      </c>
      <c r="N18" s="71" t="s">
        <v>1166</v>
      </c>
      <c r="O18" s="4" t="s">
        <v>1040</v>
      </c>
      <c r="P18" s="71">
        <f>3000+5400</f>
        <v>8400</v>
      </c>
      <c r="Q18" s="71"/>
      <c r="R18" s="71"/>
      <c r="S18" s="71"/>
      <c r="U18" s="71" t="s">
        <v>1035</v>
      </c>
      <c r="X18" s="177" t="s">
        <v>470</v>
      </c>
      <c r="Z18" s="178">
        <f t="shared" ref="Z18:AA18" si="3">Z11+Z12+Z16+Z17+Z13+Z14</f>
        <v>34250</v>
      </c>
      <c r="AA18" s="178">
        <f t="shared" si="3"/>
        <v>660</v>
      </c>
    </row>
    <row r="19">
      <c r="A19" s="31" t="s">
        <v>1416</v>
      </c>
      <c r="B19" s="55" t="s">
        <v>48</v>
      </c>
      <c r="C19" s="31" t="s">
        <v>1417</v>
      </c>
      <c r="E19" s="31" t="s">
        <v>1418</v>
      </c>
      <c r="F19" s="31" t="s">
        <v>1419</v>
      </c>
      <c r="G19" s="31" t="s">
        <v>495</v>
      </c>
      <c r="J19" s="31" t="s">
        <v>1420</v>
      </c>
      <c r="K19" s="31" t="s">
        <v>1421</v>
      </c>
      <c r="O19" s="4" t="s">
        <v>489</v>
      </c>
      <c r="Q19" s="71"/>
      <c r="R19" s="71"/>
      <c r="S19" s="71"/>
      <c r="T19" s="71" t="s">
        <v>1422</v>
      </c>
      <c r="U19" s="71" t="s">
        <v>543</v>
      </c>
      <c r="V19" s="71">
        <v>4000.0</v>
      </c>
      <c r="W19" s="173" t="s">
        <v>1423</v>
      </c>
      <c r="X19" s="174" t="s">
        <v>447</v>
      </c>
      <c r="Y19" s="174">
        <v>2.0</v>
      </c>
      <c r="Z19" s="174">
        <f>Y19*1000</f>
        <v>2000</v>
      </c>
      <c r="AA19" s="175">
        <f>Y19*20</f>
        <v>40</v>
      </c>
    </row>
    <row r="20">
      <c r="A20" s="31" t="s">
        <v>1424</v>
      </c>
      <c r="B20" s="4" t="s">
        <v>100</v>
      </c>
      <c r="C20" s="31" t="s">
        <v>1425</v>
      </c>
      <c r="E20" s="31" t="s">
        <v>1426</v>
      </c>
      <c r="F20" s="31" t="s">
        <v>1427</v>
      </c>
      <c r="G20" s="31" t="s">
        <v>538</v>
      </c>
      <c r="H20" s="84" t="s">
        <v>1428</v>
      </c>
      <c r="J20" s="31" t="s">
        <v>1429</v>
      </c>
      <c r="O20" s="33" t="s">
        <v>498</v>
      </c>
      <c r="Q20" s="71"/>
      <c r="R20" s="71"/>
      <c r="S20" s="71"/>
      <c r="U20" s="71" t="s">
        <v>572</v>
      </c>
      <c r="X20" s="174" t="s">
        <v>533</v>
      </c>
    </row>
    <row r="21">
      <c r="A21" s="31" t="s">
        <v>1430</v>
      </c>
      <c r="B21" s="4" t="s">
        <v>101</v>
      </c>
      <c r="C21" s="31" t="s">
        <v>1431</v>
      </c>
      <c r="E21" s="31" t="s">
        <v>1432</v>
      </c>
      <c r="F21" s="31" t="s">
        <v>1433</v>
      </c>
      <c r="G21" s="31" t="s">
        <v>1434</v>
      </c>
      <c r="J21" s="31" t="s">
        <v>1435</v>
      </c>
      <c r="N21" s="71" t="s">
        <v>1436</v>
      </c>
      <c r="O21" s="33" t="s">
        <v>1437</v>
      </c>
      <c r="P21" s="71">
        <f>15000+6000</f>
        <v>21000</v>
      </c>
      <c r="Q21" s="71"/>
      <c r="R21" s="71"/>
      <c r="S21" s="71"/>
      <c r="T21" s="71" t="s">
        <v>1438</v>
      </c>
      <c r="U21" s="71" t="s">
        <v>469</v>
      </c>
      <c r="V21" s="71">
        <v>8000.0</v>
      </c>
      <c r="X21" s="174">
        <v>100.0</v>
      </c>
      <c r="Y21" s="174">
        <v>0.5</v>
      </c>
      <c r="Z21" s="175">
        <f t="shared" ref="Z21:Z22" si="4">Y21*1500</f>
        <v>750</v>
      </c>
      <c r="AA21" s="175">
        <f t="shared" ref="AA21:AA22" si="5">Y21*60</f>
        <v>30</v>
      </c>
    </row>
    <row r="22">
      <c r="A22" s="31" t="s">
        <v>1439</v>
      </c>
      <c r="B22" s="55" t="s">
        <v>69</v>
      </c>
      <c r="C22" s="31" t="s">
        <v>1440</v>
      </c>
      <c r="E22" s="31" t="s">
        <v>1441</v>
      </c>
      <c r="F22" s="31" t="s">
        <v>1442</v>
      </c>
      <c r="G22" s="31" t="s">
        <v>1443</v>
      </c>
      <c r="H22" s="84" t="s">
        <v>1444</v>
      </c>
      <c r="J22" s="31" t="s">
        <v>1445</v>
      </c>
      <c r="K22" s="70"/>
      <c r="O22" s="33" t="s">
        <v>1446</v>
      </c>
      <c r="Q22" s="71"/>
      <c r="R22" s="71"/>
      <c r="S22" s="71"/>
      <c r="U22" s="71" t="s">
        <v>543</v>
      </c>
      <c r="X22" s="174" t="s">
        <v>661</v>
      </c>
      <c r="Y22" s="174">
        <v>2.0</v>
      </c>
      <c r="Z22" s="175">
        <f t="shared" si="4"/>
        <v>3000</v>
      </c>
      <c r="AA22" s="175">
        <f t="shared" si="5"/>
        <v>120</v>
      </c>
    </row>
    <row r="23">
      <c r="A23" s="31" t="s">
        <v>1447</v>
      </c>
      <c r="B23" s="4" t="s">
        <v>60</v>
      </c>
      <c r="C23" s="31" t="s">
        <v>1448</v>
      </c>
      <c r="E23" s="31" t="s">
        <v>1449</v>
      </c>
      <c r="G23" s="31" t="s">
        <v>1393</v>
      </c>
      <c r="J23" s="31" t="s">
        <v>1450</v>
      </c>
      <c r="K23" s="77"/>
      <c r="N23" s="71" t="s">
        <v>1451</v>
      </c>
      <c r="O23" s="33" t="s">
        <v>571</v>
      </c>
      <c r="P23" s="71">
        <f>25000+5400</f>
        <v>30400</v>
      </c>
      <c r="Q23" s="71"/>
      <c r="R23" s="71"/>
      <c r="S23" s="71"/>
      <c r="T23" s="71" t="s">
        <v>1452</v>
      </c>
      <c r="U23" s="71" t="s">
        <v>532</v>
      </c>
      <c r="V23" s="71">
        <v>3000.0</v>
      </c>
      <c r="X23" s="177" t="s">
        <v>470</v>
      </c>
      <c r="Z23" s="178">
        <f t="shared" ref="Z23:AA23" si="6">Z19+Z21+Z22</f>
        <v>5750</v>
      </c>
      <c r="AA23" s="178">
        <f t="shared" si="6"/>
        <v>190</v>
      </c>
    </row>
    <row r="24">
      <c r="A24" s="31" t="s">
        <v>1453</v>
      </c>
      <c r="C24" s="31" t="s">
        <v>1454</v>
      </c>
      <c r="E24" s="31" t="s">
        <v>1455</v>
      </c>
      <c r="G24" s="31" t="s">
        <v>1456</v>
      </c>
      <c r="J24" s="31" t="s">
        <v>1457</v>
      </c>
      <c r="O24" s="33" t="s">
        <v>498</v>
      </c>
      <c r="Q24" s="71"/>
      <c r="R24" s="71"/>
      <c r="S24" s="71"/>
      <c r="T24" s="71" t="s">
        <v>1458</v>
      </c>
      <c r="U24" s="71" t="s">
        <v>469</v>
      </c>
      <c r="V24" s="71">
        <v>8000.0</v>
      </c>
      <c r="W24" s="173" t="s">
        <v>1459</v>
      </c>
      <c r="X24" s="174" t="s">
        <v>447</v>
      </c>
      <c r="Y24" s="174">
        <v>17.5</v>
      </c>
      <c r="Z24" s="174">
        <f>Y24*1000</f>
        <v>17500</v>
      </c>
      <c r="AA24" s="175">
        <f t="shared" ref="AA24:AA25" si="7">Y24*20</f>
        <v>350</v>
      </c>
    </row>
    <row r="25">
      <c r="A25" s="31" t="s">
        <v>1460</v>
      </c>
      <c r="C25" s="31" t="s">
        <v>1461</v>
      </c>
      <c r="E25" s="31" t="s">
        <v>1462</v>
      </c>
      <c r="G25" s="31" t="s">
        <v>1463</v>
      </c>
      <c r="J25" s="31" t="s">
        <v>1464</v>
      </c>
      <c r="N25" s="33" t="s">
        <v>148</v>
      </c>
      <c r="P25" s="33">
        <v>300000.0</v>
      </c>
      <c r="Q25" s="33"/>
      <c r="R25" s="33"/>
      <c r="S25" s="33"/>
      <c r="U25" s="71" t="s">
        <v>532</v>
      </c>
      <c r="X25" s="174" t="s">
        <v>655</v>
      </c>
      <c r="Y25" s="174">
        <v>4.0</v>
      </c>
      <c r="Z25" s="174">
        <f t="shared" ref="Z25:Z26" si="8">Y25*2000</f>
        <v>8000</v>
      </c>
      <c r="AA25" s="175">
        <f t="shared" si="7"/>
        <v>80</v>
      </c>
    </row>
    <row r="26">
      <c r="A26" s="31" t="s">
        <v>1465</v>
      </c>
      <c r="C26" s="31" t="s">
        <v>1001</v>
      </c>
      <c r="E26" s="31" t="s">
        <v>1466</v>
      </c>
      <c r="G26" s="31" t="s">
        <v>1467</v>
      </c>
      <c r="T26" s="4" t="s">
        <v>1468</v>
      </c>
      <c r="U26" s="71" t="s">
        <v>543</v>
      </c>
      <c r="V26" s="4">
        <v>3000.0</v>
      </c>
      <c r="X26" s="174" t="s">
        <v>523</v>
      </c>
      <c r="Y26" s="174">
        <v>7.5</v>
      </c>
      <c r="Z26" s="175">
        <f t="shared" si="8"/>
        <v>15000</v>
      </c>
      <c r="AA26" s="175">
        <f t="shared" ref="AA26:AA27" si="9">Y26*40</f>
        <v>300</v>
      </c>
    </row>
    <row r="27">
      <c r="A27" s="31" t="s">
        <v>1469</v>
      </c>
      <c r="C27" s="31" t="s">
        <v>1470</v>
      </c>
      <c r="E27" s="31" t="s">
        <v>1471</v>
      </c>
      <c r="F27" s="33" t="s">
        <v>1472</v>
      </c>
      <c r="G27" s="31" t="s">
        <v>1473</v>
      </c>
      <c r="I27" s="170" t="s">
        <v>594</v>
      </c>
      <c r="T27" s="4" t="s">
        <v>1474</v>
      </c>
      <c r="U27" s="71" t="s">
        <v>572</v>
      </c>
      <c r="V27" s="4">
        <v>1000.0</v>
      </c>
      <c r="X27" s="174" t="s">
        <v>500</v>
      </c>
      <c r="Y27" s="174">
        <v>20.0</v>
      </c>
      <c r="Z27" s="175">
        <f>Y27*3000</f>
        <v>60000</v>
      </c>
      <c r="AA27" s="175">
        <f t="shared" si="9"/>
        <v>800</v>
      </c>
    </row>
    <row r="28">
      <c r="C28" s="31" t="s">
        <v>1475</v>
      </c>
      <c r="F28" s="54">
        <v>-10000.0</v>
      </c>
      <c r="G28" s="31" t="s">
        <v>1383</v>
      </c>
      <c r="I28" s="179" t="s">
        <v>456</v>
      </c>
      <c r="J28" s="179" t="s">
        <v>457</v>
      </c>
      <c r="K28" s="179" t="s">
        <v>0</v>
      </c>
      <c r="T28" s="33" t="s">
        <v>217</v>
      </c>
      <c r="V28" s="4">
        <v>1000000.0</v>
      </c>
      <c r="X28" s="174" t="s">
        <v>590</v>
      </c>
      <c r="Y28" s="174">
        <v>7.0</v>
      </c>
      <c r="Z28" s="175">
        <f>Y28*5000</f>
        <v>35000</v>
      </c>
      <c r="AA28" s="175">
        <f>Y28*100</f>
        <v>700</v>
      </c>
    </row>
    <row r="29">
      <c r="C29" s="31" t="s">
        <v>1476</v>
      </c>
      <c r="E29" s="33" t="s">
        <v>1477</v>
      </c>
      <c r="F29" s="31" t="s">
        <v>431</v>
      </c>
      <c r="G29" s="31" t="s">
        <v>505</v>
      </c>
      <c r="I29" s="71" t="s">
        <v>1478</v>
      </c>
      <c r="J29" s="71" t="s">
        <v>650</v>
      </c>
      <c r="K29" s="71">
        <v>500.0</v>
      </c>
      <c r="X29" s="174" t="s">
        <v>458</v>
      </c>
      <c r="Y29" s="174">
        <v>4.5</v>
      </c>
      <c r="Z29" s="174">
        <f>Y29*6000</f>
        <v>27000</v>
      </c>
      <c r="AA29" s="175">
        <f>Y29*40</f>
        <v>180</v>
      </c>
    </row>
    <row r="30">
      <c r="A30" s="45"/>
      <c r="C30" s="31" t="s">
        <v>1479</v>
      </c>
      <c r="E30" s="165">
        <v>40000.0</v>
      </c>
      <c r="G30" s="31" t="s">
        <v>1480</v>
      </c>
      <c r="J30" s="71" t="s">
        <v>644</v>
      </c>
      <c r="X30" s="174" t="s">
        <v>654</v>
      </c>
      <c r="Y30" s="174">
        <v>17.0</v>
      </c>
      <c r="Z30" s="175">
        <f>Y30*8000</f>
        <v>136000</v>
      </c>
      <c r="AA30" s="175">
        <f>Y30*80</f>
        <v>1360</v>
      </c>
    </row>
    <row r="31">
      <c r="C31" s="31" t="s">
        <v>1481</v>
      </c>
      <c r="E31" s="4" t="s">
        <v>1482</v>
      </c>
      <c r="F31" s="76"/>
      <c r="G31" s="31" t="s">
        <v>1483</v>
      </c>
      <c r="J31" s="71" t="s">
        <v>652</v>
      </c>
      <c r="X31" s="174" t="s">
        <v>511</v>
      </c>
      <c r="Y31" s="174">
        <v>7.0</v>
      </c>
      <c r="Z31" s="175">
        <f>Y31*10000</f>
        <v>70000</v>
      </c>
      <c r="AA31" s="175">
        <f>Y31*100</f>
        <v>700</v>
      </c>
    </row>
    <row r="32">
      <c r="C32" s="31" t="s">
        <v>1484</v>
      </c>
      <c r="F32" s="31"/>
      <c r="G32" s="31" t="s">
        <v>1485</v>
      </c>
      <c r="I32" s="71" t="s">
        <v>1486</v>
      </c>
      <c r="J32" s="71" t="s">
        <v>1487</v>
      </c>
      <c r="K32" s="71">
        <v>6000.0</v>
      </c>
      <c r="X32" s="174" t="s">
        <v>1488</v>
      </c>
      <c r="Y32" s="174">
        <v>2.5</v>
      </c>
      <c r="Z32" s="175">
        <f>Y32*4000</f>
        <v>10000</v>
      </c>
      <c r="AA32" s="175">
        <f>Y32*80</f>
        <v>200</v>
      </c>
    </row>
    <row r="33">
      <c r="C33" s="31" t="s">
        <v>1489</v>
      </c>
      <c r="E33" s="33" t="s">
        <v>1086</v>
      </c>
      <c r="F33" s="33" t="s">
        <v>102</v>
      </c>
      <c r="G33" s="31" t="s">
        <v>1463</v>
      </c>
      <c r="J33" s="71" t="s">
        <v>635</v>
      </c>
      <c r="X33" s="174" t="s">
        <v>533</v>
      </c>
    </row>
    <row r="34">
      <c r="C34" s="31" t="s">
        <v>1490</v>
      </c>
      <c r="E34" s="165">
        <v>100000.0</v>
      </c>
      <c r="F34" s="165">
        <v>300000.0</v>
      </c>
      <c r="G34" s="31" t="s">
        <v>1491</v>
      </c>
      <c r="J34" s="71" t="s">
        <v>647</v>
      </c>
      <c r="X34" s="174">
        <v>100.0</v>
      </c>
      <c r="Y34" s="174">
        <v>3.0</v>
      </c>
      <c r="Z34" s="175">
        <f t="shared" ref="Z34:Z39" si="10">Y34*1500</f>
        <v>4500</v>
      </c>
      <c r="AA34" s="175">
        <f t="shared" ref="AA34:AA39" si="11">Y34*60</f>
        <v>180</v>
      </c>
    </row>
    <row r="35">
      <c r="C35" s="31" t="s">
        <v>1492</v>
      </c>
      <c r="E35" s="4" t="s">
        <v>1493</v>
      </c>
      <c r="F35" s="31" t="s">
        <v>1494</v>
      </c>
      <c r="G35" s="31" t="s">
        <v>1495</v>
      </c>
      <c r="I35" s="71" t="s">
        <v>1496</v>
      </c>
      <c r="J35" s="71" t="s">
        <v>650</v>
      </c>
      <c r="K35" s="71">
        <v>500.0</v>
      </c>
      <c r="X35" s="174" t="s">
        <v>1101</v>
      </c>
      <c r="Y35" s="174">
        <v>4.0</v>
      </c>
      <c r="Z35" s="175">
        <f t="shared" si="10"/>
        <v>6000</v>
      </c>
      <c r="AA35" s="175">
        <f t="shared" si="11"/>
        <v>240</v>
      </c>
    </row>
    <row r="36">
      <c r="C36" s="31" t="s">
        <v>1055</v>
      </c>
      <c r="E36" s="4" t="s">
        <v>1497</v>
      </c>
      <c r="F36" s="31" t="s">
        <v>1498</v>
      </c>
      <c r="G36" s="31" t="s">
        <v>1443</v>
      </c>
      <c r="J36" s="71" t="s">
        <v>644</v>
      </c>
      <c r="X36" s="174" t="s">
        <v>657</v>
      </c>
      <c r="Y36" s="174">
        <v>3.0</v>
      </c>
      <c r="Z36" s="175">
        <f t="shared" si="10"/>
        <v>4500</v>
      </c>
      <c r="AA36" s="175">
        <f t="shared" si="11"/>
        <v>180</v>
      </c>
    </row>
    <row r="37">
      <c r="C37" s="31" t="s">
        <v>1499</v>
      </c>
      <c r="E37" s="4" t="s">
        <v>1500</v>
      </c>
      <c r="F37" s="31" t="s">
        <v>1501</v>
      </c>
      <c r="G37" s="31" t="s">
        <v>576</v>
      </c>
      <c r="J37" s="71" t="s">
        <v>652</v>
      </c>
      <c r="X37" s="174" t="s">
        <v>614</v>
      </c>
      <c r="Y37" s="174">
        <v>5.0</v>
      </c>
      <c r="Z37" s="175">
        <f t="shared" si="10"/>
        <v>7500</v>
      </c>
      <c r="AA37" s="175">
        <f t="shared" si="11"/>
        <v>300</v>
      </c>
    </row>
    <row r="38">
      <c r="C38" s="31" t="s">
        <v>1502</v>
      </c>
      <c r="E38" s="4" t="s">
        <v>1503</v>
      </c>
      <c r="G38" s="31" t="s">
        <v>1412</v>
      </c>
      <c r="I38" s="71" t="s">
        <v>1504</v>
      </c>
      <c r="J38" s="71" t="s">
        <v>631</v>
      </c>
      <c r="K38" s="71">
        <v>2000.0</v>
      </c>
      <c r="X38" s="174" t="s">
        <v>552</v>
      </c>
      <c r="Y38" s="174">
        <v>2.0</v>
      </c>
      <c r="Z38" s="175">
        <f t="shared" si="10"/>
        <v>3000</v>
      </c>
      <c r="AA38" s="175">
        <f t="shared" si="11"/>
        <v>120</v>
      </c>
    </row>
    <row r="39">
      <c r="C39" s="31" t="s">
        <v>1505</v>
      </c>
      <c r="G39" s="31" t="s">
        <v>1506</v>
      </c>
      <c r="J39" s="71" t="s">
        <v>635</v>
      </c>
      <c r="X39" s="174" t="s">
        <v>661</v>
      </c>
      <c r="Y39" s="174">
        <v>4.0</v>
      </c>
      <c r="Z39" s="175">
        <f t="shared" si="10"/>
        <v>6000</v>
      </c>
      <c r="AA39" s="175">
        <f t="shared" si="11"/>
        <v>240</v>
      </c>
    </row>
    <row r="40">
      <c r="C40" s="31" t="s">
        <v>1507</v>
      </c>
      <c r="E40" s="31"/>
      <c r="G40" s="31" t="s">
        <v>475</v>
      </c>
      <c r="J40" s="71" t="s">
        <v>625</v>
      </c>
      <c r="X40" s="177" t="s">
        <v>470</v>
      </c>
      <c r="Z40" s="178">
        <f t="shared" ref="Z40:AA40" si="12">Z24+Z25+Z26+Z27+Z28+Z29+Z30+Z34+Z35+Z36+Z37+Z38+Z39+Z31+Z32</f>
        <v>410000</v>
      </c>
      <c r="AA40" s="178">
        <f t="shared" si="12"/>
        <v>5930</v>
      </c>
    </row>
    <row r="41">
      <c r="C41" s="31" t="s">
        <v>637</v>
      </c>
      <c r="G41" s="31" t="s">
        <v>486</v>
      </c>
      <c r="I41" s="71" t="s">
        <v>1452</v>
      </c>
      <c r="J41" s="71" t="s">
        <v>650</v>
      </c>
      <c r="K41" s="71">
        <v>1500.0</v>
      </c>
      <c r="W41" s="173" t="s">
        <v>1508</v>
      </c>
      <c r="X41" s="174" t="s">
        <v>533</v>
      </c>
    </row>
    <row r="42">
      <c r="C42" s="31" t="s">
        <v>1509</v>
      </c>
      <c r="G42" s="31" t="s">
        <v>1510</v>
      </c>
      <c r="J42" s="71" t="s">
        <v>621</v>
      </c>
      <c r="X42" s="174">
        <v>100.0</v>
      </c>
      <c r="Y42" s="174">
        <v>0.5</v>
      </c>
      <c r="Z42" s="175">
        <f>Y42*1500</f>
        <v>750</v>
      </c>
      <c r="AA42" s="175">
        <f>Y42*60</f>
        <v>30</v>
      </c>
    </row>
    <row r="43">
      <c r="C43" s="31" t="s">
        <v>1511</v>
      </c>
      <c r="G43" s="31" t="s">
        <v>1512</v>
      </c>
      <c r="J43" s="71" t="s">
        <v>613</v>
      </c>
      <c r="X43" s="177" t="s">
        <v>470</v>
      </c>
      <c r="Z43" s="178">
        <f t="shared" ref="Z43:AA43" si="13">Z42</f>
        <v>750</v>
      </c>
      <c r="AA43" s="178">
        <f t="shared" si="13"/>
        <v>30</v>
      </c>
    </row>
    <row r="44">
      <c r="C44" s="31" t="s">
        <v>1513</v>
      </c>
      <c r="G44" s="31" t="s">
        <v>505</v>
      </c>
      <c r="I44" s="71" t="s">
        <v>1514</v>
      </c>
      <c r="J44" s="71" t="s">
        <v>650</v>
      </c>
      <c r="K44" s="71">
        <v>500.0</v>
      </c>
      <c r="W44" s="173" t="s">
        <v>1515</v>
      </c>
      <c r="X44" s="174" t="s">
        <v>447</v>
      </c>
      <c r="Y44" s="174">
        <v>4.0</v>
      </c>
      <c r="Z44" s="174">
        <f>Y44*1000</f>
        <v>4000</v>
      </c>
      <c r="AA44" s="175">
        <f>Y44*20</f>
        <v>80</v>
      </c>
    </row>
    <row r="45">
      <c r="C45" s="31" t="s">
        <v>1516</v>
      </c>
      <c r="G45" s="31" t="s">
        <v>1517</v>
      </c>
      <c r="J45" s="71" t="s">
        <v>644</v>
      </c>
      <c r="X45" s="174" t="s">
        <v>500</v>
      </c>
      <c r="Y45" s="174">
        <v>1.0</v>
      </c>
      <c r="Z45" s="175">
        <f>Y45*3000</f>
        <v>3000</v>
      </c>
      <c r="AA45" s="175">
        <f>Y45*40</f>
        <v>40</v>
      </c>
    </row>
    <row r="46">
      <c r="C46" s="31" t="s">
        <v>1518</v>
      </c>
      <c r="G46" s="31" t="s">
        <v>475</v>
      </c>
      <c r="J46" s="71" t="s">
        <v>652</v>
      </c>
      <c r="X46" s="174" t="s">
        <v>654</v>
      </c>
      <c r="Y46" s="174">
        <v>1.5</v>
      </c>
      <c r="Z46" s="175">
        <f>Y46*8000</f>
        <v>12000</v>
      </c>
      <c r="AA46" s="175">
        <f>Y46*80</f>
        <v>120</v>
      </c>
    </row>
    <row r="47">
      <c r="G47" s="31" t="s">
        <v>1519</v>
      </c>
      <c r="I47" s="71" t="s">
        <v>1520</v>
      </c>
      <c r="J47" s="71" t="s">
        <v>650</v>
      </c>
      <c r="K47" s="71">
        <v>500.0</v>
      </c>
      <c r="X47" s="174" t="s">
        <v>655</v>
      </c>
      <c r="Y47" s="174">
        <v>1.0</v>
      </c>
      <c r="Z47" s="174">
        <f t="shared" ref="Z47:Z48" si="14">Y47*2000</f>
        <v>2000</v>
      </c>
      <c r="AA47" s="175">
        <f>Y47*20</f>
        <v>20</v>
      </c>
    </row>
    <row r="48">
      <c r="G48" s="31" t="s">
        <v>569</v>
      </c>
      <c r="J48" s="71" t="s">
        <v>644</v>
      </c>
      <c r="X48" s="174" t="s">
        <v>523</v>
      </c>
      <c r="Y48" s="174">
        <v>1.0</v>
      </c>
      <c r="Z48" s="175">
        <f t="shared" si="14"/>
        <v>2000</v>
      </c>
      <c r="AA48" s="175">
        <f>Y48*40</f>
        <v>40</v>
      </c>
    </row>
    <row r="49">
      <c r="G49" s="31" t="s">
        <v>1521</v>
      </c>
      <c r="J49" s="71" t="s">
        <v>652</v>
      </c>
      <c r="X49" s="174" t="s">
        <v>533</v>
      </c>
    </row>
    <row r="50">
      <c r="G50" s="31" t="s">
        <v>1522</v>
      </c>
      <c r="I50" s="71" t="s">
        <v>1523</v>
      </c>
      <c r="J50" s="71" t="s">
        <v>650</v>
      </c>
      <c r="K50" s="71">
        <v>500.0</v>
      </c>
      <c r="X50" s="174">
        <v>100.0</v>
      </c>
      <c r="Y50" s="174">
        <v>0.5</v>
      </c>
      <c r="Z50" s="175">
        <f>Y50*1500</f>
        <v>750</v>
      </c>
      <c r="AA50" s="175">
        <f>Y50*60</f>
        <v>30</v>
      </c>
    </row>
    <row r="51">
      <c r="G51" s="31" t="s">
        <v>1512</v>
      </c>
      <c r="J51" s="71" t="s">
        <v>644</v>
      </c>
      <c r="X51" s="177" t="s">
        <v>470</v>
      </c>
      <c r="Z51" s="178">
        <f t="shared" ref="Z51:AA51" si="15">Z50+Z46+Z45+Z44+Z47+Z48</f>
        <v>23750</v>
      </c>
      <c r="AA51" s="178">
        <f t="shared" si="15"/>
        <v>330</v>
      </c>
    </row>
    <row r="52">
      <c r="G52" s="31" t="s">
        <v>1521</v>
      </c>
      <c r="J52" s="71" t="s">
        <v>652</v>
      </c>
      <c r="W52" s="173" t="s">
        <v>1524</v>
      </c>
      <c r="X52" s="174" t="s">
        <v>533</v>
      </c>
    </row>
    <row r="53">
      <c r="I53" s="71" t="s">
        <v>1525</v>
      </c>
      <c r="J53" s="71" t="s">
        <v>650</v>
      </c>
      <c r="K53" s="71">
        <v>500.0</v>
      </c>
      <c r="X53" s="174">
        <v>100.0</v>
      </c>
      <c r="Y53" s="174">
        <v>2.0</v>
      </c>
      <c r="Z53" s="175">
        <f>Y53*1500</f>
        <v>3000</v>
      </c>
      <c r="AA53" s="175">
        <f>Y53*60</f>
        <v>120</v>
      </c>
    </row>
    <row r="54">
      <c r="J54" s="71" t="s">
        <v>644</v>
      </c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X54" s="177" t="s">
        <v>470</v>
      </c>
      <c r="Z54" s="178">
        <f t="shared" ref="Z54:AA54" si="16">Z53</f>
        <v>3000</v>
      </c>
      <c r="AA54" s="178">
        <f t="shared" si="16"/>
        <v>120</v>
      </c>
      <c r="AB54" s="105"/>
    </row>
    <row r="55">
      <c r="J55" s="71" t="s">
        <v>652</v>
      </c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73" t="s">
        <v>1144</v>
      </c>
      <c r="X55" s="174" t="s">
        <v>533</v>
      </c>
      <c r="AB55" s="105"/>
    </row>
    <row r="56">
      <c r="I56" s="71" t="s">
        <v>1526</v>
      </c>
      <c r="J56" s="71" t="s">
        <v>605</v>
      </c>
      <c r="K56" s="71">
        <v>1500.0</v>
      </c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X56" s="174" t="s">
        <v>1407</v>
      </c>
      <c r="Y56" s="174">
        <v>1.0</v>
      </c>
      <c r="Z56" s="175">
        <f>Y56*1500</f>
        <v>1500</v>
      </c>
      <c r="AA56" s="175">
        <f>Y56*60</f>
        <v>60</v>
      </c>
      <c r="AB56" s="105"/>
      <c r="AC56" s="105"/>
      <c r="AG56" s="105"/>
    </row>
    <row r="57">
      <c r="J57" s="71" t="s">
        <v>635</v>
      </c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X57" s="177" t="s">
        <v>470</v>
      </c>
      <c r="Z57" s="178">
        <f t="shared" ref="Z57:AA57" si="17">Z56</f>
        <v>1500</v>
      </c>
      <c r="AA57" s="178">
        <f t="shared" si="17"/>
        <v>60</v>
      </c>
      <c r="AB57" s="105"/>
      <c r="AC57" s="105"/>
      <c r="AG57" s="105"/>
    </row>
    <row r="58">
      <c r="J58" s="71" t="s">
        <v>613</v>
      </c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73" t="s">
        <v>1474</v>
      </c>
      <c r="X58" s="174" t="s">
        <v>447</v>
      </c>
      <c r="Y58" s="174">
        <v>1.0</v>
      </c>
      <c r="Z58" s="174">
        <f>Y58*1000</f>
        <v>1000</v>
      </c>
      <c r="AA58" s="175">
        <f>Y58*20</f>
        <v>20</v>
      </c>
      <c r="AB58" s="105"/>
      <c r="AC58" s="105"/>
      <c r="AG58" s="105"/>
    </row>
    <row r="59">
      <c r="I59" s="71" t="s">
        <v>1527</v>
      </c>
      <c r="J59" s="71" t="s">
        <v>650</v>
      </c>
      <c r="K59" s="71">
        <v>1000.0</v>
      </c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X59" s="177" t="s">
        <v>470</v>
      </c>
      <c r="Z59" s="178">
        <f t="shared" ref="Z59:AA59" si="18">Z58</f>
        <v>1000</v>
      </c>
      <c r="AA59" s="178">
        <f t="shared" si="18"/>
        <v>20</v>
      </c>
      <c r="AB59" s="105"/>
      <c r="AC59" s="105"/>
      <c r="AG59" s="105"/>
    </row>
    <row r="60">
      <c r="J60" s="71" t="s">
        <v>621</v>
      </c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73" t="s">
        <v>1528</v>
      </c>
      <c r="X60" s="174" t="s">
        <v>447</v>
      </c>
      <c r="Y60" s="174">
        <v>1.0</v>
      </c>
      <c r="Z60" s="174">
        <f>Y60*1000</f>
        <v>1000</v>
      </c>
      <c r="AA60" s="175">
        <f>Y60*20</f>
        <v>20</v>
      </c>
      <c r="AB60" s="105"/>
      <c r="AC60" s="105"/>
      <c r="AG60" s="105"/>
    </row>
    <row r="61">
      <c r="J61" s="71" t="s">
        <v>652</v>
      </c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X61" s="177" t="s">
        <v>470</v>
      </c>
      <c r="Z61" s="178">
        <f t="shared" ref="Z61:AA61" si="19">Z60</f>
        <v>1000</v>
      </c>
      <c r="AA61" s="178">
        <f t="shared" si="19"/>
        <v>20</v>
      </c>
      <c r="AB61" s="105"/>
      <c r="AC61" s="105"/>
      <c r="AG61" s="105"/>
    </row>
    <row r="62"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AB62" s="105"/>
      <c r="AC62" s="105"/>
      <c r="AG62" s="105"/>
    </row>
    <row r="63"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AB63" s="105"/>
      <c r="AC63" s="105"/>
      <c r="AG63" s="105"/>
    </row>
    <row r="64"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X64" s="105"/>
      <c r="Y64" s="105"/>
      <c r="Z64" s="105"/>
      <c r="AA64" s="105"/>
      <c r="AB64" s="105"/>
      <c r="AC64" s="105"/>
      <c r="AG64" s="105"/>
    </row>
    <row r="65"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G65" s="105"/>
    </row>
    <row r="71">
      <c r="AF71" s="105"/>
    </row>
    <row r="72">
      <c r="AF72" s="105"/>
    </row>
    <row r="73">
      <c r="A73" s="47" t="s">
        <v>1529</v>
      </c>
      <c r="F73" s="105"/>
      <c r="AF73" s="105"/>
    </row>
    <row r="74">
      <c r="A74" s="47">
        <f>A138+A117+A103+A76+A154+A169+A195+A208+A233+A244</f>
        <v>1241685</v>
      </c>
      <c r="F74" s="105"/>
      <c r="AF74" s="105"/>
    </row>
    <row r="75">
      <c r="A75" s="82" t="s">
        <v>1530</v>
      </c>
      <c r="F75" s="105"/>
      <c r="AF75" s="105"/>
    </row>
    <row r="76">
      <c r="A76" s="82">
        <v>145500.0</v>
      </c>
      <c r="F76" s="105"/>
      <c r="AF76" s="105"/>
    </row>
    <row r="77">
      <c r="A77" s="82">
        <v>2026.0</v>
      </c>
      <c r="F77" s="105"/>
      <c r="AF77" s="105"/>
    </row>
    <row r="78">
      <c r="A78" s="180" t="s">
        <v>1531</v>
      </c>
      <c r="F78" s="105"/>
      <c r="AF78" s="105"/>
    </row>
    <row r="79">
      <c r="A79" s="82" t="s">
        <v>1532</v>
      </c>
      <c r="F79" s="105"/>
      <c r="AF79" s="105"/>
    </row>
    <row r="80">
      <c r="A80" s="50" t="s">
        <v>665</v>
      </c>
      <c r="B80" s="50" t="s">
        <v>119</v>
      </c>
      <c r="C80" s="50" t="s">
        <v>142</v>
      </c>
      <c r="D80" s="50" t="s">
        <v>126</v>
      </c>
      <c r="E80" s="50" t="s">
        <v>130</v>
      </c>
      <c r="F80" s="105"/>
      <c r="AF80" s="105"/>
    </row>
    <row r="81">
      <c r="A81" s="84" t="s">
        <v>1533</v>
      </c>
      <c r="B81" s="84" t="s">
        <v>1534</v>
      </c>
      <c r="C81" s="84" t="s">
        <v>1533</v>
      </c>
      <c r="D81" s="84" t="s">
        <v>1535</v>
      </c>
      <c r="E81" s="84" t="s">
        <v>1536</v>
      </c>
    </row>
    <row r="82">
      <c r="A82" s="75" t="s">
        <v>1537</v>
      </c>
      <c r="B82" s="75" t="s">
        <v>1538</v>
      </c>
      <c r="C82" s="75" t="s">
        <v>796</v>
      </c>
      <c r="D82" s="75" t="s">
        <v>1539</v>
      </c>
      <c r="E82" s="75" t="s">
        <v>1540</v>
      </c>
    </row>
    <row r="83">
      <c r="A83" s="75" t="s">
        <v>1541</v>
      </c>
      <c r="B83" s="75" t="s">
        <v>1541</v>
      </c>
      <c r="C83" s="75" t="s">
        <v>1541</v>
      </c>
      <c r="D83" s="75" t="s">
        <v>1541</v>
      </c>
      <c r="E83" s="75" t="s">
        <v>1541</v>
      </c>
    </row>
    <row r="84">
      <c r="A84" s="75" t="s">
        <v>1542</v>
      </c>
      <c r="B84" s="31" t="s">
        <v>678</v>
      </c>
      <c r="C84" s="75" t="s">
        <v>1543</v>
      </c>
      <c r="D84" s="31" t="s">
        <v>1544</v>
      </c>
      <c r="E84" s="31" t="s">
        <v>1545</v>
      </c>
    </row>
    <row r="85">
      <c r="A85" s="75" t="s">
        <v>1546</v>
      </c>
      <c r="B85" s="31" t="s">
        <v>676</v>
      </c>
      <c r="C85" s="75" t="s">
        <v>1546</v>
      </c>
      <c r="D85" s="31" t="s">
        <v>1547</v>
      </c>
      <c r="E85" s="31" t="s">
        <v>1548</v>
      </c>
    </row>
    <row r="86">
      <c r="A86" s="31" t="s">
        <v>1549</v>
      </c>
      <c r="B86" s="31" t="s">
        <v>1545</v>
      </c>
      <c r="C86" s="31" t="s">
        <v>1550</v>
      </c>
      <c r="D86" s="75" t="s">
        <v>1551</v>
      </c>
      <c r="E86" s="75" t="s">
        <v>1378</v>
      </c>
    </row>
    <row r="87">
      <c r="A87" s="31" t="s">
        <v>907</v>
      </c>
      <c r="B87" s="75" t="s">
        <v>1486</v>
      </c>
      <c r="C87" s="31" t="s">
        <v>907</v>
      </c>
      <c r="D87" s="75" t="s">
        <v>1546</v>
      </c>
      <c r="E87" s="75" t="s">
        <v>1546</v>
      </c>
    </row>
    <row r="88">
      <c r="A88" s="181" t="s">
        <v>1552</v>
      </c>
      <c r="B88" s="75" t="s">
        <v>1546</v>
      </c>
      <c r="C88" s="181" t="s">
        <v>1553</v>
      </c>
      <c r="D88" s="31" t="s">
        <v>1544</v>
      </c>
      <c r="E88" s="31" t="s">
        <v>1554</v>
      </c>
      <c r="K88" s="105"/>
    </row>
    <row r="89">
      <c r="A89" s="181" t="s">
        <v>704</v>
      </c>
      <c r="B89" s="31" t="s">
        <v>1555</v>
      </c>
      <c r="C89" s="181" t="s">
        <v>704</v>
      </c>
      <c r="D89" s="31" t="s">
        <v>676</v>
      </c>
      <c r="E89" s="31" t="s">
        <v>1556</v>
      </c>
      <c r="K89" s="105"/>
    </row>
    <row r="90">
      <c r="B90" s="31" t="s">
        <v>907</v>
      </c>
      <c r="D90" s="31" t="s">
        <v>680</v>
      </c>
      <c r="E90" s="31" t="s">
        <v>1557</v>
      </c>
      <c r="G90" s="25"/>
      <c r="K90" s="105"/>
    </row>
    <row r="91">
      <c r="B91" s="31" t="s">
        <v>1545</v>
      </c>
      <c r="D91" s="31" t="s">
        <v>1558</v>
      </c>
      <c r="E91" s="31" t="s">
        <v>1559</v>
      </c>
      <c r="G91" s="25"/>
      <c r="K91" s="105"/>
    </row>
    <row r="92">
      <c r="B92" s="31" t="s">
        <v>1560</v>
      </c>
      <c r="D92" s="31" t="s">
        <v>907</v>
      </c>
      <c r="E92" s="31" t="s">
        <v>1561</v>
      </c>
      <c r="G92" s="33"/>
      <c r="K92" s="105"/>
    </row>
    <row r="93">
      <c r="B93" s="31" t="s">
        <v>704</v>
      </c>
      <c r="D93" s="31" t="s">
        <v>680</v>
      </c>
      <c r="E93" s="31" t="s">
        <v>907</v>
      </c>
      <c r="G93" s="182"/>
      <c r="K93" s="105"/>
    </row>
    <row r="94">
      <c r="B94" s="31" t="s">
        <v>1562</v>
      </c>
      <c r="D94" s="181" t="s">
        <v>1563</v>
      </c>
      <c r="E94" s="31" t="s">
        <v>1559</v>
      </c>
      <c r="K94" s="105"/>
    </row>
    <row r="95">
      <c r="B95" s="31" t="s">
        <v>1564</v>
      </c>
      <c r="D95" s="181" t="s">
        <v>704</v>
      </c>
      <c r="E95" s="31" t="s">
        <v>1565</v>
      </c>
      <c r="G95" s="105"/>
      <c r="I95" s="105"/>
      <c r="J95" s="105"/>
      <c r="K95" s="105"/>
    </row>
    <row r="96">
      <c r="B96" s="31" t="s">
        <v>826</v>
      </c>
      <c r="E96" s="31" t="s">
        <v>704</v>
      </c>
      <c r="G96" s="105"/>
      <c r="H96" s="105"/>
      <c r="I96" s="105"/>
      <c r="J96" s="105"/>
      <c r="K96" s="105"/>
    </row>
    <row r="97">
      <c r="E97" s="31" t="s">
        <v>1559</v>
      </c>
      <c r="G97" s="105"/>
      <c r="H97" s="105"/>
      <c r="I97" s="105"/>
      <c r="J97" s="105"/>
      <c r="K97" s="105"/>
    </row>
    <row r="98">
      <c r="A98" s="4" t="s">
        <v>1125</v>
      </c>
      <c r="G98" s="105"/>
      <c r="H98" s="105"/>
      <c r="I98" s="105"/>
      <c r="J98" s="105"/>
      <c r="K98" s="105"/>
    </row>
    <row r="99">
      <c r="A99" s="4" t="s">
        <v>1566</v>
      </c>
      <c r="G99" s="105"/>
      <c r="H99" s="105"/>
      <c r="I99" s="105"/>
      <c r="J99" s="105"/>
      <c r="K99" s="105"/>
    </row>
    <row r="100">
      <c r="A100" s="89" t="s">
        <v>1567</v>
      </c>
      <c r="G100" s="105"/>
      <c r="H100" s="105"/>
      <c r="I100" s="105"/>
      <c r="J100" s="105"/>
    </row>
    <row r="101">
      <c r="A101" s="85"/>
      <c r="G101" s="105"/>
      <c r="H101" s="105"/>
      <c r="I101" s="105"/>
      <c r="J101" s="105"/>
    </row>
    <row r="102">
      <c r="A102" s="86" t="s">
        <v>686</v>
      </c>
      <c r="G102" s="105"/>
      <c r="H102" s="105"/>
      <c r="I102" s="105"/>
      <c r="J102" s="105"/>
    </row>
    <row r="103">
      <c r="A103" s="86">
        <v>24980.0</v>
      </c>
      <c r="G103" s="105"/>
      <c r="H103" s="105"/>
      <c r="I103" s="105"/>
      <c r="J103" s="105"/>
    </row>
    <row r="104">
      <c r="A104" s="87">
        <v>2026.0</v>
      </c>
      <c r="G104" s="105"/>
      <c r="H104" s="105"/>
      <c r="I104" s="105"/>
      <c r="J104" s="105"/>
    </row>
    <row r="105">
      <c r="A105" s="50" t="s">
        <v>687</v>
      </c>
      <c r="B105" s="50" t="s">
        <v>688</v>
      </c>
      <c r="C105" s="50" t="s">
        <v>689</v>
      </c>
      <c r="D105" s="50" t="s">
        <v>690</v>
      </c>
      <c r="E105" s="50" t="s">
        <v>691</v>
      </c>
      <c r="F105" s="50" t="s">
        <v>692</v>
      </c>
      <c r="G105" s="105"/>
      <c r="H105" s="105"/>
      <c r="I105" s="105"/>
      <c r="J105" s="105"/>
    </row>
    <row r="106">
      <c r="A106" s="84" t="s">
        <v>1568</v>
      </c>
      <c r="B106" s="84" t="s">
        <v>666</v>
      </c>
      <c r="C106" s="84" t="s">
        <v>1569</v>
      </c>
      <c r="G106" s="105"/>
      <c r="H106" s="105"/>
      <c r="I106" s="105"/>
      <c r="J106" s="105"/>
    </row>
    <row r="107">
      <c r="A107" s="31" t="s">
        <v>1570</v>
      </c>
      <c r="B107" s="31" t="s">
        <v>1540</v>
      </c>
      <c r="C107" s="31" t="s">
        <v>1539</v>
      </c>
      <c r="G107" s="105"/>
      <c r="H107" s="105"/>
      <c r="I107" s="105"/>
      <c r="J107" s="105"/>
    </row>
    <row r="108">
      <c r="A108" s="31" t="s">
        <v>1571</v>
      </c>
      <c r="B108" s="31" t="s">
        <v>685</v>
      </c>
      <c r="C108" s="31" t="s">
        <v>1572</v>
      </c>
    </row>
    <row r="109">
      <c r="A109" s="31" t="s">
        <v>1573</v>
      </c>
      <c r="B109" s="31" t="s">
        <v>1573</v>
      </c>
    </row>
    <row r="110">
      <c r="A110" s="31" t="s">
        <v>682</v>
      </c>
    </row>
    <row r="111">
      <c r="A111" s="31" t="s">
        <v>1133</v>
      </c>
    </row>
    <row r="112">
      <c r="A112" s="31" t="s">
        <v>1574</v>
      </c>
    </row>
    <row r="113">
      <c r="A113" s="31" t="s">
        <v>703</v>
      </c>
    </row>
    <row r="114">
      <c r="A114" s="31" t="s">
        <v>1133</v>
      </c>
    </row>
    <row r="115">
      <c r="A115" s="85"/>
    </row>
    <row r="116">
      <c r="A116" s="22" t="s">
        <v>1148</v>
      </c>
    </row>
    <row r="117">
      <c r="A117" s="22">
        <v>38800.0</v>
      </c>
    </row>
    <row r="118">
      <c r="A118" s="19">
        <v>2026.0</v>
      </c>
    </row>
    <row r="119">
      <c r="A119" s="88" t="s">
        <v>1575</v>
      </c>
    </row>
    <row r="120">
      <c r="A120" s="50" t="s">
        <v>733</v>
      </c>
      <c r="B120" s="50" t="s">
        <v>191</v>
      </c>
      <c r="C120" s="50" t="s">
        <v>734</v>
      </c>
      <c r="D120" s="50" t="s">
        <v>735</v>
      </c>
      <c r="E120" s="50" t="s">
        <v>187</v>
      </c>
      <c r="F120" s="50" t="s">
        <v>736</v>
      </c>
      <c r="G120" s="50" t="s">
        <v>179</v>
      </c>
      <c r="H120" s="50" t="s">
        <v>737</v>
      </c>
    </row>
    <row r="121">
      <c r="A121" s="76" t="s">
        <v>1576</v>
      </c>
      <c r="B121" s="76" t="s">
        <v>377</v>
      </c>
      <c r="C121" s="76" t="s">
        <v>1577</v>
      </c>
      <c r="D121" s="76" t="s">
        <v>1578</v>
      </c>
      <c r="E121" s="76" t="s">
        <v>377</v>
      </c>
      <c r="F121" s="76" t="s">
        <v>377</v>
      </c>
      <c r="G121" s="76" t="s">
        <v>1579</v>
      </c>
      <c r="H121" s="76" t="s">
        <v>1154</v>
      </c>
    </row>
    <row r="122">
      <c r="A122" s="31" t="s">
        <v>1580</v>
      </c>
      <c r="C122" s="31" t="s">
        <v>1581</v>
      </c>
      <c r="D122" s="31" t="s">
        <v>1582</v>
      </c>
      <c r="G122" s="31" t="s">
        <v>1350</v>
      </c>
      <c r="H122" s="31" t="s">
        <v>1583</v>
      </c>
    </row>
    <row r="123">
      <c r="A123" s="31" t="s">
        <v>703</v>
      </c>
      <c r="C123" s="31" t="s">
        <v>907</v>
      </c>
      <c r="D123" s="31" t="s">
        <v>820</v>
      </c>
      <c r="G123" s="31" t="s">
        <v>677</v>
      </c>
      <c r="H123" s="31" t="s">
        <v>677</v>
      </c>
    </row>
    <row r="124">
      <c r="C124" s="31" t="s">
        <v>1584</v>
      </c>
      <c r="D124" s="31" t="s">
        <v>1585</v>
      </c>
      <c r="G124" s="31" t="s">
        <v>786</v>
      </c>
      <c r="H124" s="31" t="s">
        <v>769</v>
      </c>
    </row>
    <row r="125">
      <c r="C125" s="31" t="s">
        <v>826</v>
      </c>
      <c r="D125" s="31" t="s">
        <v>826</v>
      </c>
      <c r="H125" s="31" t="s">
        <v>1586</v>
      </c>
    </row>
    <row r="126">
      <c r="C126" s="31" t="s">
        <v>1587</v>
      </c>
      <c r="D126" s="31" t="s">
        <v>1588</v>
      </c>
    </row>
    <row r="127">
      <c r="C127" s="31" t="s">
        <v>703</v>
      </c>
      <c r="D127" s="31" t="s">
        <v>780</v>
      </c>
    </row>
    <row r="128">
      <c r="C128" s="31" t="s">
        <v>644</v>
      </c>
      <c r="D128" s="31" t="s">
        <v>1589</v>
      </c>
    </row>
    <row r="129">
      <c r="D129" s="31" t="s">
        <v>826</v>
      </c>
    </row>
    <row r="137">
      <c r="A137" s="90" t="s">
        <v>787</v>
      </c>
    </row>
    <row r="138">
      <c r="A138" s="90">
        <f>A141</f>
        <v>93455</v>
      </c>
    </row>
    <row r="139">
      <c r="A139" s="90">
        <v>2026.0</v>
      </c>
    </row>
    <row r="140">
      <c r="A140" s="90" t="s">
        <v>1590</v>
      </c>
    </row>
    <row r="141">
      <c r="A141" s="90">
        <f>A144+B144+C144+D144+E144+F144+G144+H144</f>
        <v>93455</v>
      </c>
    </row>
    <row r="142">
      <c r="A142" s="50" t="s">
        <v>789</v>
      </c>
      <c r="B142" s="50" t="s">
        <v>790</v>
      </c>
      <c r="C142" s="50" t="s">
        <v>215</v>
      </c>
      <c r="D142" s="50" t="s">
        <v>791</v>
      </c>
      <c r="E142" s="50" t="s">
        <v>202</v>
      </c>
      <c r="F142" s="50" t="s">
        <v>792</v>
      </c>
      <c r="G142" s="50" t="s">
        <v>793</v>
      </c>
      <c r="H142" s="50" t="s">
        <v>205</v>
      </c>
    </row>
    <row r="143">
      <c r="A143" s="33" t="s">
        <v>377</v>
      </c>
      <c r="B143" s="33" t="s">
        <v>377</v>
      </c>
      <c r="C143" s="33" t="s">
        <v>743</v>
      </c>
      <c r="D143" s="33" t="s">
        <v>377</v>
      </c>
      <c r="E143" s="33" t="s">
        <v>377</v>
      </c>
      <c r="F143" s="33" t="s">
        <v>377</v>
      </c>
      <c r="G143" s="33" t="s">
        <v>377</v>
      </c>
      <c r="H143" s="33" t="s">
        <v>377</v>
      </c>
    </row>
    <row r="144">
      <c r="A144" s="50">
        <v>7500.0</v>
      </c>
      <c r="B144" s="50">
        <v>18000.0</v>
      </c>
      <c r="C144" s="50">
        <v>26305.0</v>
      </c>
      <c r="D144" s="50">
        <v>0.0</v>
      </c>
      <c r="E144" s="50">
        <v>20400.0</v>
      </c>
      <c r="F144" s="50">
        <v>0.0</v>
      </c>
      <c r="G144" s="50">
        <v>21250.0</v>
      </c>
      <c r="H144" s="50">
        <v>0.0</v>
      </c>
    </row>
    <row r="145">
      <c r="A145" s="31" t="s">
        <v>1327</v>
      </c>
      <c r="B145" s="31" t="s">
        <v>1366</v>
      </c>
      <c r="C145" s="31" t="s">
        <v>1591</v>
      </c>
      <c r="E145" s="31" t="s">
        <v>1478</v>
      </c>
      <c r="G145" s="31" t="s">
        <v>1364</v>
      </c>
    </row>
    <row r="146">
      <c r="A146" s="31" t="s">
        <v>767</v>
      </c>
      <c r="B146" s="31" t="s">
        <v>885</v>
      </c>
      <c r="C146" s="31" t="s">
        <v>799</v>
      </c>
      <c r="D146" s="33"/>
      <c r="E146" s="31" t="s">
        <v>703</v>
      </c>
      <c r="G146" s="31" t="s">
        <v>779</v>
      </c>
    </row>
    <row r="147">
      <c r="A147" s="31" t="s">
        <v>802</v>
      </c>
      <c r="C147" s="31" t="s">
        <v>807</v>
      </c>
      <c r="E147" s="31" t="s">
        <v>813</v>
      </c>
      <c r="G147" s="31" t="s">
        <v>803</v>
      </c>
    </row>
    <row r="148">
      <c r="C148" s="31" t="s">
        <v>811</v>
      </c>
      <c r="G148" s="31" t="s">
        <v>1177</v>
      </c>
    </row>
    <row r="149">
      <c r="G149" s="31" t="s">
        <v>1592</v>
      </c>
    </row>
    <row r="150">
      <c r="G150" s="31" t="s">
        <v>847</v>
      </c>
    </row>
    <row r="151">
      <c r="G151" s="31" t="s">
        <v>806</v>
      </c>
    </row>
    <row r="153">
      <c r="A153" s="92" t="s">
        <v>828</v>
      </c>
    </row>
    <row r="154">
      <c r="A154" s="92">
        <f>A157</f>
        <v>89900</v>
      </c>
    </row>
    <row r="155">
      <c r="A155" s="92">
        <v>2026.0</v>
      </c>
    </row>
    <row r="156">
      <c r="A156" s="92" t="s">
        <v>368</v>
      </c>
    </row>
    <row r="157">
      <c r="A157" s="93">
        <f>A160+B160+C160+D160+E160+F160+G160+H160+I160+J160</f>
        <v>89900</v>
      </c>
    </row>
    <row r="158">
      <c r="A158" s="94" t="s">
        <v>829</v>
      </c>
      <c r="B158" s="94" t="s">
        <v>830</v>
      </c>
      <c r="C158" s="94" t="s">
        <v>831</v>
      </c>
      <c r="D158" s="94" t="s">
        <v>832</v>
      </c>
      <c r="E158" s="94" t="s">
        <v>833</v>
      </c>
      <c r="F158" s="94" t="s">
        <v>834</v>
      </c>
      <c r="G158" s="94" t="s">
        <v>835</v>
      </c>
      <c r="H158" s="94" t="s">
        <v>836</v>
      </c>
      <c r="I158" s="95" t="s">
        <v>837</v>
      </c>
      <c r="J158" s="95" t="s">
        <v>838</v>
      </c>
    </row>
    <row r="159">
      <c r="A159" s="33" t="s">
        <v>377</v>
      </c>
      <c r="B159" s="33" t="s">
        <v>377</v>
      </c>
      <c r="C159" s="33" t="s">
        <v>377</v>
      </c>
      <c r="D159" s="33" t="s">
        <v>377</v>
      </c>
      <c r="E159" s="33" t="s">
        <v>377</v>
      </c>
      <c r="F159" s="33" t="s">
        <v>377</v>
      </c>
      <c r="G159" s="33" t="s">
        <v>377</v>
      </c>
      <c r="H159" s="33" t="s">
        <v>377</v>
      </c>
      <c r="I159" s="33" t="s">
        <v>377</v>
      </c>
      <c r="J159" s="33" t="s">
        <v>377</v>
      </c>
    </row>
    <row r="160">
      <c r="A160" s="50">
        <v>10000.0</v>
      </c>
      <c r="B160" s="50">
        <v>0.0</v>
      </c>
      <c r="C160" s="50">
        <v>0.0</v>
      </c>
      <c r="D160" s="50">
        <v>29000.0</v>
      </c>
      <c r="E160" s="50">
        <v>0.0</v>
      </c>
      <c r="F160" s="50">
        <v>2000.0</v>
      </c>
      <c r="G160" s="50">
        <v>18000.0</v>
      </c>
      <c r="H160" s="50">
        <v>4900.0</v>
      </c>
      <c r="I160" s="50">
        <v>26000.0</v>
      </c>
      <c r="J160" s="50">
        <v>0.0</v>
      </c>
    </row>
    <row r="161">
      <c r="A161" s="31" t="s">
        <v>1593</v>
      </c>
      <c r="D161" s="31" t="s">
        <v>1594</v>
      </c>
      <c r="F161" s="31" t="s">
        <v>1580</v>
      </c>
      <c r="G161" s="31" t="s">
        <v>1595</v>
      </c>
      <c r="H161" s="31" t="s">
        <v>1596</v>
      </c>
      <c r="I161" s="31" t="s">
        <v>1597</v>
      </c>
    </row>
    <row r="162">
      <c r="A162" s="31" t="s">
        <v>844</v>
      </c>
      <c r="D162" s="31" t="s">
        <v>868</v>
      </c>
      <c r="F162" s="31" t="s">
        <v>826</v>
      </c>
      <c r="G162" s="31" t="s">
        <v>926</v>
      </c>
      <c r="H162" s="31" t="s">
        <v>1212</v>
      </c>
      <c r="I162" s="31" t="s">
        <v>1598</v>
      </c>
    </row>
    <row r="163">
      <c r="A163" s="31" t="s">
        <v>1195</v>
      </c>
      <c r="D163" s="31" t="s">
        <v>1423</v>
      </c>
      <c r="G163" s="31" t="s">
        <v>1195</v>
      </c>
      <c r="H163" s="31" t="s">
        <v>1599</v>
      </c>
      <c r="I163" s="31" t="s">
        <v>854</v>
      </c>
    </row>
    <row r="164">
      <c r="A164" s="31" t="s">
        <v>854</v>
      </c>
      <c r="D164" s="31" t="s">
        <v>820</v>
      </c>
      <c r="G164" s="31" t="s">
        <v>1434</v>
      </c>
      <c r="H164" s="31" t="s">
        <v>826</v>
      </c>
      <c r="I164" s="31" t="s">
        <v>1600</v>
      </c>
    </row>
    <row r="165">
      <c r="A165" s="31" t="s">
        <v>1601</v>
      </c>
      <c r="G165" s="31" t="s">
        <v>826</v>
      </c>
      <c r="H165" s="31" t="s">
        <v>1166</v>
      </c>
      <c r="I165" s="31" t="s">
        <v>826</v>
      </c>
    </row>
    <row r="166">
      <c r="A166" s="31" t="s">
        <v>826</v>
      </c>
      <c r="H166" s="31" t="s">
        <v>826</v>
      </c>
    </row>
    <row r="167">
      <c r="A167" s="96" t="s">
        <v>871</v>
      </c>
    </row>
    <row r="168">
      <c r="A168" s="97" t="s">
        <v>872</v>
      </c>
    </row>
    <row r="169">
      <c r="A169" s="97">
        <f>A172</f>
        <v>271900</v>
      </c>
    </row>
    <row r="170">
      <c r="A170" s="97">
        <v>2026.0</v>
      </c>
    </row>
    <row r="171">
      <c r="A171" s="97" t="s">
        <v>368</v>
      </c>
    </row>
    <row r="172">
      <c r="A172" s="98">
        <f>A175+B175+C175+D175+E175+F175+G175+H175+I175+J175</f>
        <v>271900</v>
      </c>
    </row>
    <row r="173">
      <c r="A173" s="50" t="s">
        <v>873</v>
      </c>
      <c r="B173" s="50" t="s">
        <v>874</v>
      </c>
      <c r="C173" s="50" t="s">
        <v>875</v>
      </c>
      <c r="D173" s="50" t="s">
        <v>876</v>
      </c>
      <c r="E173" s="50" t="s">
        <v>877</v>
      </c>
      <c r="F173" s="50" t="s">
        <v>878</v>
      </c>
      <c r="G173" s="94" t="s">
        <v>879</v>
      </c>
      <c r="H173" s="99" t="s">
        <v>880</v>
      </c>
      <c r="I173" s="99" t="s">
        <v>881</v>
      </c>
      <c r="J173" s="99" t="s">
        <v>882</v>
      </c>
    </row>
    <row r="174">
      <c r="A174" s="33" t="s">
        <v>377</v>
      </c>
      <c r="B174" s="33" t="s">
        <v>377</v>
      </c>
      <c r="C174" s="33" t="s">
        <v>377</v>
      </c>
      <c r="D174" s="33" t="s">
        <v>377</v>
      </c>
      <c r="E174" s="33" t="s">
        <v>377</v>
      </c>
      <c r="F174" s="33" t="s">
        <v>377</v>
      </c>
      <c r="G174" s="33" t="s">
        <v>377</v>
      </c>
      <c r="H174" s="64" t="s">
        <v>377</v>
      </c>
      <c r="I174" s="64" t="s">
        <v>377</v>
      </c>
      <c r="J174" s="64" t="s">
        <v>377</v>
      </c>
    </row>
    <row r="175">
      <c r="A175" s="50">
        <v>26500.0</v>
      </c>
      <c r="B175" s="50">
        <v>15500.0</v>
      </c>
      <c r="C175" s="50">
        <v>28500.0</v>
      </c>
      <c r="D175" s="50"/>
      <c r="E175" s="50">
        <v>29000.0</v>
      </c>
      <c r="F175" s="50"/>
      <c r="G175" s="50"/>
      <c r="H175" s="50">
        <f>41000+116400</f>
        <v>157400</v>
      </c>
      <c r="I175" s="50">
        <v>1000.0</v>
      </c>
      <c r="J175" s="50">
        <v>14000.0</v>
      </c>
    </row>
    <row r="176">
      <c r="A176" s="31" t="s">
        <v>1540</v>
      </c>
      <c r="B176" s="31" t="s">
        <v>1602</v>
      </c>
      <c r="C176" s="31" t="s">
        <v>1366</v>
      </c>
      <c r="E176" s="31" t="s">
        <v>1345</v>
      </c>
      <c r="H176" s="31" t="s">
        <v>1603</v>
      </c>
      <c r="I176" s="31" t="s">
        <v>1604</v>
      </c>
      <c r="J176" s="31" t="s">
        <v>1364</v>
      </c>
    </row>
    <row r="177">
      <c r="A177" s="31" t="s">
        <v>855</v>
      </c>
      <c r="B177" s="31" t="s">
        <v>855</v>
      </c>
      <c r="C177" s="31" t="s">
        <v>1605</v>
      </c>
      <c r="E177" s="31" t="s">
        <v>1606</v>
      </c>
      <c r="H177" s="31" t="s">
        <v>677</v>
      </c>
      <c r="I177" s="31" t="s">
        <v>677</v>
      </c>
      <c r="J177" s="31" t="s">
        <v>926</v>
      </c>
    </row>
    <row r="178">
      <c r="A178" s="31" t="s">
        <v>890</v>
      </c>
      <c r="B178" s="31" t="s">
        <v>890</v>
      </c>
      <c r="C178" s="31" t="s">
        <v>892</v>
      </c>
      <c r="E178" s="31" t="s">
        <v>1607</v>
      </c>
      <c r="H178" s="31" t="s">
        <v>897</v>
      </c>
    </row>
    <row r="179">
      <c r="A179" s="31" t="s">
        <v>898</v>
      </c>
      <c r="B179" s="31" t="s">
        <v>898</v>
      </c>
      <c r="C179" s="31" t="s">
        <v>1329</v>
      </c>
      <c r="E179" s="31" t="s">
        <v>886</v>
      </c>
      <c r="H179" s="31" t="s">
        <v>1585</v>
      </c>
    </row>
    <row r="180">
      <c r="A180" s="31" t="s">
        <v>888</v>
      </c>
      <c r="C180" s="31" t="s">
        <v>673</v>
      </c>
      <c r="E180" s="31" t="s">
        <v>1608</v>
      </c>
      <c r="H180" s="31" t="s">
        <v>1609</v>
      </c>
    </row>
    <row r="181">
      <c r="E181" s="31" t="s">
        <v>704</v>
      </c>
      <c r="H181" s="31" t="s">
        <v>890</v>
      </c>
    </row>
    <row r="182">
      <c r="H182" s="31" t="s">
        <v>896</v>
      </c>
    </row>
    <row r="183">
      <c r="H183" s="31" t="s">
        <v>897</v>
      </c>
    </row>
    <row r="184">
      <c r="H184" s="31" t="s">
        <v>1610</v>
      </c>
    </row>
    <row r="185">
      <c r="H185" s="31" t="s">
        <v>677</v>
      </c>
    </row>
    <row r="186">
      <c r="H186" s="31" t="s">
        <v>890</v>
      </c>
    </row>
    <row r="187">
      <c r="H187" s="31" t="s">
        <v>896</v>
      </c>
    </row>
    <row r="188">
      <c r="H188" s="31" t="s">
        <v>897</v>
      </c>
    </row>
    <row r="194">
      <c r="A194" s="100" t="s">
        <v>913</v>
      </c>
    </row>
    <row r="195">
      <c r="A195" s="100">
        <f>A198</f>
        <v>48150</v>
      </c>
    </row>
    <row r="196">
      <c r="A196" s="100">
        <v>2026.0</v>
      </c>
    </row>
    <row r="197">
      <c r="A197" s="100" t="s">
        <v>368</v>
      </c>
    </row>
    <row r="198">
      <c r="A198" s="100">
        <f>A201+B201+C201+D201+E201+F201+G201+H201</f>
        <v>48150</v>
      </c>
    </row>
    <row r="199">
      <c r="A199" s="50" t="s">
        <v>914</v>
      </c>
      <c r="B199" s="50" t="s">
        <v>246</v>
      </c>
      <c r="C199" s="50" t="s">
        <v>247</v>
      </c>
      <c r="D199" s="50" t="s">
        <v>249</v>
      </c>
      <c r="E199" s="50" t="s">
        <v>915</v>
      </c>
      <c r="F199" s="50" t="s">
        <v>916</v>
      </c>
      <c r="G199" s="50" t="s">
        <v>253</v>
      </c>
      <c r="H199" s="50" t="s">
        <v>252</v>
      </c>
    </row>
    <row r="200">
      <c r="A200" s="33" t="s">
        <v>377</v>
      </c>
      <c r="B200" s="33" t="s">
        <v>377</v>
      </c>
      <c r="C200" s="33" t="s">
        <v>377</v>
      </c>
      <c r="D200" s="33" t="s">
        <v>377</v>
      </c>
      <c r="E200" s="33" t="s">
        <v>377</v>
      </c>
      <c r="F200" s="33" t="s">
        <v>377</v>
      </c>
      <c r="G200" s="33" t="s">
        <v>377</v>
      </c>
      <c r="H200" s="33" t="s">
        <v>377</v>
      </c>
    </row>
    <row r="201">
      <c r="A201" s="50">
        <v>0.0</v>
      </c>
      <c r="B201" s="50">
        <v>1000.0</v>
      </c>
      <c r="C201" s="50">
        <v>0.0</v>
      </c>
      <c r="D201" s="50">
        <f>2750+44400</f>
        <v>47150</v>
      </c>
      <c r="E201" s="50">
        <v>0.0</v>
      </c>
      <c r="F201" s="50">
        <v>0.0</v>
      </c>
      <c r="G201" s="50">
        <v>0.0</v>
      </c>
      <c r="H201" s="50">
        <v>0.0</v>
      </c>
    </row>
    <row r="202">
      <c r="B202" s="31" t="s">
        <v>1583</v>
      </c>
      <c r="D202" s="31" t="s">
        <v>1611</v>
      </c>
    </row>
    <row r="203">
      <c r="B203" s="31" t="s">
        <v>677</v>
      </c>
      <c r="D203" s="31" t="s">
        <v>677</v>
      </c>
    </row>
    <row r="204">
      <c r="D204" s="31" t="s">
        <v>1612</v>
      </c>
    </row>
    <row r="205">
      <c r="D205" s="31" t="s">
        <v>1613</v>
      </c>
    </row>
    <row r="207">
      <c r="A207" s="101" t="s">
        <v>928</v>
      </c>
    </row>
    <row r="208">
      <c r="A208" s="101">
        <f>A211</f>
        <v>504000</v>
      </c>
    </row>
    <row r="209">
      <c r="A209" s="101">
        <v>2026.0</v>
      </c>
    </row>
    <row r="210">
      <c r="A210" s="101" t="s">
        <v>368</v>
      </c>
    </row>
    <row r="211">
      <c r="A211" s="102">
        <f>A214+B214+C214+D214+E214+F214+G214+H214+I214+J214</f>
        <v>504000</v>
      </c>
    </row>
    <row r="212">
      <c r="A212" s="50" t="s">
        <v>929</v>
      </c>
      <c r="B212" s="50" t="s">
        <v>930</v>
      </c>
      <c r="C212" s="50" t="s">
        <v>931</v>
      </c>
      <c r="D212" s="50" t="s">
        <v>932</v>
      </c>
      <c r="E212" s="50" t="s">
        <v>933</v>
      </c>
      <c r="F212" s="50" t="s">
        <v>934</v>
      </c>
      <c r="G212" s="50" t="s">
        <v>935</v>
      </c>
      <c r="H212" s="50" t="s">
        <v>936</v>
      </c>
      <c r="I212" s="50" t="s">
        <v>937</v>
      </c>
      <c r="J212" s="50" t="s">
        <v>938</v>
      </c>
    </row>
    <row r="213">
      <c r="A213" s="33" t="s">
        <v>377</v>
      </c>
      <c r="B213" s="33" t="s">
        <v>377</v>
      </c>
      <c r="C213" s="33" t="s">
        <v>377</v>
      </c>
      <c r="D213" s="33" t="s">
        <v>377</v>
      </c>
      <c r="E213" s="33" t="s">
        <v>377</v>
      </c>
      <c r="F213" s="33" t="s">
        <v>377</v>
      </c>
      <c r="G213" s="33" t="s">
        <v>377</v>
      </c>
      <c r="H213" s="64" t="s">
        <v>377</v>
      </c>
      <c r="I213" s="64" t="s">
        <v>377</v>
      </c>
      <c r="J213" s="64" t="s">
        <v>377</v>
      </c>
    </row>
    <row r="214">
      <c r="A214" s="50">
        <v>0.0</v>
      </c>
      <c r="B214" s="50">
        <v>6000.0</v>
      </c>
      <c r="C214" s="50">
        <v>234000.0</v>
      </c>
      <c r="D214" s="50">
        <v>0.0</v>
      </c>
      <c r="E214" s="50">
        <f>30000+32000</f>
        <v>62000</v>
      </c>
      <c r="F214" s="50">
        <v>65000.0</v>
      </c>
      <c r="G214" s="50">
        <v>0.0</v>
      </c>
      <c r="H214" s="50">
        <v>137000.0</v>
      </c>
      <c r="I214" s="50">
        <v>0.0</v>
      </c>
      <c r="J214" s="50">
        <v>0.0</v>
      </c>
    </row>
    <row r="215">
      <c r="B215" s="31" t="s">
        <v>1614</v>
      </c>
      <c r="C215" s="31" t="s">
        <v>1345</v>
      </c>
      <c r="E215" s="31" t="s">
        <v>1593</v>
      </c>
      <c r="F215" s="31" t="s">
        <v>1604</v>
      </c>
      <c r="H215" s="31" t="s">
        <v>1540</v>
      </c>
    </row>
    <row r="216">
      <c r="B216" s="31" t="s">
        <v>826</v>
      </c>
      <c r="C216" s="31" t="s">
        <v>1236</v>
      </c>
      <c r="E216" s="31" t="s">
        <v>951</v>
      </c>
      <c r="F216" s="31" t="s">
        <v>844</v>
      </c>
      <c r="H216" s="31" t="s">
        <v>1316</v>
      </c>
    </row>
    <row r="217">
      <c r="B217" s="31" t="s">
        <v>1615</v>
      </c>
      <c r="C217" s="31" t="s">
        <v>1616</v>
      </c>
      <c r="E217" s="76" t="s">
        <v>1617</v>
      </c>
      <c r="F217" s="31" t="s">
        <v>1618</v>
      </c>
      <c r="H217" s="31" t="s">
        <v>1619</v>
      </c>
    </row>
    <row r="218">
      <c r="B218" s="31" t="s">
        <v>826</v>
      </c>
      <c r="C218" s="31" t="s">
        <v>381</v>
      </c>
      <c r="F218" s="31" t="s">
        <v>1605</v>
      </c>
      <c r="H218" s="31" t="s">
        <v>381</v>
      </c>
    </row>
    <row r="219">
      <c r="B219" s="31" t="s">
        <v>1620</v>
      </c>
      <c r="C219" s="31" t="s">
        <v>1621</v>
      </c>
      <c r="F219" s="31" t="s">
        <v>1622</v>
      </c>
      <c r="H219" s="31" t="s">
        <v>1623</v>
      </c>
    </row>
    <row r="220">
      <c r="B220" s="31" t="s">
        <v>826</v>
      </c>
      <c r="C220" s="31" t="s">
        <v>826</v>
      </c>
      <c r="F220" s="31" t="s">
        <v>779</v>
      </c>
      <c r="H220" s="31" t="s">
        <v>1624</v>
      </c>
    </row>
    <row r="221">
      <c r="C221" s="31" t="s">
        <v>1625</v>
      </c>
      <c r="F221" s="31" t="s">
        <v>1626</v>
      </c>
      <c r="H221" s="31" t="s">
        <v>1619</v>
      </c>
    </row>
    <row r="222">
      <c r="C222" s="31" t="s">
        <v>1252</v>
      </c>
      <c r="F222" s="31" t="s">
        <v>826</v>
      </c>
      <c r="H222" s="31" t="s">
        <v>1627</v>
      </c>
    </row>
    <row r="223">
      <c r="C223" s="31" t="s">
        <v>1616</v>
      </c>
      <c r="F223" s="31" t="s">
        <v>1452</v>
      </c>
      <c r="H223" s="31" t="s">
        <v>1628</v>
      </c>
    </row>
    <row r="224">
      <c r="C224" s="31" t="s">
        <v>1240</v>
      </c>
      <c r="F224" s="31" t="s">
        <v>1606</v>
      </c>
      <c r="H224" s="31" t="s">
        <v>1619</v>
      </c>
    </row>
    <row r="225">
      <c r="C225" s="31" t="s">
        <v>1629</v>
      </c>
      <c r="F225" s="31" t="s">
        <v>1630</v>
      </c>
      <c r="H225" s="31" t="s">
        <v>1616</v>
      </c>
    </row>
    <row r="226">
      <c r="C226" s="31" t="s">
        <v>826</v>
      </c>
      <c r="F226" s="31" t="s">
        <v>1247</v>
      </c>
    </row>
    <row r="227">
      <c r="C227" s="31" t="s">
        <v>1619</v>
      </c>
    </row>
    <row r="228">
      <c r="C228" s="31" t="s">
        <v>381</v>
      </c>
    </row>
    <row r="232">
      <c r="A232" s="48" t="s">
        <v>367</v>
      </c>
    </row>
    <row r="233">
      <c r="A233" s="49">
        <f>A236</f>
        <v>25000</v>
      </c>
    </row>
    <row r="234">
      <c r="A234" s="49">
        <v>2026.0</v>
      </c>
    </row>
    <row r="235">
      <c r="A235" s="49" t="s">
        <v>368</v>
      </c>
    </row>
    <row r="236">
      <c r="A236" s="49">
        <f>A239+B239+C239+D239+E239+F239+G239+H239</f>
        <v>25000</v>
      </c>
    </row>
    <row r="237">
      <c r="A237" s="33" t="s">
        <v>369</v>
      </c>
      <c r="B237" s="33" t="s">
        <v>370</v>
      </c>
      <c r="C237" s="33" t="s">
        <v>371</v>
      </c>
      <c r="D237" s="33" t="s">
        <v>372</v>
      </c>
      <c r="E237" s="33" t="s">
        <v>373</v>
      </c>
      <c r="F237" s="33" t="s">
        <v>374</v>
      </c>
      <c r="G237" s="33" t="s">
        <v>375</v>
      </c>
      <c r="H237" s="33" t="s">
        <v>376</v>
      </c>
      <c r="I237" s="103"/>
      <c r="J237" s="103"/>
    </row>
    <row r="238">
      <c r="A238" s="33" t="s">
        <v>377</v>
      </c>
      <c r="B238" s="33" t="s">
        <v>377</v>
      </c>
      <c r="C238" s="33" t="s">
        <v>377</v>
      </c>
      <c r="D238" s="33" t="s">
        <v>377</v>
      </c>
      <c r="E238" s="33" t="s">
        <v>377</v>
      </c>
      <c r="F238" s="33" t="s">
        <v>377</v>
      </c>
      <c r="G238" s="33" t="s">
        <v>377</v>
      </c>
      <c r="H238" s="33" t="s">
        <v>377</v>
      </c>
    </row>
    <row r="239">
      <c r="A239" s="50">
        <v>0.0</v>
      </c>
      <c r="B239" s="50">
        <v>0.0</v>
      </c>
      <c r="C239" s="50">
        <v>0.0</v>
      </c>
      <c r="D239" s="50">
        <v>0.0</v>
      </c>
      <c r="E239" s="50">
        <v>0.0</v>
      </c>
      <c r="F239" s="50">
        <v>7000.0</v>
      </c>
      <c r="G239" s="50">
        <v>0.0</v>
      </c>
      <c r="H239" s="50">
        <v>18000.0</v>
      </c>
    </row>
    <row r="240">
      <c r="F240" s="31" t="s">
        <v>796</v>
      </c>
      <c r="H240" s="31" t="s">
        <v>1591</v>
      </c>
    </row>
    <row r="241">
      <c r="F241" s="31" t="s">
        <v>765</v>
      </c>
      <c r="H241" s="31" t="s">
        <v>885</v>
      </c>
    </row>
    <row r="243">
      <c r="A243" s="107" t="s">
        <v>913</v>
      </c>
    </row>
    <row r="244">
      <c r="A244" s="108">
        <f>A247</f>
        <v>0</v>
      </c>
    </row>
    <row r="245">
      <c r="A245" s="108">
        <v>2026.0</v>
      </c>
    </row>
    <row r="246">
      <c r="A246" s="108" t="s">
        <v>368</v>
      </c>
    </row>
    <row r="247">
      <c r="A247" s="108">
        <f>A250+B250+C250+D250+E250+F250+G250+H250</f>
        <v>0</v>
      </c>
    </row>
    <row r="248">
      <c r="A248" s="50" t="s">
        <v>126</v>
      </c>
      <c r="B248" s="50" t="s">
        <v>687</v>
      </c>
      <c r="C248" s="50" t="s">
        <v>179</v>
      </c>
      <c r="D248" s="50" t="s">
        <v>202</v>
      </c>
      <c r="E248" s="99" t="s">
        <v>880</v>
      </c>
      <c r="F248" s="50" t="s">
        <v>969</v>
      </c>
      <c r="G248" s="50" t="s">
        <v>932</v>
      </c>
      <c r="H248" s="50" t="s">
        <v>970</v>
      </c>
    </row>
    <row r="249">
      <c r="A249" s="33" t="s">
        <v>377</v>
      </c>
      <c r="B249" s="33" t="s">
        <v>377</v>
      </c>
      <c r="C249" s="33" t="s">
        <v>377</v>
      </c>
      <c r="D249" s="33" t="s">
        <v>377</v>
      </c>
      <c r="E249" s="33" t="s">
        <v>377</v>
      </c>
      <c r="F249" s="33" t="s">
        <v>377</v>
      </c>
      <c r="G249" s="33" t="s">
        <v>377</v>
      </c>
      <c r="H249" s="33" t="s">
        <v>377</v>
      </c>
    </row>
    <row r="250">
      <c r="A250" s="50">
        <v>0.0</v>
      </c>
      <c r="B250" s="50">
        <v>0.0</v>
      </c>
      <c r="C250" s="50">
        <v>0.0</v>
      </c>
      <c r="D250" s="50">
        <v>0.0</v>
      </c>
      <c r="E250" s="50">
        <v>0.0</v>
      </c>
      <c r="F250" s="50">
        <v>0.0</v>
      </c>
      <c r="G250" s="50">
        <v>0.0</v>
      </c>
      <c r="H250" s="50">
        <v>0.0</v>
      </c>
    </row>
  </sheetData>
  <mergeCells count="149">
    <mergeCell ref="T21:T22"/>
    <mergeCell ref="T24:T25"/>
    <mergeCell ref="T11:V11"/>
    <mergeCell ref="T14:T18"/>
    <mergeCell ref="V14:V18"/>
    <mergeCell ref="T19:T20"/>
    <mergeCell ref="V19:V20"/>
    <mergeCell ref="V21:V22"/>
    <mergeCell ref="V24:V25"/>
    <mergeCell ref="A1:AA1"/>
    <mergeCell ref="A2:AA2"/>
    <mergeCell ref="A3:AA3"/>
    <mergeCell ref="A4:AA4"/>
    <mergeCell ref="A5:AA5"/>
    <mergeCell ref="A6:AA6"/>
    <mergeCell ref="A7:AA7"/>
    <mergeCell ref="G8:H8"/>
    <mergeCell ref="I8:K8"/>
    <mergeCell ref="L8:M8"/>
    <mergeCell ref="N8:P8"/>
    <mergeCell ref="Q8:S8"/>
    <mergeCell ref="T8:V8"/>
    <mergeCell ref="W8:AA8"/>
    <mergeCell ref="G9:H9"/>
    <mergeCell ref="I9:K9"/>
    <mergeCell ref="L9:M9"/>
    <mergeCell ref="N9:P9"/>
    <mergeCell ref="Q9:S9"/>
    <mergeCell ref="T9:V9"/>
    <mergeCell ref="W9:AA9"/>
    <mergeCell ref="X15:AA15"/>
    <mergeCell ref="X18:Y18"/>
    <mergeCell ref="X20:AA20"/>
    <mergeCell ref="X23:Y23"/>
    <mergeCell ref="X33:AA33"/>
    <mergeCell ref="X40:Y40"/>
    <mergeCell ref="X41:AA41"/>
    <mergeCell ref="N10:P10"/>
    <mergeCell ref="Q10:S10"/>
    <mergeCell ref="T10:V10"/>
    <mergeCell ref="N11:P11"/>
    <mergeCell ref="Q11:S11"/>
    <mergeCell ref="W11:W18"/>
    <mergeCell ref="Q13:R13"/>
    <mergeCell ref="W19:W23"/>
    <mergeCell ref="W24:W40"/>
    <mergeCell ref="I38:I40"/>
    <mergeCell ref="K38:K40"/>
    <mergeCell ref="N13:N16"/>
    <mergeCell ref="P13:P16"/>
    <mergeCell ref="N18:N20"/>
    <mergeCell ref="P18:P20"/>
    <mergeCell ref="N21:N22"/>
    <mergeCell ref="P21:P22"/>
    <mergeCell ref="P23:P24"/>
    <mergeCell ref="A99:E99"/>
    <mergeCell ref="A100:E100"/>
    <mergeCell ref="A101:F101"/>
    <mergeCell ref="A102:F102"/>
    <mergeCell ref="A103:F103"/>
    <mergeCell ref="A104:F104"/>
    <mergeCell ref="A115:H115"/>
    <mergeCell ref="A116:H116"/>
    <mergeCell ref="A117:H117"/>
    <mergeCell ref="A118:H118"/>
    <mergeCell ref="A119:H119"/>
    <mergeCell ref="A137:H137"/>
    <mergeCell ref="A138:H138"/>
    <mergeCell ref="A139:H139"/>
    <mergeCell ref="A140:H140"/>
    <mergeCell ref="A141:H141"/>
    <mergeCell ref="A153:J153"/>
    <mergeCell ref="A154:J154"/>
    <mergeCell ref="A155:J155"/>
    <mergeCell ref="A156:J156"/>
    <mergeCell ref="A157:J157"/>
    <mergeCell ref="A167:J167"/>
    <mergeCell ref="A168:J168"/>
    <mergeCell ref="A169:J169"/>
    <mergeCell ref="A170:J170"/>
    <mergeCell ref="A171:J171"/>
    <mergeCell ref="A172:J172"/>
    <mergeCell ref="A194:H194"/>
    <mergeCell ref="A195:H195"/>
    <mergeCell ref="A196:H196"/>
    <mergeCell ref="A197:H197"/>
    <mergeCell ref="A198:H198"/>
    <mergeCell ref="A207:J207"/>
    <mergeCell ref="A208:J208"/>
    <mergeCell ref="A209:J209"/>
    <mergeCell ref="A243:H243"/>
    <mergeCell ref="A244:H244"/>
    <mergeCell ref="A245:H245"/>
    <mergeCell ref="A246:H246"/>
    <mergeCell ref="A247:H247"/>
    <mergeCell ref="A210:J210"/>
    <mergeCell ref="A211:J211"/>
    <mergeCell ref="A232:H232"/>
    <mergeCell ref="A233:H233"/>
    <mergeCell ref="A234:H234"/>
    <mergeCell ref="A235:H235"/>
    <mergeCell ref="A236:H236"/>
    <mergeCell ref="N23:N24"/>
    <mergeCell ref="N25:O25"/>
    <mergeCell ref="I27:K27"/>
    <mergeCell ref="T28:U28"/>
    <mergeCell ref="I29:I31"/>
    <mergeCell ref="K29:K31"/>
    <mergeCell ref="K32:K34"/>
    <mergeCell ref="K41:K43"/>
    <mergeCell ref="K44:K46"/>
    <mergeCell ref="K50:K52"/>
    <mergeCell ref="K53:K55"/>
    <mergeCell ref="K56:K58"/>
    <mergeCell ref="K59:K61"/>
    <mergeCell ref="I32:I34"/>
    <mergeCell ref="I35:I37"/>
    <mergeCell ref="K35:K37"/>
    <mergeCell ref="I41:I43"/>
    <mergeCell ref="W41:W43"/>
    <mergeCell ref="W44:W51"/>
    <mergeCell ref="K47:K49"/>
    <mergeCell ref="W55:W57"/>
    <mergeCell ref="X57:Y57"/>
    <mergeCell ref="W58:W59"/>
    <mergeCell ref="X59:Y59"/>
    <mergeCell ref="W60:W61"/>
    <mergeCell ref="X61:Y61"/>
    <mergeCell ref="X43:Y43"/>
    <mergeCell ref="X49:AA49"/>
    <mergeCell ref="X51:Y51"/>
    <mergeCell ref="W52:W54"/>
    <mergeCell ref="X52:AA52"/>
    <mergeCell ref="X54:Y54"/>
    <mergeCell ref="X55:AA55"/>
    <mergeCell ref="I44:I46"/>
    <mergeCell ref="I47:I49"/>
    <mergeCell ref="I50:I52"/>
    <mergeCell ref="I53:I55"/>
    <mergeCell ref="I56:I58"/>
    <mergeCell ref="I59:I61"/>
    <mergeCell ref="A73:E73"/>
    <mergeCell ref="A74:E74"/>
    <mergeCell ref="A75:E75"/>
    <mergeCell ref="A76:E76"/>
    <mergeCell ref="A77:E77"/>
    <mergeCell ref="A78:E78"/>
    <mergeCell ref="A79:E79"/>
    <mergeCell ref="A98:E98"/>
  </mergeCells>
  <hyperlinks>
    <hyperlink r:id="rId1" ref="A3"/>
    <hyperlink r:id="rId2" ref="A4"/>
    <hyperlink r:id="rId3" ref="A5"/>
  </hyperlin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7.13"/>
    <col customWidth="1" min="3" max="3" width="30.38"/>
    <col customWidth="1" min="4" max="4" width="40.0"/>
    <col customWidth="1" min="5" max="5" width="27.0"/>
    <col customWidth="1" min="6" max="6" width="28.88"/>
    <col customWidth="1" min="7" max="7" width="26.75"/>
    <col customWidth="1" min="8" max="8" width="28.0"/>
    <col customWidth="1" min="9" max="9" width="32.63"/>
    <col customWidth="1" min="10" max="10" width="23.0"/>
    <col customWidth="1" min="11" max="11" width="27.63"/>
    <col customWidth="1" min="13" max="13" width="22.13"/>
    <col customWidth="1" min="14" max="14" width="34.38"/>
    <col customWidth="1" min="15" max="15" width="17.63"/>
    <col customWidth="1" min="16" max="16" width="15.13"/>
    <col customWidth="1" min="17" max="17" width="16.0"/>
  </cols>
  <sheetData>
    <row r="1">
      <c r="A1" s="183" t="s">
        <v>1631</v>
      </c>
    </row>
    <row r="2">
      <c r="A2" s="183" t="s">
        <v>1632</v>
      </c>
    </row>
    <row r="3">
      <c r="A3" s="183" t="s">
        <v>338</v>
      </c>
    </row>
    <row r="4">
      <c r="A4" s="184">
        <f>100000+B6+C6+D6+E6+F6+G6+A53+C24+F12+J6+P6+M6</f>
        <v>3852710</v>
      </c>
    </row>
    <row r="5">
      <c r="A5" s="33" t="s">
        <v>339</v>
      </c>
      <c r="B5" s="33" t="s">
        <v>414</v>
      </c>
      <c r="C5" s="33" t="s">
        <v>384</v>
      </c>
      <c r="D5" s="33" t="s">
        <v>1633</v>
      </c>
      <c r="E5" s="33" t="s">
        <v>417</v>
      </c>
      <c r="F5" s="33" t="s">
        <v>1634</v>
      </c>
      <c r="G5" s="33" t="s">
        <v>975</v>
      </c>
      <c r="J5" s="33" t="s">
        <v>977</v>
      </c>
      <c r="M5" s="33" t="s">
        <v>1635</v>
      </c>
      <c r="P5" s="97" t="s">
        <v>422</v>
      </c>
    </row>
    <row r="6">
      <c r="A6" s="31" t="s">
        <v>1636</v>
      </c>
      <c r="B6" s="184">
        <v>-170000.0</v>
      </c>
      <c r="C6" s="184">
        <v>17000.0</v>
      </c>
      <c r="D6" s="184">
        <v>1000.0</v>
      </c>
      <c r="E6" s="184">
        <v>35000.0</v>
      </c>
      <c r="F6" s="184">
        <v>-10000.0</v>
      </c>
      <c r="G6" s="184">
        <f>G8+H8+I8</f>
        <v>-500</v>
      </c>
      <c r="J6" s="185">
        <f>J8</f>
        <v>21800</v>
      </c>
      <c r="M6" s="185">
        <f>M8</f>
        <v>846000</v>
      </c>
      <c r="P6" s="186">
        <f>S16+S19+S23+S26+S29+S33+S36+S39</f>
        <v>145750</v>
      </c>
      <c r="V6" s="25"/>
    </row>
    <row r="7">
      <c r="A7" s="31" t="s">
        <v>1637</v>
      </c>
      <c r="B7" s="55" t="s">
        <v>349</v>
      </c>
      <c r="C7" s="31" t="s">
        <v>1638</v>
      </c>
      <c r="D7" s="31" t="s">
        <v>1639</v>
      </c>
      <c r="E7" s="31" t="s">
        <v>445</v>
      </c>
      <c r="F7" s="31" t="s">
        <v>431</v>
      </c>
      <c r="G7" s="187" t="s">
        <v>432</v>
      </c>
      <c r="H7" s="187" t="s">
        <v>433</v>
      </c>
      <c r="I7" s="187" t="s">
        <v>434</v>
      </c>
      <c r="J7" s="131" t="s">
        <v>435</v>
      </c>
      <c r="M7" s="131" t="s">
        <v>435</v>
      </c>
      <c r="P7" s="187" t="s">
        <v>436</v>
      </c>
      <c r="Q7" s="187" t="s">
        <v>437</v>
      </c>
      <c r="R7" s="187" t="s">
        <v>438</v>
      </c>
      <c r="S7" s="187" t="s">
        <v>0</v>
      </c>
      <c r="T7" s="46" t="s">
        <v>439</v>
      </c>
      <c r="V7" s="188"/>
    </row>
    <row r="8">
      <c r="A8" s="31" t="s">
        <v>1640</v>
      </c>
      <c r="B8" s="4" t="s">
        <v>23</v>
      </c>
      <c r="C8" s="31" t="s">
        <v>1641</v>
      </c>
      <c r="E8" s="31" t="s">
        <v>1642</v>
      </c>
      <c r="G8" s="189">
        <f>I21+I24+I27+I30+I33+I36</f>
        <v>9000</v>
      </c>
      <c r="H8" s="189">
        <v>-4500.0</v>
      </c>
      <c r="I8" s="189">
        <v>-5000.0</v>
      </c>
      <c r="J8" s="190">
        <f>L10+L13+L15+L16</f>
        <v>21800</v>
      </c>
      <c r="M8" s="190">
        <f>O10+O15+O17+O20+O21+O22+O23</f>
        <v>846000</v>
      </c>
      <c r="P8" s="173" t="s">
        <v>1643</v>
      </c>
      <c r="Q8" s="174" t="s">
        <v>447</v>
      </c>
      <c r="R8" s="174">
        <v>18.0</v>
      </c>
      <c r="S8" s="174">
        <f>R8*1000</f>
        <v>18000</v>
      </c>
      <c r="T8" s="175">
        <f>R8*20</f>
        <v>360</v>
      </c>
    </row>
    <row r="9">
      <c r="A9" s="31" t="s">
        <v>1644</v>
      </c>
      <c r="B9" s="4" t="s">
        <v>39</v>
      </c>
      <c r="C9" s="31" t="s">
        <v>1645</v>
      </c>
      <c r="E9" s="31" t="s">
        <v>1646</v>
      </c>
      <c r="G9" s="25"/>
      <c r="H9" s="31" t="s">
        <v>1647</v>
      </c>
      <c r="I9" s="46" t="s">
        <v>455</v>
      </c>
      <c r="J9" s="191" t="s">
        <v>456</v>
      </c>
      <c r="K9" s="191" t="s">
        <v>457</v>
      </c>
      <c r="L9" s="191" t="s">
        <v>0</v>
      </c>
      <c r="M9" s="191" t="s">
        <v>456</v>
      </c>
      <c r="N9" s="191" t="s">
        <v>457</v>
      </c>
      <c r="O9" s="191" t="s">
        <v>0</v>
      </c>
      <c r="Q9" s="174" t="s">
        <v>523</v>
      </c>
      <c r="R9" s="174">
        <v>5.0</v>
      </c>
      <c r="S9" s="175">
        <f>R9*2000</f>
        <v>10000</v>
      </c>
      <c r="T9" s="175">
        <f>R9*40</f>
        <v>200</v>
      </c>
    </row>
    <row r="10">
      <c r="A10" s="31" t="s">
        <v>1648</v>
      </c>
      <c r="B10" s="31" t="s">
        <v>54</v>
      </c>
      <c r="C10" s="31" t="s">
        <v>1649</v>
      </c>
      <c r="E10" s="31" t="s">
        <v>475</v>
      </c>
      <c r="H10" s="31" t="s">
        <v>1650</v>
      </c>
      <c r="I10" s="31" t="s">
        <v>1651</v>
      </c>
      <c r="J10" s="71" t="s">
        <v>1643</v>
      </c>
      <c r="K10" s="71" t="s">
        <v>467</v>
      </c>
      <c r="L10" s="71">
        <f>2000+5400</f>
        <v>7400</v>
      </c>
      <c r="M10" s="71" t="s">
        <v>1643</v>
      </c>
      <c r="N10" s="71" t="s">
        <v>1052</v>
      </c>
      <c r="O10" s="71">
        <v>324000.0</v>
      </c>
      <c r="Q10" s="174" t="s">
        <v>654</v>
      </c>
      <c r="R10" s="174">
        <v>3.0</v>
      </c>
      <c r="S10" s="175">
        <f>R10*8000</f>
        <v>24000</v>
      </c>
      <c r="T10" s="175">
        <f t="shared" ref="T10:T11" si="1">R10*80</f>
        <v>240</v>
      </c>
    </row>
    <row r="11">
      <c r="A11" s="31" t="s">
        <v>1652</v>
      </c>
      <c r="B11" s="55" t="s">
        <v>48</v>
      </c>
      <c r="C11" s="31" t="s">
        <v>1653</v>
      </c>
      <c r="E11" s="31" t="s">
        <v>1654</v>
      </c>
      <c r="F11" s="33" t="s">
        <v>1655</v>
      </c>
      <c r="H11" s="31" t="s">
        <v>1656</v>
      </c>
      <c r="I11" s="31" t="s">
        <v>1657</v>
      </c>
      <c r="K11" s="71" t="s">
        <v>489</v>
      </c>
      <c r="N11" s="71" t="s">
        <v>1064</v>
      </c>
      <c r="Q11" s="174" t="s">
        <v>511</v>
      </c>
      <c r="R11" s="174">
        <v>3.0</v>
      </c>
      <c r="S11" s="175">
        <f>R11*10000</f>
        <v>30000</v>
      </c>
      <c r="T11" s="175">
        <f t="shared" si="1"/>
        <v>240</v>
      </c>
    </row>
    <row r="12">
      <c r="A12" s="31" t="s">
        <v>1658</v>
      </c>
      <c r="B12" s="4" t="s">
        <v>60</v>
      </c>
      <c r="C12" s="31" t="s">
        <v>1659</v>
      </c>
      <c r="E12" s="31" t="s">
        <v>1660</v>
      </c>
      <c r="F12" s="184">
        <v>-270000.0</v>
      </c>
      <c r="H12" s="31" t="s">
        <v>1661</v>
      </c>
      <c r="I12" s="31" t="s">
        <v>1662</v>
      </c>
      <c r="K12" s="33" t="s">
        <v>498</v>
      </c>
      <c r="N12" s="71" t="s">
        <v>510</v>
      </c>
      <c r="Q12" s="174" t="s">
        <v>533</v>
      </c>
    </row>
    <row r="13">
      <c r="A13" s="31" t="s">
        <v>1663</v>
      </c>
      <c r="B13" s="55" t="s">
        <v>69</v>
      </c>
      <c r="C13" s="31" t="s">
        <v>1664</v>
      </c>
      <c r="E13" s="31" t="s">
        <v>1665</v>
      </c>
      <c r="F13" s="31" t="s">
        <v>1666</v>
      </c>
      <c r="H13" s="31" t="s">
        <v>1667</v>
      </c>
      <c r="I13" s="31" t="s">
        <v>1668</v>
      </c>
      <c r="J13" s="71" t="s">
        <v>1669</v>
      </c>
      <c r="K13" s="71" t="s">
        <v>1006</v>
      </c>
      <c r="L13" s="71">
        <v>6000.0</v>
      </c>
      <c r="N13" s="71" t="s">
        <v>1670</v>
      </c>
      <c r="Q13" s="174" t="s">
        <v>657</v>
      </c>
      <c r="R13" s="174">
        <v>1.0</v>
      </c>
      <c r="S13" s="175">
        <f t="shared" ref="S13:S15" si="2">R13*1500</f>
        <v>1500</v>
      </c>
      <c r="T13" s="175">
        <f t="shared" ref="T13:T15" si="3">R13*60</f>
        <v>60</v>
      </c>
    </row>
    <row r="14">
      <c r="A14" s="31" t="s">
        <v>1671</v>
      </c>
      <c r="B14" s="4" t="s">
        <v>87</v>
      </c>
      <c r="C14" s="31" t="s">
        <v>1672</v>
      </c>
      <c r="E14" s="31" t="s">
        <v>1412</v>
      </c>
      <c r="F14" s="31" t="s">
        <v>1673</v>
      </c>
      <c r="H14" s="31" t="s">
        <v>1674</v>
      </c>
      <c r="K14" s="71" t="s">
        <v>531</v>
      </c>
      <c r="N14" s="33" t="s">
        <v>1675</v>
      </c>
      <c r="Q14" s="174" t="s">
        <v>614</v>
      </c>
      <c r="R14" s="174">
        <v>9.0</v>
      </c>
      <c r="S14" s="175">
        <f t="shared" si="2"/>
        <v>13500</v>
      </c>
      <c r="T14" s="175">
        <f t="shared" si="3"/>
        <v>540</v>
      </c>
    </row>
    <row r="15">
      <c r="A15" s="31" t="s">
        <v>1676</v>
      </c>
      <c r="B15" s="4" t="s">
        <v>94</v>
      </c>
      <c r="C15" s="31" t="s">
        <v>1677</v>
      </c>
      <c r="E15" s="31" t="s">
        <v>1678</v>
      </c>
      <c r="F15" s="31" t="s">
        <v>1679</v>
      </c>
      <c r="H15" s="31" t="s">
        <v>1680</v>
      </c>
      <c r="J15" s="71" t="s">
        <v>1681</v>
      </c>
      <c r="K15" s="71" t="s">
        <v>467</v>
      </c>
      <c r="L15" s="71">
        <v>1000.0</v>
      </c>
      <c r="M15" s="71" t="s">
        <v>1682</v>
      </c>
      <c r="N15" s="71" t="s">
        <v>543</v>
      </c>
      <c r="O15" s="71">
        <v>4000.0</v>
      </c>
      <c r="Q15" s="174" t="s">
        <v>661</v>
      </c>
      <c r="R15" s="174">
        <v>1.0</v>
      </c>
      <c r="S15" s="175">
        <f t="shared" si="2"/>
        <v>1500</v>
      </c>
      <c r="T15" s="175">
        <f t="shared" si="3"/>
        <v>60</v>
      </c>
    </row>
    <row r="16">
      <c r="A16" s="31" t="s">
        <v>1683</v>
      </c>
      <c r="B16" s="4" t="s">
        <v>98</v>
      </c>
      <c r="C16" s="31" t="s">
        <v>506</v>
      </c>
      <c r="D16" s="33" t="s">
        <v>1684</v>
      </c>
      <c r="E16" s="31" t="s">
        <v>495</v>
      </c>
      <c r="F16" s="31" t="s">
        <v>1685</v>
      </c>
      <c r="H16" s="31" t="s">
        <v>1499</v>
      </c>
      <c r="J16" s="71" t="s">
        <v>1686</v>
      </c>
      <c r="K16" s="71" t="s">
        <v>1040</v>
      </c>
      <c r="L16" s="71">
        <f>2000+5400</f>
        <v>7400</v>
      </c>
      <c r="N16" s="71" t="s">
        <v>572</v>
      </c>
      <c r="Q16" s="52" t="s">
        <v>470</v>
      </c>
      <c r="S16" s="192">
        <f t="shared" ref="S16:T16" si="4">S8+S9+S10+S13+S14+S15+S11</f>
        <v>98500</v>
      </c>
      <c r="T16" s="192">
        <f t="shared" si="4"/>
        <v>1700</v>
      </c>
    </row>
    <row r="17">
      <c r="A17" s="31" t="s">
        <v>1687</v>
      </c>
      <c r="B17" s="4" t="s">
        <v>1688</v>
      </c>
      <c r="C17" s="31" t="s">
        <v>1689</v>
      </c>
      <c r="D17" s="31" t="s">
        <v>1690</v>
      </c>
      <c r="E17" s="31" t="s">
        <v>1665</v>
      </c>
      <c r="H17" s="31" t="s">
        <v>1691</v>
      </c>
      <c r="K17" s="33" t="s">
        <v>498</v>
      </c>
      <c r="M17" s="71" t="s">
        <v>1692</v>
      </c>
      <c r="N17" s="71" t="s">
        <v>469</v>
      </c>
      <c r="O17" s="71">
        <v>9000.0</v>
      </c>
      <c r="P17" s="173" t="s">
        <v>1693</v>
      </c>
      <c r="Q17" s="174" t="s">
        <v>533</v>
      </c>
    </row>
    <row r="18">
      <c r="A18" s="31" t="s">
        <v>1694</v>
      </c>
      <c r="B18" s="4" t="s">
        <v>1695</v>
      </c>
      <c r="C18" s="31" t="s">
        <v>1696</v>
      </c>
      <c r="D18" s="31" t="s">
        <v>1697</v>
      </c>
      <c r="E18" s="31" t="s">
        <v>1698</v>
      </c>
      <c r="N18" s="71" t="s">
        <v>532</v>
      </c>
      <c r="Q18" s="174" t="s">
        <v>614</v>
      </c>
      <c r="R18" s="174">
        <v>4.5</v>
      </c>
      <c r="S18" s="175">
        <f>R18*1500</f>
        <v>6750</v>
      </c>
      <c r="T18" s="175">
        <f>R18*60</f>
        <v>270</v>
      </c>
    </row>
    <row r="19">
      <c r="A19" s="31" t="s">
        <v>1699</v>
      </c>
      <c r="B19" s="4" t="s">
        <v>1700</v>
      </c>
      <c r="C19" s="31" t="s">
        <v>1696</v>
      </c>
      <c r="D19" s="31" t="s">
        <v>1701</v>
      </c>
      <c r="E19" s="31" t="s">
        <v>475</v>
      </c>
      <c r="G19" s="189" t="s">
        <v>594</v>
      </c>
      <c r="J19" s="193"/>
      <c r="K19" s="193"/>
      <c r="L19" s="193"/>
      <c r="N19" s="71" t="s">
        <v>572</v>
      </c>
      <c r="Q19" s="52" t="s">
        <v>470</v>
      </c>
      <c r="S19" s="192">
        <f t="shared" ref="S19:T19" si="5">S18</f>
        <v>6750</v>
      </c>
      <c r="T19" s="192">
        <f t="shared" si="5"/>
        <v>270</v>
      </c>
    </row>
    <row r="20">
      <c r="A20" s="31" t="s">
        <v>1702</v>
      </c>
      <c r="B20" s="4" t="s">
        <v>1703</v>
      </c>
      <c r="C20" s="31" t="s">
        <v>1704</v>
      </c>
      <c r="D20" s="31" t="s">
        <v>1705</v>
      </c>
      <c r="E20" s="31" t="s">
        <v>1706</v>
      </c>
      <c r="G20" s="179" t="s">
        <v>456</v>
      </c>
      <c r="H20" s="179" t="s">
        <v>457</v>
      </c>
      <c r="I20" s="179" t="s">
        <v>0</v>
      </c>
      <c r="J20" s="193"/>
      <c r="K20" s="193"/>
      <c r="L20" s="193"/>
      <c r="M20" s="71" t="s">
        <v>1686</v>
      </c>
      <c r="N20" s="71" t="s">
        <v>1025</v>
      </c>
      <c r="O20" s="71">
        <v>1000.0</v>
      </c>
      <c r="P20" s="173" t="s">
        <v>1707</v>
      </c>
      <c r="Q20" s="174" t="s">
        <v>533</v>
      </c>
    </row>
    <row r="21">
      <c r="A21" s="31" t="s">
        <v>1708</v>
      </c>
      <c r="B21" s="4" t="s">
        <v>1709</v>
      </c>
      <c r="C21" s="31" t="s">
        <v>570</v>
      </c>
      <c r="D21" s="31" t="s">
        <v>1710</v>
      </c>
      <c r="E21" s="31" t="s">
        <v>1711</v>
      </c>
      <c r="G21" s="71" t="s">
        <v>1712</v>
      </c>
      <c r="H21" s="71" t="s">
        <v>650</v>
      </c>
      <c r="I21" s="71">
        <v>500.0</v>
      </c>
      <c r="J21" s="193"/>
      <c r="K21" s="193"/>
      <c r="L21" s="193"/>
      <c r="M21" s="71" t="s">
        <v>1713</v>
      </c>
      <c r="N21" s="71" t="s">
        <v>469</v>
      </c>
      <c r="O21" s="71">
        <v>5000.0</v>
      </c>
      <c r="Q21" s="174" t="s">
        <v>614</v>
      </c>
      <c r="R21" s="174">
        <v>5.0</v>
      </c>
      <c r="S21" s="175">
        <f t="shared" ref="S21:S22" si="6">R21*1500</f>
        <v>7500</v>
      </c>
      <c r="T21" s="175">
        <f t="shared" ref="T21:T22" si="7">R21*60</f>
        <v>300</v>
      </c>
    </row>
    <row r="22">
      <c r="A22" s="31" t="s">
        <v>1714</v>
      </c>
      <c r="B22" s="4" t="s">
        <v>1715</v>
      </c>
      <c r="C22" s="31" t="s">
        <v>646</v>
      </c>
      <c r="E22" s="31" t="s">
        <v>1480</v>
      </c>
      <c r="H22" s="71" t="s">
        <v>635</v>
      </c>
      <c r="K22" s="193"/>
      <c r="L22" s="193"/>
      <c r="M22" s="71" t="s">
        <v>1716</v>
      </c>
      <c r="N22" s="71" t="s">
        <v>532</v>
      </c>
      <c r="O22" s="71">
        <v>3000.0</v>
      </c>
      <c r="Q22" s="174" t="s">
        <v>661</v>
      </c>
      <c r="R22" s="174">
        <v>2.0</v>
      </c>
      <c r="S22" s="175">
        <f t="shared" si="6"/>
        <v>3000</v>
      </c>
      <c r="T22" s="175">
        <f t="shared" si="7"/>
        <v>120</v>
      </c>
    </row>
    <row r="23">
      <c r="A23" s="31" t="s">
        <v>1717</v>
      </c>
      <c r="B23" s="4" t="s">
        <v>1718</v>
      </c>
      <c r="C23" s="64" t="s">
        <v>1477</v>
      </c>
      <c r="E23" s="31" t="s">
        <v>1719</v>
      </c>
      <c r="H23" s="71" t="s">
        <v>613</v>
      </c>
      <c r="M23" s="33" t="s">
        <v>1720</v>
      </c>
      <c r="O23" s="4">
        <v>500000.0</v>
      </c>
      <c r="Q23" s="52" t="s">
        <v>470</v>
      </c>
      <c r="S23" s="192">
        <f t="shared" ref="S23:T23" si="8">S21+S22</f>
        <v>10500</v>
      </c>
      <c r="T23" s="192">
        <f t="shared" si="8"/>
        <v>420</v>
      </c>
    </row>
    <row r="24">
      <c r="A24" s="31" t="s">
        <v>1721</v>
      </c>
      <c r="C24" s="194">
        <v>10000.0</v>
      </c>
      <c r="E24" s="31" t="s">
        <v>495</v>
      </c>
      <c r="G24" s="71" t="s">
        <v>1682</v>
      </c>
      <c r="H24" s="71" t="s">
        <v>631</v>
      </c>
      <c r="I24" s="71">
        <v>2000.0</v>
      </c>
      <c r="P24" s="173" t="s">
        <v>1722</v>
      </c>
      <c r="Q24" s="174" t="s">
        <v>533</v>
      </c>
    </row>
    <row r="25">
      <c r="A25" s="31" t="s">
        <v>1723</v>
      </c>
      <c r="C25" s="195" t="s">
        <v>1724</v>
      </c>
      <c r="E25" s="31" t="s">
        <v>1412</v>
      </c>
      <c r="H25" s="71" t="s">
        <v>621</v>
      </c>
      <c r="Q25" s="174" t="s">
        <v>614</v>
      </c>
      <c r="R25" s="174">
        <v>4.0</v>
      </c>
      <c r="S25" s="175">
        <f>R25*1500</f>
        <v>6000</v>
      </c>
      <c r="T25" s="175">
        <f>R25*60</f>
        <v>240</v>
      </c>
    </row>
    <row r="26">
      <c r="A26" s="31" t="s">
        <v>1725</v>
      </c>
      <c r="E26" s="31" t="s">
        <v>1726</v>
      </c>
      <c r="H26" s="71" t="s">
        <v>652</v>
      </c>
      <c r="Q26" s="52" t="s">
        <v>470</v>
      </c>
      <c r="S26" s="192">
        <f t="shared" ref="S26:T26" si="9">S25</f>
        <v>6000</v>
      </c>
      <c r="T26" s="192">
        <f t="shared" si="9"/>
        <v>240</v>
      </c>
    </row>
    <row r="27">
      <c r="A27" s="31" t="s">
        <v>1727</v>
      </c>
      <c r="E27" s="31" t="s">
        <v>1728</v>
      </c>
      <c r="G27" s="71" t="s">
        <v>1729</v>
      </c>
      <c r="H27" s="71" t="s">
        <v>605</v>
      </c>
      <c r="I27" s="71">
        <v>4000.0</v>
      </c>
      <c r="P27" s="173" t="s">
        <v>1730</v>
      </c>
      <c r="Q27" s="174" t="s">
        <v>533</v>
      </c>
    </row>
    <row r="28">
      <c r="A28" s="31" t="s">
        <v>1731</v>
      </c>
      <c r="E28" s="31" t="s">
        <v>1732</v>
      </c>
      <c r="H28" s="71" t="s">
        <v>621</v>
      </c>
      <c r="Q28" s="174" t="s">
        <v>614</v>
      </c>
      <c r="R28" s="174">
        <v>3.0</v>
      </c>
      <c r="S28" s="175">
        <f>R28*1500</f>
        <v>4500</v>
      </c>
      <c r="T28" s="175">
        <f>R28*60</f>
        <v>180</v>
      </c>
    </row>
    <row r="29">
      <c r="A29" s="31" t="s">
        <v>1733</v>
      </c>
      <c r="E29" s="31" t="s">
        <v>1734</v>
      </c>
      <c r="H29" s="71" t="s">
        <v>625</v>
      </c>
      <c r="Q29" s="52" t="s">
        <v>470</v>
      </c>
      <c r="S29" s="192">
        <f t="shared" ref="S29:T29" si="10">S28</f>
        <v>4500</v>
      </c>
      <c r="T29" s="192">
        <f t="shared" si="10"/>
        <v>180</v>
      </c>
    </row>
    <row r="30">
      <c r="A30" s="31" t="s">
        <v>1735</v>
      </c>
      <c r="E30" s="31" t="s">
        <v>475</v>
      </c>
      <c r="G30" s="71" t="s">
        <v>1736</v>
      </c>
      <c r="H30" s="71" t="s">
        <v>631</v>
      </c>
      <c r="I30" s="71">
        <v>1500.0</v>
      </c>
      <c r="P30" s="173" t="s">
        <v>1737</v>
      </c>
      <c r="Q30" s="174" t="s">
        <v>533</v>
      </c>
    </row>
    <row r="31">
      <c r="A31" s="31" t="s">
        <v>1738</v>
      </c>
      <c r="E31" s="31" t="s">
        <v>1473</v>
      </c>
      <c r="H31" s="71" t="s">
        <v>644</v>
      </c>
      <c r="Q31" s="174" t="s">
        <v>614</v>
      </c>
      <c r="R31" s="174">
        <v>3.0</v>
      </c>
      <c r="S31" s="175">
        <f t="shared" ref="S31:S32" si="11">R31*1500</f>
        <v>4500</v>
      </c>
      <c r="T31" s="175">
        <f t="shared" ref="T31:T32" si="12">R31*60</f>
        <v>180</v>
      </c>
    </row>
    <row r="32">
      <c r="E32" s="31" t="s">
        <v>1739</v>
      </c>
      <c r="H32" s="71" t="s">
        <v>652</v>
      </c>
      <c r="Q32" s="174" t="s">
        <v>1740</v>
      </c>
      <c r="R32" s="174">
        <v>1.0</v>
      </c>
      <c r="S32" s="175">
        <f t="shared" si="11"/>
        <v>1500</v>
      </c>
      <c r="T32" s="175">
        <f t="shared" si="12"/>
        <v>60</v>
      </c>
    </row>
    <row r="33">
      <c r="E33" s="31" t="s">
        <v>495</v>
      </c>
      <c r="G33" s="71" t="s">
        <v>1741</v>
      </c>
      <c r="H33" s="71" t="s">
        <v>650</v>
      </c>
      <c r="I33" s="71">
        <v>500.0</v>
      </c>
      <c r="Q33" s="52" t="s">
        <v>470</v>
      </c>
      <c r="S33" s="192">
        <f t="shared" ref="S33:T33" si="13">S31+S32</f>
        <v>6000</v>
      </c>
      <c r="T33" s="192">
        <f t="shared" si="13"/>
        <v>240</v>
      </c>
    </row>
    <row r="34">
      <c r="E34" s="31" t="s">
        <v>1480</v>
      </c>
      <c r="H34" s="71" t="s">
        <v>635</v>
      </c>
      <c r="P34" s="173" t="s">
        <v>1742</v>
      </c>
      <c r="Q34" s="174" t="s">
        <v>533</v>
      </c>
    </row>
    <row r="35">
      <c r="E35" s="31" t="s">
        <v>1743</v>
      </c>
      <c r="H35" s="71" t="s">
        <v>613</v>
      </c>
      <c r="Q35" s="174" t="s">
        <v>1740</v>
      </c>
      <c r="R35" s="174">
        <v>1.0</v>
      </c>
      <c r="S35" s="175">
        <f>R35*1500</f>
        <v>1500</v>
      </c>
      <c r="T35" s="175">
        <f>R35*60</f>
        <v>60</v>
      </c>
    </row>
    <row r="36">
      <c r="E36" s="31" t="s">
        <v>475</v>
      </c>
      <c r="G36" s="71" t="s">
        <v>1744</v>
      </c>
      <c r="H36" s="71" t="s">
        <v>650</v>
      </c>
      <c r="I36" s="71">
        <v>500.0</v>
      </c>
      <c r="Q36" s="52" t="s">
        <v>470</v>
      </c>
      <c r="S36" s="192">
        <f t="shared" ref="S36:T36" si="14">S35</f>
        <v>1500</v>
      </c>
      <c r="T36" s="192">
        <f t="shared" si="14"/>
        <v>60</v>
      </c>
    </row>
    <row r="37">
      <c r="E37" s="31" t="s">
        <v>1745</v>
      </c>
      <c r="H37" s="71" t="s">
        <v>635</v>
      </c>
      <c r="P37" s="196" t="s">
        <v>1746</v>
      </c>
      <c r="Q37" s="174" t="s">
        <v>523</v>
      </c>
      <c r="R37" s="174">
        <v>1.0</v>
      </c>
      <c r="S37" s="175">
        <f>R37*2000</f>
        <v>2000</v>
      </c>
      <c r="T37" s="175">
        <f>R37*40</f>
        <v>40</v>
      </c>
    </row>
    <row r="38">
      <c r="E38" s="31" t="s">
        <v>495</v>
      </c>
      <c r="H38" s="71" t="s">
        <v>613</v>
      </c>
      <c r="Q38" s="174" t="s">
        <v>511</v>
      </c>
      <c r="R38" s="174">
        <v>1.0</v>
      </c>
      <c r="S38" s="175">
        <f>R38*10000</f>
        <v>10000</v>
      </c>
      <c r="T38" s="175">
        <f>R38*80</f>
        <v>80</v>
      </c>
    </row>
    <row r="39">
      <c r="E39" s="31" t="s">
        <v>1747</v>
      </c>
      <c r="Q39" s="52" t="s">
        <v>470</v>
      </c>
      <c r="S39" s="192">
        <f t="shared" ref="S39:T39" si="15">S38+S37</f>
        <v>12000</v>
      </c>
      <c r="T39" s="192">
        <f t="shared" si="15"/>
        <v>120</v>
      </c>
    </row>
    <row r="40">
      <c r="E40" s="31" t="s">
        <v>1748</v>
      </c>
    </row>
    <row r="41">
      <c r="E41" s="31" t="s">
        <v>1728</v>
      </c>
    </row>
    <row r="42">
      <c r="E42" s="31" t="s">
        <v>1747</v>
      </c>
    </row>
    <row r="43">
      <c r="E43" s="76" t="s">
        <v>1749</v>
      </c>
    </row>
    <row r="45">
      <c r="E45" s="84" t="s">
        <v>1750</v>
      </c>
    </row>
    <row r="46">
      <c r="E46" s="31" t="s">
        <v>1646</v>
      </c>
    </row>
    <row r="47">
      <c r="E47" s="31" t="s">
        <v>1751</v>
      </c>
    </row>
    <row r="49">
      <c r="E49" s="84" t="s">
        <v>1752</v>
      </c>
    </row>
    <row r="52">
      <c r="A52" s="47" t="s">
        <v>366</v>
      </c>
    </row>
    <row r="53">
      <c r="A53" s="47">
        <f>A55+A73+A89+A105+A121+A141+A172+A204+A226</f>
        <v>3126660</v>
      </c>
    </row>
    <row r="54">
      <c r="A54" s="82" t="s">
        <v>1123</v>
      </c>
    </row>
    <row r="55">
      <c r="A55" s="82">
        <v>44550.0</v>
      </c>
    </row>
    <row r="56">
      <c r="A56" s="82">
        <v>2026.0</v>
      </c>
    </row>
    <row r="57">
      <c r="A57" s="50" t="s">
        <v>665</v>
      </c>
      <c r="B57" s="50" t="s">
        <v>119</v>
      </c>
      <c r="C57" s="50" t="s">
        <v>142</v>
      </c>
      <c r="D57" s="50" t="s">
        <v>126</v>
      </c>
      <c r="E57" s="50" t="s">
        <v>130</v>
      </c>
    </row>
    <row r="58">
      <c r="B58" s="84" t="s">
        <v>1753</v>
      </c>
      <c r="C58" s="84" t="s">
        <v>1754</v>
      </c>
      <c r="E58" s="84" t="s">
        <v>1755</v>
      </c>
    </row>
    <row r="59">
      <c r="B59" s="31" t="s">
        <v>1756</v>
      </c>
      <c r="C59" s="31" t="s">
        <v>1643</v>
      </c>
      <c r="E59" s="31" t="s">
        <v>1646</v>
      </c>
    </row>
    <row r="60">
      <c r="B60" s="31" t="s">
        <v>673</v>
      </c>
      <c r="C60" s="31" t="s">
        <v>673</v>
      </c>
      <c r="E60" s="31" t="s">
        <v>673</v>
      </c>
    </row>
    <row r="61">
      <c r="B61" s="31" t="s">
        <v>676</v>
      </c>
      <c r="C61" s="31" t="s">
        <v>1573</v>
      </c>
      <c r="E61" s="31" t="s">
        <v>1573</v>
      </c>
    </row>
    <row r="62">
      <c r="B62" s="31" t="s">
        <v>1757</v>
      </c>
      <c r="C62" s="31" t="s">
        <v>682</v>
      </c>
      <c r="E62" s="31" t="s">
        <v>1758</v>
      </c>
    </row>
    <row r="63">
      <c r="B63" s="31" t="s">
        <v>1759</v>
      </c>
      <c r="C63" s="31" t="s">
        <v>676</v>
      </c>
      <c r="E63" s="31" t="s">
        <v>1559</v>
      </c>
    </row>
    <row r="64">
      <c r="B64" s="31" t="s">
        <v>678</v>
      </c>
      <c r="C64" s="31" t="s">
        <v>1760</v>
      </c>
    </row>
    <row r="65">
      <c r="C65" s="31" t="s">
        <v>1693</v>
      </c>
    </row>
    <row r="66">
      <c r="C66" s="31" t="s">
        <v>718</v>
      </c>
    </row>
    <row r="67">
      <c r="C67" s="31" t="s">
        <v>1761</v>
      </c>
    </row>
    <row r="68">
      <c r="C68" s="31" t="s">
        <v>1762</v>
      </c>
    </row>
    <row r="69">
      <c r="C69" s="31" t="s">
        <v>1763</v>
      </c>
    </row>
    <row r="70">
      <c r="C70" s="31" t="s">
        <v>677</v>
      </c>
    </row>
    <row r="71">
      <c r="A71" s="85"/>
    </row>
    <row r="72">
      <c r="A72" s="86" t="s">
        <v>686</v>
      </c>
    </row>
    <row r="73">
      <c r="A73" s="86">
        <v>29860.0</v>
      </c>
    </row>
    <row r="74">
      <c r="A74" s="87">
        <v>2026.0</v>
      </c>
    </row>
    <row r="75">
      <c r="A75" s="50" t="s">
        <v>687</v>
      </c>
      <c r="B75" s="50" t="s">
        <v>688</v>
      </c>
      <c r="C75" s="50" t="s">
        <v>689</v>
      </c>
      <c r="D75" s="50" t="s">
        <v>690</v>
      </c>
      <c r="E75" s="50" t="s">
        <v>691</v>
      </c>
      <c r="F75" s="50" t="s">
        <v>692</v>
      </c>
    </row>
    <row r="76">
      <c r="B76" s="84" t="s">
        <v>1764</v>
      </c>
      <c r="C76" s="84" t="s">
        <v>1576</v>
      </c>
      <c r="E76" s="84" t="s">
        <v>1765</v>
      </c>
      <c r="F76" s="84" t="s">
        <v>1766</v>
      </c>
    </row>
    <row r="77">
      <c r="B77" s="31" t="s">
        <v>1767</v>
      </c>
      <c r="C77" s="31" t="s">
        <v>1756</v>
      </c>
      <c r="E77" s="31" t="s">
        <v>1643</v>
      </c>
      <c r="F77" s="31" t="s">
        <v>1768</v>
      </c>
    </row>
    <row r="78">
      <c r="B78" s="31" t="s">
        <v>716</v>
      </c>
      <c r="C78" s="31" t="s">
        <v>703</v>
      </c>
      <c r="E78" s="31" t="s">
        <v>1132</v>
      </c>
      <c r="F78" s="31" t="s">
        <v>685</v>
      </c>
    </row>
    <row r="79">
      <c r="B79" s="31" t="s">
        <v>676</v>
      </c>
      <c r="E79" s="31" t="s">
        <v>705</v>
      </c>
      <c r="F79" s="31" t="s">
        <v>713</v>
      </c>
    </row>
    <row r="80">
      <c r="E80" s="31" t="s">
        <v>1769</v>
      </c>
      <c r="F80" s="31" t="s">
        <v>1770</v>
      </c>
    </row>
    <row r="81">
      <c r="E81" s="31" t="s">
        <v>1693</v>
      </c>
      <c r="F81" s="31" t="s">
        <v>701</v>
      </c>
    </row>
    <row r="82">
      <c r="E82" s="31" t="s">
        <v>1771</v>
      </c>
      <c r="F82" s="31" t="s">
        <v>713</v>
      </c>
    </row>
    <row r="83">
      <c r="E83" s="31" t="s">
        <v>1769</v>
      </c>
    </row>
    <row r="84">
      <c r="E84" s="31" t="s">
        <v>1772</v>
      </c>
    </row>
    <row r="85">
      <c r="E85" s="31" t="s">
        <v>1773</v>
      </c>
    </row>
    <row r="86">
      <c r="E86" s="31" t="s">
        <v>1769</v>
      </c>
    </row>
    <row r="87">
      <c r="A87" s="85"/>
    </row>
    <row r="88">
      <c r="A88" s="22" t="s">
        <v>1774</v>
      </c>
    </row>
    <row r="89">
      <c r="A89" s="22">
        <v>34800.0</v>
      </c>
    </row>
    <row r="90">
      <c r="A90" s="19">
        <v>2026.0</v>
      </c>
    </row>
    <row r="91">
      <c r="A91" s="88" t="s">
        <v>1775</v>
      </c>
    </row>
    <row r="92">
      <c r="A92" s="50" t="s">
        <v>733</v>
      </c>
      <c r="B92" s="50" t="s">
        <v>191</v>
      </c>
      <c r="C92" s="50" t="s">
        <v>734</v>
      </c>
      <c r="D92" s="50" t="s">
        <v>735</v>
      </c>
      <c r="E92" s="50" t="s">
        <v>187</v>
      </c>
      <c r="F92" s="50" t="s">
        <v>736</v>
      </c>
      <c r="G92" s="50" t="s">
        <v>179</v>
      </c>
      <c r="H92" s="50" t="s">
        <v>737</v>
      </c>
    </row>
    <row r="93">
      <c r="A93" s="76" t="s">
        <v>377</v>
      </c>
      <c r="B93" s="76" t="s">
        <v>377</v>
      </c>
      <c r="C93" s="76" t="s">
        <v>1776</v>
      </c>
      <c r="D93" s="76" t="s">
        <v>1576</v>
      </c>
      <c r="E93" s="76" t="s">
        <v>377</v>
      </c>
      <c r="F93" s="76" t="s">
        <v>1777</v>
      </c>
      <c r="G93" s="76" t="s">
        <v>377</v>
      </c>
      <c r="H93" s="76" t="s">
        <v>1778</v>
      </c>
    </row>
    <row r="94">
      <c r="C94" s="31" t="s">
        <v>1643</v>
      </c>
      <c r="D94" s="31" t="s">
        <v>1779</v>
      </c>
      <c r="F94" s="31" t="s">
        <v>1712</v>
      </c>
      <c r="H94" s="31" t="s">
        <v>1780</v>
      </c>
    </row>
    <row r="95">
      <c r="C95" s="31" t="s">
        <v>702</v>
      </c>
      <c r="D95" s="31" t="s">
        <v>703</v>
      </c>
      <c r="F95" s="31" t="s">
        <v>701</v>
      </c>
      <c r="H95" s="31" t="s">
        <v>702</v>
      </c>
    </row>
    <row r="96">
      <c r="C96" s="31" t="s">
        <v>613</v>
      </c>
      <c r="F96" s="31" t="s">
        <v>1781</v>
      </c>
      <c r="H96" s="31" t="s">
        <v>1159</v>
      </c>
    </row>
    <row r="97">
      <c r="C97" s="31" t="s">
        <v>1782</v>
      </c>
      <c r="F97" s="31" t="s">
        <v>1161</v>
      </c>
      <c r="H97" s="31" t="s">
        <v>1693</v>
      </c>
    </row>
    <row r="98">
      <c r="C98" s="31" t="s">
        <v>703</v>
      </c>
      <c r="F98" s="31" t="s">
        <v>613</v>
      </c>
      <c r="H98" s="31" t="s">
        <v>926</v>
      </c>
    </row>
    <row r="99">
      <c r="F99" s="31" t="s">
        <v>1783</v>
      </c>
      <c r="H99" s="31" t="s">
        <v>1159</v>
      </c>
    </row>
    <row r="100">
      <c r="F100" s="31" t="s">
        <v>1784</v>
      </c>
    </row>
    <row r="101">
      <c r="F101" s="31" t="s">
        <v>644</v>
      </c>
    </row>
    <row r="102">
      <c r="F102" s="31" t="s">
        <v>1785</v>
      </c>
    </row>
    <row r="103">
      <c r="F103" s="31" t="s">
        <v>726</v>
      </c>
    </row>
    <row r="104">
      <c r="A104" s="90" t="s">
        <v>787</v>
      </c>
    </row>
    <row r="105">
      <c r="A105" s="90">
        <f>A108</f>
        <v>80700</v>
      </c>
    </row>
    <row r="106">
      <c r="A106" s="90">
        <v>2026.0</v>
      </c>
    </row>
    <row r="107">
      <c r="A107" s="90" t="s">
        <v>1786</v>
      </c>
    </row>
    <row r="108">
      <c r="A108" s="90">
        <f>A111+B111+C111+D111+E111+F111+G111+H111</f>
        <v>80700</v>
      </c>
    </row>
    <row r="109">
      <c r="A109" s="50" t="s">
        <v>789</v>
      </c>
      <c r="B109" s="50" t="s">
        <v>790</v>
      </c>
      <c r="C109" s="50" t="s">
        <v>215</v>
      </c>
      <c r="D109" s="50" t="s">
        <v>791</v>
      </c>
      <c r="E109" s="50" t="s">
        <v>202</v>
      </c>
      <c r="F109" s="50" t="s">
        <v>792</v>
      </c>
      <c r="G109" s="50" t="s">
        <v>793</v>
      </c>
      <c r="H109" s="50" t="s">
        <v>205</v>
      </c>
    </row>
    <row r="110">
      <c r="A110" s="33" t="s">
        <v>693</v>
      </c>
      <c r="B110" s="33" t="s">
        <v>377</v>
      </c>
      <c r="C110" s="33" t="s">
        <v>377</v>
      </c>
      <c r="D110" s="33" t="s">
        <v>377</v>
      </c>
      <c r="E110" s="33" t="s">
        <v>377</v>
      </c>
      <c r="F110" s="33" t="s">
        <v>377</v>
      </c>
      <c r="G110" s="33" t="s">
        <v>377</v>
      </c>
      <c r="H110" s="33" t="s">
        <v>377</v>
      </c>
    </row>
    <row r="111">
      <c r="A111" s="50">
        <v>29000.0</v>
      </c>
      <c r="B111" s="50">
        <v>0.0</v>
      </c>
      <c r="C111" s="50">
        <v>0.0</v>
      </c>
      <c r="D111" s="50">
        <v>0.0</v>
      </c>
      <c r="E111" s="50">
        <v>0.0</v>
      </c>
      <c r="F111" s="50">
        <v>38750.0</v>
      </c>
      <c r="G111" s="50">
        <v>1000.0</v>
      </c>
      <c r="H111" s="50">
        <v>11950.0</v>
      </c>
    </row>
    <row r="112">
      <c r="A112" s="31" t="s">
        <v>1646</v>
      </c>
      <c r="F112" s="31" t="s">
        <v>1643</v>
      </c>
      <c r="G112" s="31" t="s">
        <v>1787</v>
      </c>
      <c r="H112" s="31" t="s">
        <v>1788</v>
      </c>
    </row>
    <row r="113">
      <c r="A113" s="31" t="s">
        <v>799</v>
      </c>
      <c r="F113" s="31" t="s">
        <v>799</v>
      </c>
      <c r="G113" s="31" t="s">
        <v>677</v>
      </c>
      <c r="H113" s="31" t="s">
        <v>826</v>
      </c>
    </row>
    <row r="114">
      <c r="A114" s="31" t="s">
        <v>1789</v>
      </c>
      <c r="F114" s="31" t="s">
        <v>1693</v>
      </c>
      <c r="H114" s="31" t="s">
        <v>817</v>
      </c>
    </row>
    <row r="115">
      <c r="A115" s="31" t="s">
        <v>1757</v>
      </c>
      <c r="F115" s="31" t="s">
        <v>885</v>
      </c>
    </row>
    <row r="116">
      <c r="A116" s="31" t="s">
        <v>809</v>
      </c>
      <c r="F116" s="31" t="s">
        <v>806</v>
      </c>
    </row>
    <row r="117">
      <c r="A117" s="31" t="s">
        <v>1785</v>
      </c>
    </row>
    <row r="118">
      <c r="A118" s="31" t="s">
        <v>677</v>
      </c>
    </row>
    <row r="120">
      <c r="A120" s="92" t="s">
        <v>828</v>
      </c>
    </row>
    <row r="121">
      <c r="A121" s="92">
        <f>A124</f>
        <v>116900</v>
      </c>
    </row>
    <row r="122">
      <c r="A122" s="92">
        <v>2026.0</v>
      </c>
    </row>
    <row r="123">
      <c r="A123" s="92" t="s">
        <v>368</v>
      </c>
    </row>
    <row r="124">
      <c r="A124" s="93">
        <f>A127+B127+C127+D127+E127+F127+G127+H127+I127+J127</f>
        <v>116900</v>
      </c>
    </row>
    <row r="125">
      <c r="A125" s="94" t="s">
        <v>829</v>
      </c>
      <c r="B125" s="94" t="s">
        <v>830</v>
      </c>
      <c r="C125" s="94" t="s">
        <v>831</v>
      </c>
      <c r="D125" s="94" t="s">
        <v>832</v>
      </c>
      <c r="E125" s="94" t="s">
        <v>833</v>
      </c>
      <c r="F125" s="94" t="s">
        <v>834</v>
      </c>
      <c r="G125" s="94" t="s">
        <v>835</v>
      </c>
      <c r="H125" s="94" t="s">
        <v>836</v>
      </c>
      <c r="I125" s="95" t="s">
        <v>837</v>
      </c>
      <c r="J125" s="95" t="s">
        <v>838</v>
      </c>
    </row>
    <row r="126">
      <c r="A126" s="33" t="s">
        <v>377</v>
      </c>
      <c r="B126" s="33" t="s">
        <v>377</v>
      </c>
      <c r="C126" s="33" t="s">
        <v>377</v>
      </c>
      <c r="D126" s="33" t="s">
        <v>377</v>
      </c>
      <c r="E126" s="33" t="s">
        <v>377</v>
      </c>
      <c r="F126" s="33" t="s">
        <v>377</v>
      </c>
      <c r="G126" s="33" t="s">
        <v>377</v>
      </c>
      <c r="H126" s="33" t="s">
        <v>377</v>
      </c>
      <c r="I126" s="33" t="s">
        <v>377</v>
      </c>
      <c r="J126" s="33" t="s">
        <v>377</v>
      </c>
    </row>
    <row r="127">
      <c r="A127" s="50">
        <v>1700.0</v>
      </c>
      <c r="B127" s="50">
        <v>3100.0</v>
      </c>
      <c r="C127" s="50">
        <v>28000.0</v>
      </c>
      <c r="D127" s="50">
        <v>0.0</v>
      </c>
      <c r="E127" s="50">
        <v>0.0</v>
      </c>
      <c r="F127" s="50">
        <v>66500.0</v>
      </c>
      <c r="G127" s="50">
        <v>15400.0</v>
      </c>
      <c r="H127" s="50">
        <v>0.0</v>
      </c>
      <c r="I127" s="50">
        <v>0.0</v>
      </c>
      <c r="J127" s="50">
        <v>2200.0</v>
      </c>
    </row>
    <row r="128">
      <c r="A128" s="31" t="s">
        <v>1790</v>
      </c>
      <c r="B128" s="31" t="s">
        <v>1791</v>
      </c>
      <c r="C128" s="31" t="s">
        <v>1792</v>
      </c>
      <c r="F128" s="31" t="s">
        <v>1646</v>
      </c>
      <c r="G128" s="31" t="s">
        <v>1779</v>
      </c>
      <c r="J128" s="31" t="s">
        <v>1793</v>
      </c>
    </row>
    <row r="129">
      <c r="A129" s="31" t="s">
        <v>703</v>
      </c>
      <c r="B129" s="31" t="s">
        <v>1794</v>
      </c>
      <c r="C129" s="31" t="s">
        <v>1795</v>
      </c>
      <c r="F129" s="31" t="s">
        <v>845</v>
      </c>
      <c r="G129" s="31" t="s">
        <v>765</v>
      </c>
      <c r="J129" s="31" t="s">
        <v>701</v>
      </c>
    </row>
    <row r="130">
      <c r="A130" s="31" t="s">
        <v>1796</v>
      </c>
      <c r="B130" s="31" t="s">
        <v>1199</v>
      </c>
      <c r="C130" s="31" t="s">
        <v>1797</v>
      </c>
      <c r="F130" s="31" t="s">
        <v>1798</v>
      </c>
      <c r="G130" s="31" t="s">
        <v>1770</v>
      </c>
    </row>
    <row r="131">
      <c r="A131" s="31" t="s">
        <v>1759</v>
      </c>
      <c r="C131" s="31" t="s">
        <v>826</v>
      </c>
      <c r="F131" s="31" t="s">
        <v>1609</v>
      </c>
      <c r="G131" s="31" t="s">
        <v>765</v>
      </c>
    </row>
    <row r="132">
      <c r="C132" s="31" t="s">
        <v>1799</v>
      </c>
      <c r="F132" s="31" t="s">
        <v>1195</v>
      </c>
      <c r="G132" s="31" t="s">
        <v>1707</v>
      </c>
    </row>
    <row r="133">
      <c r="C133" s="31" t="s">
        <v>826</v>
      </c>
      <c r="F133" s="31" t="s">
        <v>854</v>
      </c>
      <c r="G133" s="31" t="s">
        <v>846</v>
      </c>
    </row>
    <row r="134">
      <c r="C134" s="31" t="s">
        <v>1800</v>
      </c>
      <c r="F134" s="31" t="s">
        <v>1801</v>
      </c>
    </row>
    <row r="135">
      <c r="C135" s="31" t="s">
        <v>379</v>
      </c>
      <c r="F135" s="31" t="s">
        <v>912</v>
      </c>
    </row>
    <row r="136">
      <c r="A136" s="96" t="s">
        <v>871</v>
      </c>
    </row>
    <row r="140">
      <c r="A140" s="97" t="s">
        <v>1802</v>
      </c>
    </row>
    <row r="141">
      <c r="A141" s="97">
        <f>-350000+A145</f>
        <v>1005200</v>
      </c>
    </row>
    <row r="142">
      <c r="A142" s="97">
        <v>2026.0</v>
      </c>
    </row>
    <row r="143">
      <c r="A143" s="197" t="s">
        <v>1803</v>
      </c>
    </row>
    <row r="144">
      <c r="A144" s="97" t="s">
        <v>368</v>
      </c>
    </row>
    <row r="145">
      <c r="A145" s="98">
        <f>A148+B148+C148+D148+E148+F148+G148+H148+I148+J148</f>
        <v>1355200</v>
      </c>
    </row>
    <row r="146">
      <c r="A146" s="50" t="s">
        <v>873</v>
      </c>
      <c r="B146" s="50" t="s">
        <v>874</v>
      </c>
      <c r="C146" s="50" t="s">
        <v>875</v>
      </c>
      <c r="D146" s="50" t="s">
        <v>876</v>
      </c>
      <c r="E146" s="50" t="s">
        <v>877</v>
      </c>
      <c r="F146" s="50" t="s">
        <v>878</v>
      </c>
      <c r="G146" s="94" t="s">
        <v>879</v>
      </c>
      <c r="H146" s="99" t="s">
        <v>880</v>
      </c>
      <c r="I146" s="99" t="s">
        <v>881</v>
      </c>
      <c r="J146" s="99" t="s">
        <v>882</v>
      </c>
    </row>
    <row r="147">
      <c r="A147" s="33" t="s">
        <v>377</v>
      </c>
      <c r="B147" s="33" t="s">
        <v>377</v>
      </c>
      <c r="C147" s="33" t="s">
        <v>377</v>
      </c>
      <c r="D147" s="33" t="s">
        <v>377</v>
      </c>
      <c r="E147" s="33" t="s">
        <v>377</v>
      </c>
      <c r="F147" s="33" t="s">
        <v>377</v>
      </c>
      <c r="G147" s="33" t="s">
        <v>377</v>
      </c>
      <c r="H147" s="64" t="s">
        <v>377</v>
      </c>
      <c r="I147" s="64" t="s">
        <v>377</v>
      </c>
      <c r="J147" s="64" t="s">
        <v>377</v>
      </c>
    </row>
    <row r="148">
      <c r="A148" s="50">
        <v>138000.0</v>
      </c>
      <c r="B148" s="50">
        <v>371000.0</v>
      </c>
      <c r="C148" s="50">
        <v>127000.0</v>
      </c>
      <c r="D148" s="50">
        <f>186000+97800</f>
        <v>283800</v>
      </c>
      <c r="E148" s="50"/>
      <c r="F148" s="50"/>
      <c r="G148" s="50">
        <v>93000.0</v>
      </c>
      <c r="H148" s="50">
        <f>90000+40400</f>
        <v>130400</v>
      </c>
      <c r="I148" s="50">
        <v>94500.0</v>
      </c>
      <c r="J148" s="50">
        <v>117500.0</v>
      </c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</row>
    <row r="149">
      <c r="A149" s="75" t="s">
        <v>1804</v>
      </c>
      <c r="B149" s="75" t="s">
        <v>1712</v>
      </c>
      <c r="C149" s="75" t="s">
        <v>1805</v>
      </c>
      <c r="D149" s="75" t="s">
        <v>1792</v>
      </c>
      <c r="E149" s="105"/>
      <c r="F149" s="105"/>
      <c r="G149" s="75" t="s">
        <v>1806</v>
      </c>
      <c r="H149" s="75" t="s">
        <v>1643</v>
      </c>
      <c r="I149" s="75" t="s">
        <v>1807</v>
      </c>
      <c r="J149" s="75" t="s">
        <v>1793</v>
      </c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</row>
    <row r="150">
      <c r="A150" s="75" t="s">
        <v>1808</v>
      </c>
      <c r="B150" s="75" t="s">
        <v>1808</v>
      </c>
      <c r="C150" s="75" t="s">
        <v>1808</v>
      </c>
      <c r="D150" s="75" t="s">
        <v>1808</v>
      </c>
      <c r="E150" s="105"/>
      <c r="F150" s="105"/>
      <c r="G150" s="75" t="s">
        <v>1808</v>
      </c>
      <c r="H150" s="75" t="s">
        <v>1808</v>
      </c>
      <c r="I150" s="75" t="s">
        <v>1808</v>
      </c>
      <c r="J150" s="75" t="s">
        <v>1808</v>
      </c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</row>
    <row r="151">
      <c r="A151" s="31" t="s">
        <v>896</v>
      </c>
      <c r="B151" s="31" t="s">
        <v>900</v>
      </c>
      <c r="C151" s="31" t="s">
        <v>896</v>
      </c>
      <c r="D151" s="31" t="s">
        <v>890</v>
      </c>
      <c r="E151" s="105"/>
      <c r="F151" s="105"/>
      <c r="G151" s="75" t="s">
        <v>903</v>
      </c>
      <c r="H151" s="75" t="s">
        <v>1809</v>
      </c>
      <c r="I151" s="31" t="s">
        <v>890</v>
      </c>
      <c r="J151" s="31" t="s">
        <v>900</v>
      </c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</row>
    <row r="152">
      <c r="A152" s="31" t="s">
        <v>1810</v>
      </c>
      <c r="B152" s="31" t="s">
        <v>898</v>
      </c>
      <c r="C152" s="31" t="s">
        <v>1811</v>
      </c>
      <c r="D152" s="75" t="s">
        <v>898</v>
      </c>
      <c r="E152" s="105"/>
      <c r="F152" s="105"/>
      <c r="G152" s="105"/>
      <c r="H152" s="105"/>
      <c r="I152" s="75" t="s">
        <v>898</v>
      </c>
      <c r="J152" s="75" t="s">
        <v>898</v>
      </c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</row>
    <row r="153">
      <c r="A153" s="75" t="s">
        <v>1782</v>
      </c>
      <c r="B153" s="31" t="s">
        <v>903</v>
      </c>
      <c r="C153" s="75" t="s">
        <v>910</v>
      </c>
      <c r="D153" s="31" t="s">
        <v>903</v>
      </c>
      <c r="E153" s="105"/>
      <c r="F153" s="105"/>
      <c r="G153" s="105"/>
      <c r="H153" s="105"/>
      <c r="I153" s="105"/>
      <c r="J153" s="75" t="s">
        <v>1812</v>
      </c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</row>
    <row r="154">
      <c r="A154" s="75" t="s">
        <v>1813</v>
      </c>
      <c r="B154" s="31" t="s">
        <v>1814</v>
      </c>
      <c r="C154" s="75" t="s">
        <v>1815</v>
      </c>
      <c r="D154" s="31" t="s">
        <v>1816</v>
      </c>
      <c r="E154" s="105"/>
      <c r="F154" s="105"/>
      <c r="G154" s="105"/>
      <c r="H154" s="105"/>
      <c r="I154" s="105"/>
      <c r="J154" s="75" t="s">
        <v>848</v>
      </c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</row>
    <row r="155">
      <c r="A155" s="31" t="s">
        <v>898</v>
      </c>
      <c r="B155" s="75" t="s">
        <v>1817</v>
      </c>
      <c r="C155" s="75" t="s">
        <v>1818</v>
      </c>
      <c r="D155" s="31" t="s">
        <v>1819</v>
      </c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</row>
    <row r="156">
      <c r="A156" s="75" t="s">
        <v>888</v>
      </c>
      <c r="B156" s="75" t="s">
        <v>887</v>
      </c>
      <c r="C156" s="31" t="s">
        <v>896</v>
      </c>
      <c r="D156" s="75" t="s">
        <v>809</v>
      </c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</row>
    <row r="157">
      <c r="A157" s="105"/>
      <c r="B157" s="31" t="s">
        <v>1820</v>
      </c>
      <c r="C157" s="105"/>
      <c r="D157" s="31" t="s">
        <v>1821</v>
      </c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</row>
    <row r="158">
      <c r="A158" s="105"/>
      <c r="B158" s="75" t="s">
        <v>847</v>
      </c>
      <c r="C158" s="105"/>
      <c r="D158" s="31" t="s">
        <v>1799</v>
      </c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</row>
    <row r="159">
      <c r="A159" s="105"/>
      <c r="B159" s="31" t="s">
        <v>1822</v>
      </c>
      <c r="C159" s="105"/>
      <c r="D159" s="75" t="s">
        <v>1316</v>
      </c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</row>
    <row r="160">
      <c r="A160" s="105"/>
      <c r="B160" s="75" t="s">
        <v>864</v>
      </c>
      <c r="C160" s="105"/>
      <c r="D160" s="31" t="s">
        <v>1823</v>
      </c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</row>
    <row r="161">
      <c r="A161" s="105"/>
      <c r="B161" s="31" t="s">
        <v>898</v>
      </c>
      <c r="C161" s="105"/>
      <c r="D161" s="31" t="s">
        <v>1821</v>
      </c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</row>
    <row r="162">
      <c r="A162" s="105"/>
      <c r="B162" s="31" t="s">
        <v>1824</v>
      </c>
      <c r="C162" s="105"/>
      <c r="D162" s="31" t="s">
        <v>1825</v>
      </c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</row>
    <row r="163">
      <c r="A163" s="105"/>
      <c r="B163" s="75" t="s">
        <v>767</v>
      </c>
      <c r="C163" s="105"/>
      <c r="D163" s="75" t="s">
        <v>1826</v>
      </c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</row>
    <row r="164">
      <c r="A164" s="105"/>
      <c r="B164" s="31" t="s">
        <v>898</v>
      </c>
      <c r="C164" s="105"/>
      <c r="D164" s="31" t="s">
        <v>1821</v>
      </c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</row>
    <row r="165">
      <c r="A165" s="105"/>
      <c r="B165" s="31" t="s">
        <v>1827</v>
      </c>
      <c r="C165" s="105"/>
      <c r="D165" s="75" t="s">
        <v>1828</v>
      </c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</row>
    <row r="166">
      <c r="A166" s="105"/>
      <c r="B166" s="75" t="s">
        <v>765</v>
      </c>
      <c r="C166" s="105"/>
      <c r="D166" s="75" t="s">
        <v>1232</v>
      </c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</row>
    <row r="167">
      <c r="A167" s="105"/>
      <c r="B167" s="105"/>
      <c r="C167" s="105"/>
      <c r="D167" s="75" t="s">
        <v>898</v>
      </c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</row>
    <row r="168">
      <c r="A168" s="105"/>
      <c r="B168" s="105"/>
      <c r="C168" s="105"/>
      <c r="D168" s="31" t="s">
        <v>1821</v>
      </c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</row>
    <row r="171">
      <c r="A171" s="100" t="s">
        <v>913</v>
      </c>
    </row>
    <row r="172">
      <c r="A172" s="100">
        <f>A175</f>
        <v>453650</v>
      </c>
    </row>
    <row r="173">
      <c r="A173" s="100">
        <v>2026.0</v>
      </c>
    </row>
    <row r="174">
      <c r="A174" s="100" t="s">
        <v>368</v>
      </c>
    </row>
    <row r="175">
      <c r="A175" s="100">
        <f>A178+B178+C178+D178+E178+F178+G178+H178</f>
        <v>453650</v>
      </c>
    </row>
    <row r="176">
      <c r="A176" s="50" t="s">
        <v>914</v>
      </c>
      <c r="B176" s="50" t="s">
        <v>246</v>
      </c>
      <c r="C176" s="50" t="s">
        <v>247</v>
      </c>
      <c r="D176" s="50" t="s">
        <v>249</v>
      </c>
      <c r="E176" s="50" t="s">
        <v>915</v>
      </c>
      <c r="F176" s="50" t="s">
        <v>916</v>
      </c>
      <c r="G176" s="50" t="s">
        <v>253</v>
      </c>
      <c r="H176" s="50" t="s">
        <v>252</v>
      </c>
    </row>
    <row r="177">
      <c r="A177" s="33" t="s">
        <v>377</v>
      </c>
      <c r="B177" s="33" t="s">
        <v>377</v>
      </c>
      <c r="C177" s="33" t="s">
        <v>377</v>
      </c>
      <c r="D177" s="33" t="s">
        <v>377</v>
      </c>
      <c r="E177" s="33" t="s">
        <v>377</v>
      </c>
      <c r="F177" s="33" t="s">
        <v>377</v>
      </c>
      <c r="G177" s="33" t="s">
        <v>377</v>
      </c>
      <c r="H177" s="33" t="s">
        <v>377</v>
      </c>
    </row>
    <row r="178">
      <c r="A178" s="50">
        <v>82750.0</v>
      </c>
      <c r="B178" s="50">
        <v>0.0</v>
      </c>
      <c r="C178" s="50">
        <f>116000+74400</f>
        <v>190400</v>
      </c>
      <c r="D178" s="50">
        <v>0.0</v>
      </c>
      <c r="E178" s="50">
        <v>129000.0</v>
      </c>
      <c r="F178" s="50">
        <v>16750.0</v>
      </c>
      <c r="G178" s="50">
        <v>0.0</v>
      </c>
      <c r="H178" s="50">
        <f>12750+22000</f>
        <v>34750</v>
      </c>
    </row>
    <row r="179">
      <c r="A179" s="31" t="s">
        <v>1829</v>
      </c>
      <c r="C179" s="31" t="s">
        <v>1830</v>
      </c>
      <c r="E179" s="31" t="s">
        <v>1792</v>
      </c>
      <c r="F179" s="31" t="s">
        <v>1712</v>
      </c>
      <c r="H179" s="31" t="s">
        <v>1756</v>
      </c>
    </row>
    <row r="180">
      <c r="A180" s="31" t="s">
        <v>1831</v>
      </c>
      <c r="C180" s="31" t="s">
        <v>1832</v>
      </c>
      <c r="E180" s="31" t="s">
        <v>1833</v>
      </c>
      <c r="F180" s="31" t="s">
        <v>1316</v>
      </c>
      <c r="H180" s="31" t="s">
        <v>704</v>
      </c>
    </row>
    <row r="181">
      <c r="A181" s="31" t="s">
        <v>1612</v>
      </c>
      <c r="C181" s="31" t="s">
        <v>920</v>
      </c>
      <c r="E181" s="31" t="s">
        <v>1834</v>
      </c>
      <c r="F181" s="31" t="s">
        <v>1834</v>
      </c>
      <c r="H181" s="31" t="s">
        <v>1835</v>
      </c>
    </row>
    <row r="182">
      <c r="A182" s="31" t="s">
        <v>1834</v>
      </c>
      <c r="C182" s="31" t="s">
        <v>1834</v>
      </c>
      <c r="E182" s="31" t="s">
        <v>1782</v>
      </c>
      <c r="H182" s="31" t="s">
        <v>1612</v>
      </c>
    </row>
    <row r="183">
      <c r="A183" s="31" t="s">
        <v>1682</v>
      </c>
      <c r="C183" s="31" t="s">
        <v>1836</v>
      </c>
      <c r="E183" s="31" t="s">
        <v>704</v>
      </c>
      <c r="H183" s="31" t="s">
        <v>921</v>
      </c>
    </row>
    <row r="184">
      <c r="A184" s="31" t="s">
        <v>942</v>
      </c>
      <c r="C184" s="31" t="s">
        <v>1837</v>
      </c>
      <c r="E184" s="31" t="s">
        <v>920</v>
      </c>
    </row>
    <row r="185">
      <c r="A185" s="31" t="s">
        <v>1838</v>
      </c>
      <c r="C185" s="31" t="s">
        <v>820</v>
      </c>
      <c r="E185" s="31" t="s">
        <v>1612</v>
      </c>
    </row>
    <row r="186">
      <c r="A186" s="31" t="s">
        <v>677</v>
      </c>
      <c r="C186" s="31" t="s">
        <v>1836</v>
      </c>
      <c r="E186" s="31" t="s">
        <v>1772</v>
      </c>
    </row>
    <row r="187">
      <c r="A187" s="31" t="s">
        <v>1839</v>
      </c>
      <c r="C187" s="31" t="s">
        <v>1840</v>
      </c>
      <c r="E187" s="31" t="s">
        <v>1841</v>
      </c>
    </row>
    <row r="188">
      <c r="A188" s="31" t="s">
        <v>718</v>
      </c>
      <c r="C188" s="31" t="s">
        <v>926</v>
      </c>
      <c r="E188" s="31" t="s">
        <v>1842</v>
      </c>
    </row>
    <row r="189">
      <c r="A189" s="31" t="s">
        <v>920</v>
      </c>
      <c r="C189" s="31" t="s">
        <v>1836</v>
      </c>
      <c r="E189" s="31" t="s">
        <v>885</v>
      </c>
    </row>
    <row r="190">
      <c r="A190" s="31" t="s">
        <v>1834</v>
      </c>
      <c r="C190" s="31" t="s">
        <v>1843</v>
      </c>
    </row>
    <row r="191">
      <c r="C191" s="31" t="s">
        <v>677</v>
      </c>
    </row>
    <row r="192">
      <c r="C192" s="31" t="s">
        <v>1836</v>
      </c>
    </row>
    <row r="193">
      <c r="C193" s="31" t="s">
        <v>1844</v>
      </c>
    </row>
    <row r="194">
      <c r="C194" s="31" t="s">
        <v>844</v>
      </c>
    </row>
    <row r="195">
      <c r="C195" s="31" t="s">
        <v>1612</v>
      </c>
    </row>
    <row r="196">
      <c r="C196" s="31" t="s">
        <v>1836</v>
      </c>
    </row>
    <row r="197">
      <c r="C197" s="31" t="s">
        <v>1845</v>
      </c>
    </row>
    <row r="198">
      <c r="C198" s="31" t="s">
        <v>718</v>
      </c>
    </row>
    <row r="199">
      <c r="C199" s="31" t="s">
        <v>1836</v>
      </c>
    </row>
    <row r="203">
      <c r="A203" s="101" t="s">
        <v>928</v>
      </c>
    </row>
    <row r="204">
      <c r="A204" s="101">
        <f>A207</f>
        <v>1217000</v>
      </c>
    </row>
    <row r="205">
      <c r="A205" s="101">
        <v>2026.0</v>
      </c>
    </row>
    <row r="206">
      <c r="A206" s="101" t="s">
        <v>368</v>
      </c>
    </row>
    <row r="207">
      <c r="A207" s="102">
        <f>A210+B210+C210+D210+E210+F210+G210+H210+I210+J210</f>
        <v>1217000</v>
      </c>
    </row>
    <row r="208">
      <c r="A208" s="50" t="s">
        <v>929</v>
      </c>
      <c r="B208" s="50" t="s">
        <v>930</v>
      </c>
      <c r="C208" s="50" t="s">
        <v>931</v>
      </c>
      <c r="D208" s="50" t="s">
        <v>932</v>
      </c>
      <c r="E208" s="50" t="s">
        <v>933</v>
      </c>
      <c r="F208" s="50" t="s">
        <v>934</v>
      </c>
      <c r="G208" s="50" t="s">
        <v>935</v>
      </c>
      <c r="H208" s="50" t="s">
        <v>936</v>
      </c>
      <c r="I208" s="50" t="s">
        <v>937</v>
      </c>
      <c r="J208" s="50" t="s">
        <v>938</v>
      </c>
    </row>
    <row r="209">
      <c r="A209" s="33" t="s">
        <v>377</v>
      </c>
      <c r="B209" s="33" t="s">
        <v>377</v>
      </c>
      <c r="C209" s="33" t="s">
        <v>377</v>
      </c>
      <c r="D209" s="33" t="s">
        <v>377</v>
      </c>
      <c r="E209" s="33" t="s">
        <v>377</v>
      </c>
      <c r="F209" s="33" t="s">
        <v>377</v>
      </c>
      <c r="G209" s="33" t="s">
        <v>377</v>
      </c>
      <c r="H209" s="64" t="s">
        <v>377</v>
      </c>
      <c r="I209" s="64" t="s">
        <v>377</v>
      </c>
      <c r="J209" s="64" t="s">
        <v>377</v>
      </c>
    </row>
    <row r="210">
      <c r="A210" s="50">
        <v>0.0</v>
      </c>
      <c r="B210" s="50">
        <v>205000.0</v>
      </c>
      <c r="C210" s="50">
        <v>105000.0</v>
      </c>
      <c r="D210" s="50">
        <f>23000+(2*114000)</f>
        <v>251000</v>
      </c>
      <c r="E210" s="50">
        <f>53000+64000</f>
        <v>117000</v>
      </c>
      <c r="F210" s="50">
        <v>55000.0</v>
      </c>
      <c r="G210" s="50">
        <v>42000.0</v>
      </c>
      <c r="H210" s="50">
        <v>0.0</v>
      </c>
      <c r="I210" s="50">
        <v>230000.0</v>
      </c>
      <c r="J210" s="50">
        <f>155000+57000</f>
        <v>212000</v>
      </c>
    </row>
    <row r="211">
      <c r="B211" s="31" t="s">
        <v>1846</v>
      </c>
      <c r="C211" s="31" t="s">
        <v>1793</v>
      </c>
      <c r="D211" s="31" t="s">
        <v>1806</v>
      </c>
      <c r="E211" s="31" t="s">
        <v>1847</v>
      </c>
      <c r="F211" s="31" t="s">
        <v>1805</v>
      </c>
      <c r="G211" s="31" t="s">
        <v>1788</v>
      </c>
      <c r="I211" s="31" t="s">
        <v>1848</v>
      </c>
      <c r="J211" s="31" t="s">
        <v>1849</v>
      </c>
    </row>
    <row r="212">
      <c r="B212" s="31" t="s">
        <v>1850</v>
      </c>
      <c r="C212" s="31" t="s">
        <v>1252</v>
      </c>
      <c r="D212" s="31" t="s">
        <v>779</v>
      </c>
      <c r="E212" s="31" t="s">
        <v>1316</v>
      </c>
      <c r="F212" s="31" t="s">
        <v>1248</v>
      </c>
      <c r="G212" s="31" t="s">
        <v>1851</v>
      </c>
      <c r="I212" s="31" t="s">
        <v>1850</v>
      </c>
      <c r="J212" s="31" t="s">
        <v>1852</v>
      </c>
    </row>
    <row r="213">
      <c r="B213" s="31" t="s">
        <v>1757</v>
      </c>
      <c r="C213" s="31" t="s">
        <v>1619</v>
      </c>
      <c r="D213" s="76" t="s">
        <v>1853</v>
      </c>
      <c r="E213" s="76" t="s">
        <v>1617</v>
      </c>
      <c r="I213" s="31" t="s">
        <v>945</v>
      </c>
      <c r="J213" s="76" t="s">
        <v>946</v>
      </c>
    </row>
    <row r="214">
      <c r="B214" s="31" t="s">
        <v>1841</v>
      </c>
      <c r="C214" s="31" t="s">
        <v>943</v>
      </c>
      <c r="D214" s="198" t="s">
        <v>1854</v>
      </c>
      <c r="E214" s="31" t="s">
        <v>1817</v>
      </c>
      <c r="I214" s="31" t="s">
        <v>943</v>
      </c>
    </row>
    <row r="215">
      <c r="B215" s="31" t="s">
        <v>1707</v>
      </c>
      <c r="D215" s="198" t="s">
        <v>1184</v>
      </c>
      <c r="E215" s="31" t="s">
        <v>1855</v>
      </c>
      <c r="I215" s="31" t="s">
        <v>1856</v>
      </c>
    </row>
    <row r="216">
      <c r="B216" s="31" t="s">
        <v>891</v>
      </c>
      <c r="D216" s="31" t="s">
        <v>1619</v>
      </c>
      <c r="E216" s="76" t="s">
        <v>1617</v>
      </c>
      <c r="I216" s="31" t="s">
        <v>1248</v>
      </c>
    </row>
    <row r="217">
      <c r="B217" s="31" t="s">
        <v>943</v>
      </c>
      <c r="D217" s="31" t="s">
        <v>945</v>
      </c>
      <c r="I217" s="31" t="s">
        <v>1761</v>
      </c>
    </row>
    <row r="218">
      <c r="D218" s="76" t="s">
        <v>1853</v>
      </c>
      <c r="I218" s="31" t="s">
        <v>1813</v>
      </c>
    </row>
    <row r="219">
      <c r="I219" s="31" t="s">
        <v>945</v>
      </c>
    </row>
    <row r="220">
      <c r="I220" s="31" t="s">
        <v>1857</v>
      </c>
    </row>
    <row r="221">
      <c r="I221" s="31" t="s">
        <v>1858</v>
      </c>
    </row>
    <row r="222">
      <c r="I222" s="31" t="s">
        <v>945</v>
      </c>
    </row>
    <row r="225">
      <c r="A225" s="48" t="s">
        <v>367</v>
      </c>
    </row>
    <row r="226">
      <c r="A226" s="49">
        <f>A229</f>
        <v>144000</v>
      </c>
    </row>
    <row r="227">
      <c r="A227" s="49">
        <v>2026.0</v>
      </c>
    </row>
    <row r="228">
      <c r="A228" s="49" t="s">
        <v>368</v>
      </c>
    </row>
    <row r="229">
      <c r="A229" s="49">
        <f>A232+B232+C232+D232+E232+F232+G232+H232</f>
        <v>144000</v>
      </c>
    </row>
    <row r="230">
      <c r="A230" s="33" t="s">
        <v>369</v>
      </c>
      <c r="B230" s="33" t="s">
        <v>370</v>
      </c>
      <c r="C230" s="33" t="s">
        <v>371</v>
      </c>
      <c r="D230" s="33" t="s">
        <v>372</v>
      </c>
      <c r="E230" s="33" t="s">
        <v>373</v>
      </c>
      <c r="F230" s="33" t="s">
        <v>374</v>
      </c>
      <c r="G230" s="33" t="s">
        <v>375</v>
      </c>
      <c r="H230" s="33" t="s">
        <v>376</v>
      </c>
      <c r="I230" s="103"/>
      <c r="J230" s="103"/>
    </row>
    <row r="231">
      <c r="A231" s="33" t="s">
        <v>377</v>
      </c>
      <c r="B231" s="33" t="s">
        <v>377</v>
      </c>
      <c r="C231" s="33" t="s">
        <v>377</v>
      </c>
      <c r="D231" s="33" t="s">
        <v>377</v>
      </c>
      <c r="E231" s="33" t="s">
        <v>377</v>
      </c>
      <c r="F231" s="33" t="s">
        <v>377</v>
      </c>
      <c r="G231" s="33" t="s">
        <v>377</v>
      </c>
      <c r="H231" s="33" t="s">
        <v>377</v>
      </c>
    </row>
    <row r="232">
      <c r="A232" s="50">
        <v>0.0</v>
      </c>
      <c r="B232" s="50">
        <v>0.0</v>
      </c>
      <c r="C232" s="50">
        <v>0.0</v>
      </c>
      <c r="D232" s="50">
        <v>26000.0</v>
      </c>
      <c r="E232" s="50">
        <v>0.0</v>
      </c>
      <c r="F232" s="50">
        <v>118000.0</v>
      </c>
      <c r="G232" s="50">
        <v>0.0</v>
      </c>
      <c r="H232" s="50">
        <v>0.0</v>
      </c>
    </row>
    <row r="233">
      <c r="D233" s="31" t="s">
        <v>1712</v>
      </c>
      <c r="F233" s="31" t="s">
        <v>1643</v>
      </c>
    </row>
    <row r="234">
      <c r="D234" s="31" t="s">
        <v>866</v>
      </c>
      <c r="F234" s="31" t="s">
        <v>1236</v>
      </c>
    </row>
    <row r="235">
      <c r="F235" s="31" t="s">
        <v>1859</v>
      </c>
    </row>
    <row r="236">
      <c r="F236" s="31" t="s">
        <v>718</v>
      </c>
    </row>
    <row r="237">
      <c r="F237" s="31" t="s">
        <v>944</v>
      </c>
    </row>
    <row r="238">
      <c r="F238" s="31" t="s">
        <v>381</v>
      </c>
    </row>
  </sheetData>
  <mergeCells count="111">
    <mergeCell ref="O15:O16"/>
    <mergeCell ref="Q16:R16"/>
    <mergeCell ref="O17:O19"/>
    <mergeCell ref="P17:P19"/>
    <mergeCell ref="Q17:T17"/>
    <mergeCell ref="Q19:R19"/>
    <mergeCell ref="Q20:T20"/>
    <mergeCell ref="P20:P23"/>
    <mergeCell ref="M23:N23"/>
    <mergeCell ref="Q23:R23"/>
    <mergeCell ref="P24:P26"/>
    <mergeCell ref="Q24:T24"/>
    <mergeCell ref="Q26:R26"/>
    <mergeCell ref="Q27:T27"/>
    <mergeCell ref="P34:P36"/>
    <mergeCell ref="P37:P39"/>
    <mergeCell ref="Q39:R39"/>
    <mergeCell ref="P27:P29"/>
    <mergeCell ref="Q29:R29"/>
    <mergeCell ref="P30:P33"/>
    <mergeCell ref="Q30:T30"/>
    <mergeCell ref="Q33:R33"/>
    <mergeCell ref="Q34:T34"/>
    <mergeCell ref="Q36:R36"/>
    <mergeCell ref="G24:G26"/>
    <mergeCell ref="G27:G29"/>
    <mergeCell ref="G30:G32"/>
    <mergeCell ref="G33:G35"/>
    <mergeCell ref="G36:G38"/>
    <mergeCell ref="A52:E52"/>
    <mergeCell ref="A53:E53"/>
    <mergeCell ref="A54:E54"/>
    <mergeCell ref="A55:E55"/>
    <mergeCell ref="A56:E56"/>
    <mergeCell ref="A71:F71"/>
    <mergeCell ref="A72:F72"/>
    <mergeCell ref="A73:F73"/>
    <mergeCell ref="A74:F74"/>
    <mergeCell ref="A106:H106"/>
    <mergeCell ref="A107:H107"/>
    <mergeCell ref="A108:H108"/>
    <mergeCell ref="A120:J120"/>
    <mergeCell ref="A121:J121"/>
    <mergeCell ref="A122:J122"/>
    <mergeCell ref="A123:J123"/>
    <mergeCell ref="A124:J124"/>
    <mergeCell ref="A136:J136"/>
    <mergeCell ref="A140:J140"/>
    <mergeCell ref="A141:J141"/>
    <mergeCell ref="A142:J142"/>
    <mergeCell ref="A143:J143"/>
    <mergeCell ref="A144:J144"/>
    <mergeCell ref="A145:J145"/>
    <mergeCell ref="A171:H171"/>
    <mergeCell ref="A172:H172"/>
    <mergeCell ref="A173:H173"/>
    <mergeCell ref="A174:H174"/>
    <mergeCell ref="A175:H175"/>
    <mergeCell ref="A203:J203"/>
    <mergeCell ref="A228:H228"/>
    <mergeCell ref="A229:H229"/>
    <mergeCell ref="A204:J204"/>
    <mergeCell ref="A205:J205"/>
    <mergeCell ref="A206:J206"/>
    <mergeCell ref="A207:J207"/>
    <mergeCell ref="A225:H225"/>
    <mergeCell ref="A226:H226"/>
    <mergeCell ref="A227:H227"/>
    <mergeCell ref="A1:T1"/>
    <mergeCell ref="A2:T2"/>
    <mergeCell ref="A3:T3"/>
    <mergeCell ref="A4:T4"/>
    <mergeCell ref="J5:L5"/>
    <mergeCell ref="M5:O5"/>
    <mergeCell ref="P5:T5"/>
    <mergeCell ref="G5:I5"/>
    <mergeCell ref="G6:I6"/>
    <mergeCell ref="J6:L6"/>
    <mergeCell ref="M6:O6"/>
    <mergeCell ref="P6:T6"/>
    <mergeCell ref="J7:L7"/>
    <mergeCell ref="M7:O7"/>
    <mergeCell ref="M10:M14"/>
    <mergeCell ref="M15:M16"/>
    <mergeCell ref="L16:L17"/>
    <mergeCell ref="M17:M19"/>
    <mergeCell ref="J8:L8"/>
    <mergeCell ref="M8:O8"/>
    <mergeCell ref="P8:P16"/>
    <mergeCell ref="L10:L12"/>
    <mergeCell ref="O10:O14"/>
    <mergeCell ref="Q12:T12"/>
    <mergeCell ref="L13:L14"/>
    <mergeCell ref="I27:I29"/>
    <mergeCell ref="I30:I32"/>
    <mergeCell ref="I33:I35"/>
    <mergeCell ref="I36:I38"/>
    <mergeCell ref="J10:J12"/>
    <mergeCell ref="J13:J14"/>
    <mergeCell ref="J16:J17"/>
    <mergeCell ref="G19:I19"/>
    <mergeCell ref="G21:G23"/>
    <mergeCell ref="I21:I23"/>
    <mergeCell ref="I24:I26"/>
    <mergeCell ref="A87:H87"/>
    <mergeCell ref="A88:H88"/>
    <mergeCell ref="A89:H89"/>
    <mergeCell ref="A90:H90"/>
    <mergeCell ref="A91:H91"/>
    <mergeCell ref="A104:H104"/>
    <mergeCell ref="A105:H10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34.75"/>
    <col customWidth="1" min="3" max="3" width="26.63"/>
    <col customWidth="1" min="4" max="4" width="35.75"/>
    <col customWidth="1" min="5" max="5" width="33.38"/>
    <col customWidth="1" min="6" max="6" width="24.88"/>
    <col customWidth="1" min="8" max="8" width="14.0"/>
    <col customWidth="1" min="12" max="12" width="17.5"/>
    <col customWidth="1" min="13" max="13" width="26.38"/>
  </cols>
  <sheetData>
    <row r="1">
      <c r="A1" s="122" t="s">
        <v>1860</v>
      </c>
    </row>
    <row r="2">
      <c r="A2" s="113" t="s">
        <v>1861</v>
      </c>
    </row>
    <row r="3">
      <c r="A3" s="199" t="s">
        <v>1862</v>
      </c>
    </row>
    <row r="4">
      <c r="A4" s="122" t="s">
        <v>338</v>
      </c>
    </row>
    <row r="5">
      <c r="A5" s="200">
        <f>100000+B7+C7+E7+F7+F15+A30+G7+L7+B16</f>
        <v>718775</v>
      </c>
    </row>
    <row r="6">
      <c r="A6" s="33" t="s">
        <v>339</v>
      </c>
      <c r="B6" s="33" t="s">
        <v>1323</v>
      </c>
      <c r="C6" s="33" t="s">
        <v>414</v>
      </c>
      <c r="D6" s="33" t="s">
        <v>1684</v>
      </c>
      <c r="E6" s="33" t="s">
        <v>342</v>
      </c>
      <c r="F6" s="25" t="s">
        <v>343</v>
      </c>
      <c r="G6" s="160" t="s">
        <v>422</v>
      </c>
      <c r="L6" s="145" t="s">
        <v>1262</v>
      </c>
    </row>
    <row r="7">
      <c r="A7" s="31" t="s">
        <v>1787</v>
      </c>
      <c r="B7" s="135">
        <v>47000.0</v>
      </c>
      <c r="C7" s="201">
        <v>-60000.0</v>
      </c>
      <c r="D7" s="31" t="s">
        <v>1863</v>
      </c>
      <c r="E7" s="135">
        <v>30000.0</v>
      </c>
      <c r="F7" s="201">
        <v>1000.0</v>
      </c>
      <c r="G7" s="201">
        <f>J15</f>
        <v>43000</v>
      </c>
      <c r="L7" s="202">
        <f>L9</f>
        <v>225000</v>
      </c>
    </row>
    <row r="8">
      <c r="A8" s="31" t="s">
        <v>1864</v>
      </c>
      <c r="B8" s="31" t="s">
        <v>1865</v>
      </c>
      <c r="C8" s="55" t="s">
        <v>349</v>
      </c>
      <c r="D8" s="31" t="s">
        <v>1866</v>
      </c>
      <c r="E8" s="31" t="s">
        <v>1867</v>
      </c>
      <c r="F8" s="45" t="s">
        <v>1868</v>
      </c>
      <c r="G8" s="87" t="s">
        <v>436</v>
      </c>
      <c r="H8" s="87" t="s">
        <v>437</v>
      </c>
      <c r="I8" s="87" t="s">
        <v>438</v>
      </c>
      <c r="J8" s="87" t="s">
        <v>0</v>
      </c>
      <c r="K8" s="87" t="s">
        <v>439</v>
      </c>
      <c r="L8" s="150" t="s">
        <v>435</v>
      </c>
    </row>
    <row r="9">
      <c r="A9" s="31" t="s">
        <v>1869</v>
      </c>
      <c r="B9" s="31" t="s">
        <v>1870</v>
      </c>
      <c r="C9" s="4" t="s">
        <v>1871</v>
      </c>
      <c r="D9" s="31" t="s">
        <v>1872</v>
      </c>
      <c r="E9" s="31" t="s">
        <v>1873</v>
      </c>
      <c r="F9" s="45"/>
      <c r="G9" s="71" t="s">
        <v>1874</v>
      </c>
      <c r="H9" s="26" t="s">
        <v>655</v>
      </c>
      <c r="I9" s="26">
        <v>1.0</v>
      </c>
      <c r="J9" s="26">
        <f>I9*2000</f>
        <v>2000</v>
      </c>
      <c r="K9" s="9">
        <f>I9*20</f>
        <v>20</v>
      </c>
      <c r="L9" s="203">
        <f>N11+N13+N15+N17+N19+N20+N21</f>
        <v>225000</v>
      </c>
    </row>
    <row r="10">
      <c r="A10" s="31" t="s">
        <v>1875</v>
      </c>
      <c r="B10" s="31" t="s">
        <v>1876</v>
      </c>
      <c r="C10" s="4" t="s">
        <v>1877</v>
      </c>
      <c r="D10" s="31" t="s">
        <v>1878</v>
      </c>
      <c r="E10" s="31" t="s">
        <v>1879</v>
      </c>
      <c r="F10" s="45"/>
      <c r="H10" s="26" t="s">
        <v>1488</v>
      </c>
      <c r="I10" s="26">
        <v>1.0</v>
      </c>
      <c r="J10" s="9">
        <f>I10*4000</f>
        <v>4000</v>
      </c>
      <c r="K10" s="9">
        <f t="shared" ref="K10:K11" si="1">I10*80</f>
        <v>80</v>
      </c>
      <c r="L10" s="204" t="s">
        <v>456</v>
      </c>
      <c r="M10" s="204" t="s">
        <v>457</v>
      </c>
      <c r="N10" s="204" t="s">
        <v>0</v>
      </c>
    </row>
    <row r="11">
      <c r="A11" s="31" t="s">
        <v>1880</v>
      </c>
      <c r="B11" s="31" t="s">
        <v>1881</v>
      </c>
      <c r="C11" s="55" t="s">
        <v>48</v>
      </c>
      <c r="D11" s="31" t="s">
        <v>1882</v>
      </c>
      <c r="E11" s="31" t="s">
        <v>1883</v>
      </c>
      <c r="F11" s="45"/>
      <c r="H11" s="26" t="s">
        <v>654</v>
      </c>
      <c r="I11" s="26">
        <v>2.0</v>
      </c>
      <c r="J11" s="9">
        <f>I11*8000</f>
        <v>16000</v>
      </c>
      <c r="K11" s="9">
        <f t="shared" si="1"/>
        <v>160</v>
      </c>
      <c r="L11" s="71" t="s">
        <v>1884</v>
      </c>
      <c r="M11" s="4" t="s">
        <v>1885</v>
      </c>
      <c r="N11" s="71">
        <v>4000.0</v>
      </c>
    </row>
    <row r="12">
      <c r="A12" s="31" t="s">
        <v>1886</v>
      </c>
      <c r="B12" s="31" t="s">
        <v>1887</v>
      </c>
      <c r="C12" s="4" t="s">
        <v>60</v>
      </c>
      <c r="D12" s="31" t="s">
        <v>1888</v>
      </c>
      <c r="E12" s="31" t="s">
        <v>1889</v>
      </c>
      <c r="H12" s="26" t="s">
        <v>523</v>
      </c>
      <c r="I12" s="26">
        <v>7.0</v>
      </c>
      <c r="J12" s="9">
        <f>I12*2000</f>
        <v>14000</v>
      </c>
      <c r="K12" s="9">
        <f>I12*40</f>
        <v>280</v>
      </c>
      <c r="M12" s="71" t="s">
        <v>1890</v>
      </c>
    </row>
    <row r="13">
      <c r="A13" s="31" t="s">
        <v>1891</v>
      </c>
      <c r="C13" s="55" t="s">
        <v>69</v>
      </c>
      <c r="D13" s="31" t="s">
        <v>1892</v>
      </c>
      <c r="E13" s="31" t="s">
        <v>1893</v>
      </c>
      <c r="H13" s="26" t="s">
        <v>447</v>
      </c>
      <c r="I13" s="26">
        <v>1.0</v>
      </c>
      <c r="J13" s="26">
        <f>I13*1000</f>
        <v>1000</v>
      </c>
      <c r="K13" s="9">
        <f>I13*20</f>
        <v>20</v>
      </c>
      <c r="L13" s="71" t="s">
        <v>1894</v>
      </c>
      <c r="M13" s="71" t="s">
        <v>1895</v>
      </c>
      <c r="N13" s="71">
        <v>6000.0</v>
      </c>
      <c r="O13" s="8"/>
    </row>
    <row r="14">
      <c r="A14" s="31" t="s">
        <v>1896</v>
      </c>
      <c r="C14" s="4" t="s">
        <v>60</v>
      </c>
      <c r="D14" s="31" t="s">
        <v>1897</v>
      </c>
      <c r="E14" s="31" t="s">
        <v>1898</v>
      </c>
      <c r="F14" s="25" t="s">
        <v>359</v>
      </c>
      <c r="H14" s="26" t="s">
        <v>500</v>
      </c>
      <c r="I14" s="26">
        <v>2.0</v>
      </c>
      <c r="J14" s="9">
        <f>I14*3000</f>
        <v>6000</v>
      </c>
      <c r="K14" s="9">
        <f>I14*40</f>
        <v>80</v>
      </c>
      <c r="M14" s="71" t="s">
        <v>1890</v>
      </c>
      <c r="O14" s="8"/>
    </row>
    <row r="15">
      <c r="A15" s="31" t="s">
        <v>1899</v>
      </c>
      <c r="B15" s="33" t="s">
        <v>102</v>
      </c>
      <c r="E15" s="31" t="s">
        <v>1900</v>
      </c>
      <c r="F15" s="201">
        <v>-500.0</v>
      </c>
      <c r="H15" s="128" t="s">
        <v>470</v>
      </c>
      <c r="J15" s="129">
        <f t="shared" ref="J15:K15" si="2">J9+J10+J11+J12+J13+J14</f>
        <v>43000</v>
      </c>
      <c r="K15" s="129">
        <f t="shared" si="2"/>
        <v>640</v>
      </c>
      <c r="L15" s="71" t="s">
        <v>1901</v>
      </c>
      <c r="M15" s="71" t="s">
        <v>1902</v>
      </c>
      <c r="N15" s="71">
        <v>11000.0</v>
      </c>
      <c r="O15" s="8"/>
    </row>
    <row r="16">
      <c r="A16" s="31" t="s">
        <v>1903</v>
      </c>
      <c r="B16" s="132">
        <v>100000.0</v>
      </c>
      <c r="E16" s="31" t="s">
        <v>1904</v>
      </c>
      <c r="F16" s="45" t="s">
        <v>1905</v>
      </c>
      <c r="M16" s="131" t="s">
        <v>1906</v>
      </c>
    </row>
    <row r="17">
      <c r="A17" s="31" t="s">
        <v>1907</v>
      </c>
      <c r="B17" s="31" t="s">
        <v>1908</v>
      </c>
      <c r="E17" s="31" t="s">
        <v>1909</v>
      </c>
      <c r="F17" s="45"/>
      <c r="L17" s="71" t="s">
        <v>1910</v>
      </c>
      <c r="M17" s="4" t="s">
        <v>1885</v>
      </c>
      <c r="N17" s="71">
        <v>3000.0</v>
      </c>
    </row>
    <row r="18">
      <c r="A18" s="31" t="s">
        <v>1911</v>
      </c>
      <c r="E18" s="31" t="s">
        <v>519</v>
      </c>
      <c r="M18" s="4" t="s">
        <v>1902</v>
      </c>
    </row>
    <row r="19">
      <c r="A19" s="31" t="s">
        <v>1912</v>
      </c>
      <c r="E19" s="31" t="s">
        <v>1913</v>
      </c>
      <c r="L19" s="4" t="s">
        <v>1914</v>
      </c>
      <c r="M19" s="4" t="s">
        <v>1902</v>
      </c>
      <c r="N19" s="4">
        <v>1000.0</v>
      </c>
    </row>
    <row r="20">
      <c r="A20" s="31" t="s">
        <v>1915</v>
      </c>
      <c r="E20" s="31" t="s">
        <v>1916</v>
      </c>
      <c r="L20" s="33" t="s">
        <v>148</v>
      </c>
      <c r="N20" s="33">
        <v>150000.0</v>
      </c>
    </row>
    <row r="21">
      <c r="A21" s="31" t="s">
        <v>1917</v>
      </c>
      <c r="E21" s="31" t="s">
        <v>627</v>
      </c>
      <c r="L21" s="33" t="s">
        <v>1918</v>
      </c>
      <c r="N21" s="78">
        <v>50000.0</v>
      </c>
    </row>
    <row r="22">
      <c r="A22" s="31" t="s">
        <v>1919</v>
      </c>
      <c r="E22" s="31" t="s">
        <v>1920</v>
      </c>
    </row>
    <row r="23">
      <c r="A23" s="31" t="s">
        <v>1921</v>
      </c>
      <c r="E23" s="31" t="s">
        <v>1904</v>
      </c>
    </row>
    <row r="24">
      <c r="A24" s="31" t="s">
        <v>1922</v>
      </c>
      <c r="E24" s="31" t="s">
        <v>1923</v>
      </c>
    </row>
    <row r="25">
      <c r="A25" s="31" t="s">
        <v>1924</v>
      </c>
    </row>
    <row r="29">
      <c r="A29" s="47" t="s">
        <v>366</v>
      </c>
    </row>
    <row r="30">
      <c r="A30" s="47">
        <f>A32+A46</f>
        <v>233275</v>
      </c>
    </row>
    <row r="31">
      <c r="A31" s="205" t="s">
        <v>928</v>
      </c>
    </row>
    <row r="32">
      <c r="A32" s="205">
        <f>A35</f>
        <v>37000</v>
      </c>
    </row>
    <row r="33">
      <c r="A33" s="205">
        <v>2026.0</v>
      </c>
    </row>
    <row r="34">
      <c r="A34" s="205" t="s">
        <v>368</v>
      </c>
    </row>
    <row r="35">
      <c r="A35" s="206">
        <f>A38+B38+C38+D38+E38+F38+G38+H38+I38+J38</f>
        <v>37000</v>
      </c>
    </row>
    <row r="36">
      <c r="A36" s="103" t="s">
        <v>929</v>
      </c>
      <c r="B36" s="103" t="s">
        <v>930</v>
      </c>
      <c r="C36" s="103" t="s">
        <v>931</v>
      </c>
      <c r="D36" s="103" t="s">
        <v>932</v>
      </c>
      <c r="E36" s="103" t="s">
        <v>933</v>
      </c>
      <c r="F36" s="103" t="s">
        <v>934</v>
      </c>
      <c r="G36" s="103" t="s">
        <v>935</v>
      </c>
      <c r="H36" s="103" t="s">
        <v>936</v>
      </c>
      <c r="I36" s="103" t="s">
        <v>937</v>
      </c>
      <c r="J36" s="103" t="s">
        <v>938</v>
      </c>
    </row>
    <row r="37">
      <c r="A37" s="64" t="s">
        <v>377</v>
      </c>
      <c r="B37" s="64" t="s">
        <v>377</v>
      </c>
      <c r="C37" s="64" t="s">
        <v>377</v>
      </c>
      <c r="D37" s="64" t="s">
        <v>377</v>
      </c>
      <c r="E37" s="64" t="s">
        <v>377</v>
      </c>
      <c r="F37" s="64" t="s">
        <v>377</v>
      </c>
      <c r="G37" s="64" t="s">
        <v>377</v>
      </c>
      <c r="H37" s="64" t="s">
        <v>377</v>
      </c>
      <c r="I37" s="64" t="s">
        <v>377</v>
      </c>
      <c r="J37" s="64" t="s">
        <v>377</v>
      </c>
    </row>
    <row r="38">
      <c r="A38" s="99">
        <v>0.0</v>
      </c>
      <c r="B38" s="99">
        <v>0.0</v>
      </c>
      <c r="C38" s="103">
        <v>0.0</v>
      </c>
      <c r="D38" s="99">
        <v>0.0</v>
      </c>
      <c r="E38" s="99">
        <f>5000+32000</f>
        <v>37000</v>
      </c>
      <c r="F38" s="103">
        <v>0.0</v>
      </c>
      <c r="G38" s="99">
        <v>0.0</v>
      </c>
      <c r="H38" s="103">
        <v>0.0</v>
      </c>
      <c r="I38" s="103">
        <v>0.0</v>
      </c>
      <c r="J38" s="103">
        <v>0.0</v>
      </c>
    </row>
    <row r="39">
      <c r="E39" s="31" t="s">
        <v>1884</v>
      </c>
    </row>
    <row r="40">
      <c r="E40" s="31" t="s">
        <v>1925</v>
      </c>
    </row>
    <row r="41">
      <c r="E41" s="31" t="s">
        <v>945</v>
      </c>
    </row>
    <row r="42">
      <c r="E42" s="76" t="s">
        <v>1617</v>
      </c>
    </row>
    <row r="45">
      <c r="A45" s="48" t="s">
        <v>367</v>
      </c>
    </row>
    <row r="46">
      <c r="A46" s="49">
        <f>A49</f>
        <v>196275</v>
      </c>
    </row>
    <row r="47">
      <c r="A47" s="49">
        <v>2026.0</v>
      </c>
    </row>
    <row r="48">
      <c r="A48" s="49" t="s">
        <v>368</v>
      </c>
    </row>
    <row r="49">
      <c r="A49" s="49">
        <f>A52+B52+C52+D52+E52+F52+G52+H52</f>
        <v>196275</v>
      </c>
    </row>
    <row r="50">
      <c r="A50" s="33" t="s">
        <v>369</v>
      </c>
      <c r="B50" s="33" t="s">
        <v>370</v>
      </c>
      <c r="C50" s="33" t="s">
        <v>371</v>
      </c>
      <c r="D50" s="33" t="s">
        <v>372</v>
      </c>
      <c r="E50" s="33" t="s">
        <v>373</v>
      </c>
      <c r="F50" s="33" t="s">
        <v>374</v>
      </c>
      <c r="G50" s="33" t="s">
        <v>375</v>
      </c>
      <c r="H50" s="33" t="s">
        <v>376</v>
      </c>
      <c r="I50" s="103"/>
      <c r="J50" s="103"/>
    </row>
    <row r="51">
      <c r="A51" s="33" t="s">
        <v>377</v>
      </c>
      <c r="B51" s="33" t="s">
        <v>377</v>
      </c>
      <c r="C51" s="33" t="s">
        <v>377</v>
      </c>
      <c r="D51" s="33" t="s">
        <v>377</v>
      </c>
      <c r="E51" s="33" t="s">
        <v>377</v>
      </c>
      <c r="F51" s="33" t="s">
        <v>377</v>
      </c>
      <c r="G51" s="33" t="s">
        <v>377</v>
      </c>
      <c r="H51" s="33" t="s">
        <v>377</v>
      </c>
    </row>
    <row r="52">
      <c r="A52" s="50">
        <f>35000+59825</f>
        <v>94825</v>
      </c>
      <c r="B52" s="50">
        <f>19000+(33725*2)</f>
        <v>86450</v>
      </c>
      <c r="C52" s="50">
        <v>0.0</v>
      </c>
      <c r="D52" s="50">
        <v>15000.0</v>
      </c>
      <c r="E52" s="50">
        <v>0.0</v>
      </c>
      <c r="F52" s="50">
        <v>0.0</v>
      </c>
      <c r="G52" s="50">
        <v>0.0</v>
      </c>
      <c r="H52" s="50">
        <v>0.0</v>
      </c>
    </row>
    <row r="53">
      <c r="A53" s="31" t="s">
        <v>1884</v>
      </c>
      <c r="B53" s="31" t="s">
        <v>1926</v>
      </c>
      <c r="D53" s="31" t="s">
        <v>1927</v>
      </c>
    </row>
    <row r="54">
      <c r="A54" s="31" t="s">
        <v>951</v>
      </c>
      <c r="B54" s="31" t="s">
        <v>1826</v>
      </c>
      <c r="D54" s="31" t="s">
        <v>1316</v>
      </c>
    </row>
    <row r="55">
      <c r="A55" s="31" t="s">
        <v>381</v>
      </c>
      <c r="B55" s="76" t="s">
        <v>955</v>
      </c>
    </row>
    <row r="56">
      <c r="A56" s="76" t="s">
        <v>954</v>
      </c>
      <c r="B56" s="31" t="s">
        <v>1928</v>
      </c>
    </row>
    <row r="57">
      <c r="B57" s="31" t="s">
        <v>826</v>
      </c>
    </row>
    <row r="58">
      <c r="B58" s="76" t="s">
        <v>955</v>
      </c>
    </row>
  </sheetData>
  <mergeCells count="35">
    <mergeCell ref="A1:N1"/>
    <mergeCell ref="A2:N2"/>
    <mergeCell ref="A3:N3"/>
    <mergeCell ref="A4:N4"/>
    <mergeCell ref="A5:N5"/>
    <mergeCell ref="G6:K6"/>
    <mergeCell ref="L6:N6"/>
    <mergeCell ref="N11:N12"/>
    <mergeCell ref="N13:N14"/>
    <mergeCell ref="N15:N16"/>
    <mergeCell ref="N17:N18"/>
    <mergeCell ref="G7:K7"/>
    <mergeCell ref="L7:N7"/>
    <mergeCell ref="L8:N8"/>
    <mergeCell ref="G9:G15"/>
    <mergeCell ref="L9:N9"/>
    <mergeCell ref="L11:L12"/>
    <mergeCell ref="H15:I15"/>
    <mergeCell ref="L13:L14"/>
    <mergeCell ref="L15:L16"/>
    <mergeCell ref="L17:L18"/>
    <mergeCell ref="L20:M20"/>
    <mergeCell ref="L21:M21"/>
    <mergeCell ref="A29:J29"/>
    <mergeCell ref="A30:J30"/>
    <mergeCell ref="A47:H47"/>
    <mergeCell ref="A48:H48"/>
    <mergeCell ref="A49:H49"/>
    <mergeCell ref="A31:J31"/>
    <mergeCell ref="A32:J32"/>
    <mergeCell ref="A33:J33"/>
    <mergeCell ref="A34:J34"/>
    <mergeCell ref="A35:J35"/>
    <mergeCell ref="A45:H45"/>
    <mergeCell ref="A46:H46"/>
  </mergeCells>
  <hyperlinks>
    <hyperlink r:id="rId1" ref="A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4.38"/>
    <col customWidth="1" min="3" max="3" width="22.0"/>
    <col customWidth="1" min="4" max="4" width="36.13"/>
    <col customWidth="1" min="5" max="5" width="31.38"/>
    <col customWidth="1" min="6" max="6" width="24.63"/>
    <col customWidth="1" min="7" max="7" width="29.38"/>
    <col customWidth="1" min="8" max="8" width="28.63"/>
    <col customWidth="1" min="9" max="9" width="28.25"/>
    <col customWidth="1" min="10" max="10" width="20.88"/>
    <col customWidth="1" min="11" max="11" width="27.63"/>
    <col customWidth="1" min="14" max="14" width="20.0"/>
    <col customWidth="1" min="16" max="16" width="14.75"/>
    <col customWidth="1" min="17" max="17" width="20.88"/>
  </cols>
  <sheetData>
    <row r="1">
      <c r="A1" s="207" t="s">
        <v>1929</v>
      </c>
    </row>
    <row r="2">
      <c r="A2" s="207" t="s">
        <v>1930</v>
      </c>
    </row>
    <row r="3">
      <c r="A3" s="208" t="s">
        <v>338</v>
      </c>
    </row>
    <row r="4">
      <c r="A4" s="209">
        <f>100000+B6+C6+D6+F6+I6+A51+J6+P6+M6</f>
        <v>1781475</v>
      </c>
    </row>
    <row r="5">
      <c r="A5" s="33" t="s">
        <v>339</v>
      </c>
      <c r="B5" s="33" t="s">
        <v>341</v>
      </c>
      <c r="C5" s="33" t="s">
        <v>1931</v>
      </c>
      <c r="D5" s="33" t="s">
        <v>384</v>
      </c>
      <c r="E5" s="33" t="s">
        <v>385</v>
      </c>
      <c r="F5" s="33" t="s">
        <v>419</v>
      </c>
      <c r="I5" s="33" t="s">
        <v>976</v>
      </c>
      <c r="J5" s="57" t="s">
        <v>1932</v>
      </c>
      <c r="M5" s="25" t="s">
        <v>978</v>
      </c>
      <c r="P5" s="57" t="s">
        <v>421</v>
      </c>
    </row>
    <row r="6">
      <c r="A6" s="31" t="s">
        <v>1933</v>
      </c>
      <c r="B6" s="209">
        <v>-60000.0</v>
      </c>
      <c r="C6" s="209">
        <f>-220000+-70000+-50000-50000-35000</f>
        <v>-425000</v>
      </c>
      <c r="D6" s="209">
        <v>87000.0</v>
      </c>
      <c r="E6" s="31" t="s">
        <v>1934</v>
      </c>
      <c r="F6" s="209">
        <f>F8+G8+H8</f>
        <v>-18500</v>
      </c>
      <c r="I6" s="209">
        <v>-10000.0</v>
      </c>
      <c r="J6" s="210">
        <f>J8</f>
        <v>233200</v>
      </c>
      <c r="M6" s="211">
        <f>M8</f>
        <v>120000</v>
      </c>
      <c r="P6" s="210">
        <f>P8</f>
        <v>849000</v>
      </c>
    </row>
    <row r="7">
      <c r="A7" s="31" t="s">
        <v>1782</v>
      </c>
      <c r="B7" s="55" t="s">
        <v>349</v>
      </c>
      <c r="C7" s="31" t="s">
        <v>1935</v>
      </c>
      <c r="D7" s="31" t="s">
        <v>1936</v>
      </c>
      <c r="E7" s="31" t="s">
        <v>1937</v>
      </c>
      <c r="F7" s="212" t="s">
        <v>432</v>
      </c>
      <c r="G7" s="212" t="s">
        <v>433</v>
      </c>
      <c r="H7" s="212" t="s">
        <v>434</v>
      </c>
      <c r="I7" s="31" t="s">
        <v>431</v>
      </c>
      <c r="J7" s="64" t="s">
        <v>435</v>
      </c>
      <c r="M7" s="33" t="s">
        <v>435</v>
      </c>
      <c r="P7" s="64" t="s">
        <v>435</v>
      </c>
    </row>
    <row r="8">
      <c r="A8" s="31" t="s">
        <v>1938</v>
      </c>
      <c r="B8" s="31" t="s">
        <v>24</v>
      </c>
      <c r="C8" s="31" t="s">
        <v>1939</v>
      </c>
      <c r="D8" s="31" t="s">
        <v>1940</v>
      </c>
      <c r="E8" s="31" t="s">
        <v>1941</v>
      </c>
      <c r="F8" s="1">
        <f>H22+H25+H28+H31+H34</f>
        <v>6500</v>
      </c>
      <c r="G8" s="1">
        <v>-20000.0</v>
      </c>
      <c r="H8" s="1">
        <v>-5000.0</v>
      </c>
      <c r="J8" s="213">
        <f>L10+L11+L16+L20+L22</f>
        <v>233200</v>
      </c>
      <c r="M8" s="214">
        <f>O10+O11</f>
        <v>120000</v>
      </c>
      <c r="P8" s="213">
        <f>R10+R13+R17+R19+R22+R23+R24+R27+R28</f>
        <v>849000</v>
      </c>
    </row>
    <row r="9">
      <c r="A9" s="31" t="s">
        <v>1942</v>
      </c>
      <c r="B9" s="4" t="s">
        <v>40</v>
      </c>
      <c r="C9" s="31" t="s">
        <v>1943</v>
      </c>
      <c r="D9" s="31" t="s">
        <v>1425</v>
      </c>
      <c r="E9" s="31" t="s">
        <v>1944</v>
      </c>
      <c r="F9" s="25"/>
      <c r="G9" s="31" t="s">
        <v>1945</v>
      </c>
      <c r="H9" s="212" t="s">
        <v>455</v>
      </c>
      <c r="J9" s="215" t="s">
        <v>456</v>
      </c>
      <c r="K9" s="215" t="s">
        <v>457</v>
      </c>
      <c r="L9" s="215" t="s">
        <v>0</v>
      </c>
      <c r="M9" s="212" t="s">
        <v>456</v>
      </c>
      <c r="N9" s="212" t="s">
        <v>457</v>
      </c>
      <c r="O9" s="212" t="s">
        <v>0</v>
      </c>
      <c r="P9" s="215" t="s">
        <v>456</v>
      </c>
      <c r="Q9" s="215" t="s">
        <v>457</v>
      </c>
      <c r="R9" s="215" t="s">
        <v>0</v>
      </c>
    </row>
    <row r="10">
      <c r="A10" s="31" t="s">
        <v>1946</v>
      </c>
      <c r="B10" s="55" t="s">
        <v>48</v>
      </c>
      <c r="C10" s="31" t="s">
        <v>1947</v>
      </c>
      <c r="D10" s="31" t="s">
        <v>1948</v>
      </c>
      <c r="E10" s="31" t="s">
        <v>1949</v>
      </c>
      <c r="G10" s="31" t="s">
        <v>1950</v>
      </c>
      <c r="H10" s="31" t="s">
        <v>1951</v>
      </c>
      <c r="J10" s="4" t="s">
        <v>1952</v>
      </c>
      <c r="K10" s="4" t="s">
        <v>467</v>
      </c>
      <c r="L10" s="4">
        <v>1000.0</v>
      </c>
      <c r="M10" s="26" t="s">
        <v>272</v>
      </c>
      <c r="O10" s="25">
        <v>20000.0</v>
      </c>
      <c r="P10" s="71" t="s">
        <v>940</v>
      </c>
      <c r="Q10" s="71" t="s">
        <v>1953</v>
      </c>
      <c r="R10" s="71">
        <v>7000.0</v>
      </c>
    </row>
    <row r="11">
      <c r="A11" s="31" t="s">
        <v>1954</v>
      </c>
      <c r="B11" s="4" t="s">
        <v>60</v>
      </c>
      <c r="C11" s="31" t="s">
        <v>1955</v>
      </c>
      <c r="D11" s="31" t="s">
        <v>1956</v>
      </c>
      <c r="E11" s="31" t="s">
        <v>1957</v>
      </c>
      <c r="G11" s="31" t="s">
        <v>1958</v>
      </c>
      <c r="H11" s="31" t="s">
        <v>1959</v>
      </c>
      <c r="J11" s="71" t="s">
        <v>1960</v>
      </c>
      <c r="K11" s="4" t="s">
        <v>1961</v>
      </c>
      <c r="L11" s="71">
        <f>60000+5400</f>
        <v>65400</v>
      </c>
      <c r="M11" s="33" t="s">
        <v>1962</v>
      </c>
      <c r="O11" s="4">
        <v>100000.0</v>
      </c>
      <c r="Q11" s="71" t="s">
        <v>1963</v>
      </c>
    </row>
    <row r="12">
      <c r="A12" s="31" t="s">
        <v>1964</v>
      </c>
      <c r="B12" s="55" t="s">
        <v>69</v>
      </c>
      <c r="C12" s="31" t="s">
        <v>1965</v>
      </c>
      <c r="D12" s="31" t="s">
        <v>1490</v>
      </c>
      <c r="E12" s="31" t="s">
        <v>1966</v>
      </c>
      <c r="G12" s="31" t="s">
        <v>1018</v>
      </c>
      <c r="H12" s="31" t="s">
        <v>1967</v>
      </c>
      <c r="K12" s="4" t="s">
        <v>1013</v>
      </c>
      <c r="M12" s="71"/>
      <c r="N12" s="71"/>
      <c r="O12" s="71"/>
      <c r="Q12" s="71" t="s">
        <v>1025</v>
      </c>
    </row>
    <row r="13">
      <c r="A13" s="31" t="s">
        <v>1968</v>
      </c>
      <c r="B13" s="4" t="s">
        <v>60</v>
      </c>
      <c r="C13" s="31" t="s">
        <v>1969</v>
      </c>
      <c r="D13" s="31" t="s">
        <v>1970</v>
      </c>
      <c r="E13" s="31" t="s">
        <v>1971</v>
      </c>
      <c r="G13" s="31" t="s">
        <v>1972</v>
      </c>
      <c r="K13" s="4" t="s">
        <v>489</v>
      </c>
      <c r="M13" s="71"/>
      <c r="N13" s="71"/>
      <c r="O13" s="71"/>
      <c r="P13" s="71" t="s">
        <v>1973</v>
      </c>
      <c r="Q13" s="71" t="s">
        <v>469</v>
      </c>
      <c r="R13" s="71">
        <v>309000.0</v>
      </c>
    </row>
    <row r="14">
      <c r="A14" s="31" t="s">
        <v>1974</v>
      </c>
      <c r="C14" s="31" t="s">
        <v>1975</v>
      </c>
      <c r="D14" s="31" t="s">
        <v>1976</v>
      </c>
      <c r="E14" s="31" t="s">
        <v>1977</v>
      </c>
      <c r="G14" s="31" t="s">
        <v>1039</v>
      </c>
      <c r="K14" s="33" t="s">
        <v>551</v>
      </c>
      <c r="M14" s="71"/>
      <c r="N14" s="71"/>
      <c r="O14" s="71"/>
      <c r="Q14" s="4" t="s">
        <v>1963</v>
      </c>
    </row>
    <row r="15">
      <c r="A15" s="31" t="s">
        <v>1978</v>
      </c>
      <c r="C15" s="31" t="s">
        <v>1979</v>
      </c>
      <c r="D15" s="31" t="s">
        <v>615</v>
      </c>
      <c r="E15" s="31" t="s">
        <v>1980</v>
      </c>
      <c r="G15" s="31" t="s">
        <v>1981</v>
      </c>
      <c r="K15" s="33" t="s">
        <v>498</v>
      </c>
      <c r="M15" s="71"/>
      <c r="N15" s="71"/>
      <c r="O15" s="71"/>
      <c r="Q15" s="71" t="s">
        <v>572</v>
      </c>
    </row>
    <row r="16">
      <c r="A16" s="31" t="s">
        <v>1982</v>
      </c>
      <c r="D16" s="31" t="s">
        <v>1983</v>
      </c>
      <c r="G16" s="31" t="s">
        <v>1984</v>
      </c>
      <c r="J16" s="71" t="s">
        <v>1985</v>
      </c>
      <c r="K16" s="4" t="s">
        <v>1040</v>
      </c>
      <c r="L16" s="71">
        <f>5000+5400</f>
        <v>10400</v>
      </c>
      <c r="M16" s="71"/>
      <c r="N16" s="71"/>
      <c r="O16" s="71"/>
      <c r="Q16" s="33" t="s">
        <v>1986</v>
      </c>
    </row>
    <row r="17">
      <c r="A17" s="31" t="s">
        <v>1987</v>
      </c>
      <c r="D17" s="31" t="s">
        <v>1988</v>
      </c>
      <c r="G17" s="31" t="s">
        <v>1989</v>
      </c>
      <c r="K17" s="4" t="s">
        <v>1990</v>
      </c>
      <c r="M17" s="71"/>
      <c r="N17" s="71"/>
      <c r="O17" s="71"/>
      <c r="P17" s="71" t="s">
        <v>1991</v>
      </c>
      <c r="Q17" s="4" t="s">
        <v>1064</v>
      </c>
      <c r="R17" s="71">
        <v>8000.0</v>
      </c>
    </row>
    <row r="18">
      <c r="A18" s="31" t="s">
        <v>1992</v>
      </c>
      <c r="D18" s="31" t="s">
        <v>1993</v>
      </c>
      <c r="G18" s="31" t="s">
        <v>1994</v>
      </c>
      <c r="K18" s="4" t="s">
        <v>489</v>
      </c>
      <c r="M18" s="71"/>
      <c r="N18" s="71"/>
      <c r="O18" s="71"/>
      <c r="Q18" s="71" t="s">
        <v>1035</v>
      </c>
    </row>
    <row r="19">
      <c r="A19" s="31" t="s">
        <v>1995</v>
      </c>
      <c r="K19" s="33" t="s">
        <v>498</v>
      </c>
      <c r="M19" s="71"/>
      <c r="N19" s="71"/>
      <c r="O19" s="71"/>
      <c r="P19" s="71" t="s">
        <v>1996</v>
      </c>
      <c r="Q19" s="71" t="s">
        <v>469</v>
      </c>
      <c r="R19" s="71">
        <v>9000.0</v>
      </c>
    </row>
    <row r="20">
      <c r="A20" s="31" t="s">
        <v>1997</v>
      </c>
      <c r="F20" s="1" t="s">
        <v>594</v>
      </c>
      <c r="J20" s="71" t="s">
        <v>1998</v>
      </c>
      <c r="K20" s="4" t="s">
        <v>489</v>
      </c>
      <c r="L20" s="71">
        <f>1000+5400</f>
        <v>6400</v>
      </c>
      <c r="M20" s="71"/>
      <c r="N20" s="71"/>
      <c r="O20" s="71"/>
      <c r="Q20" s="71" t="s">
        <v>1953</v>
      </c>
    </row>
    <row r="21">
      <c r="A21" s="31" t="s">
        <v>1999</v>
      </c>
      <c r="F21" s="216" t="s">
        <v>456</v>
      </c>
      <c r="G21" s="216" t="s">
        <v>457</v>
      </c>
      <c r="H21" s="216" t="s">
        <v>0</v>
      </c>
      <c r="K21" s="33" t="s">
        <v>498</v>
      </c>
      <c r="M21" s="71"/>
      <c r="N21" s="71"/>
      <c r="O21" s="71"/>
      <c r="Q21" s="71" t="s">
        <v>572</v>
      </c>
    </row>
    <row r="22">
      <c r="A22" s="31" t="s">
        <v>2000</v>
      </c>
      <c r="F22" s="71" t="s">
        <v>2001</v>
      </c>
      <c r="G22" s="71" t="s">
        <v>631</v>
      </c>
      <c r="H22" s="71">
        <v>2000.0</v>
      </c>
      <c r="J22" s="33" t="s">
        <v>1063</v>
      </c>
      <c r="L22" s="33">
        <v>150000.0</v>
      </c>
      <c r="M22" s="33"/>
      <c r="N22" s="33"/>
      <c r="O22" s="33"/>
      <c r="P22" s="4" t="s">
        <v>2002</v>
      </c>
      <c r="Q22" s="71" t="s">
        <v>1953</v>
      </c>
      <c r="R22" s="4">
        <v>3000.0</v>
      </c>
    </row>
    <row r="23">
      <c r="A23" s="31" t="s">
        <v>2003</v>
      </c>
      <c r="G23" s="71" t="s">
        <v>635</v>
      </c>
      <c r="P23" s="4" t="s">
        <v>2004</v>
      </c>
      <c r="Q23" s="4" t="s">
        <v>1963</v>
      </c>
      <c r="R23" s="4">
        <v>3000.0</v>
      </c>
    </row>
    <row r="24">
      <c r="A24" s="31" t="s">
        <v>2005</v>
      </c>
      <c r="G24" s="71" t="s">
        <v>625</v>
      </c>
      <c r="P24" s="71" t="s">
        <v>2006</v>
      </c>
      <c r="Q24" s="71" t="s">
        <v>469</v>
      </c>
      <c r="R24" s="71">
        <v>9000.0</v>
      </c>
    </row>
    <row r="25">
      <c r="A25" s="31" t="s">
        <v>2007</v>
      </c>
      <c r="F25" s="71" t="s">
        <v>1973</v>
      </c>
      <c r="G25" s="71" t="s">
        <v>650</v>
      </c>
      <c r="H25" s="71">
        <v>500.0</v>
      </c>
      <c r="Q25" s="71" t="s">
        <v>1953</v>
      </c>
    </row>
    <row r="26">
      <c r="A26" s="31" t="s">
        <v>2008</v>
      </c>
      <c r="G26" s="71" t="s">
        <v>635</v>
      </c>
      <c r="Q26" s="71" t="s">
        <v>572</v>
      </c>
    </row>
    <row r="27">
      <c r="A27" s="31" t="s">
        <v>2009</v>
      </c>
      <c r="G27" s="71" t="s">
        <v>613</v>
      </c>
      <c r="P27" s="4" t="s">
        <v>2010</v>
      </c>
      <c r="Q27" s="71" t="s">
        <v>1025</v>
      </c>
      <c r="R27" s="4">
        <v>1000.0</v>
      </c>
    </row>
    <row r="28">
      <c r="A28" s="31" t="s">
        <v>2011</v>
      </c>
      <c r="F28" s="71" t="s">
        <v>2012</v>
      </c>
      <c r="G28" s="71" t="s">
        <v>631</v>
      </c>
      <c r="H28" s="71">
        <v>1500.0</v>
      </c>
      <c r="K28" s="8"/>
      <c r="P28" s="33" t="s">
        <v>1720</v>
      </c>
      <c r="R28" s="4">
        <v>500000.0</v>
      </c>
    </row>
    <row r="29">
      <c r="A29" s="31" t="s">
        <v>2013</v>
      </c>
      <c r="G29" s="71" t="s">
        <v>635</v>
      </c>
      <c r="K29" s="8"/>
    </row>
    <row r="30">
      <c r="A30" s="31" t="s">
        <v>2014</v>
      </c>
      <c r="G30" s="71" t="s">
        <v>613</v>
      </c>
      <c r="K30" s="8"/>
    </row>
    <row r="31">
      <c r="A31" s="31" t="s">
        <v>2015</v>
      </c>
      <c r="F31" s="71" t="s">
        <v>2016</v>
      </c>
      <c r="G31" s="71" t="s">
        <v>631</v>
      </c>
      <c r="H31" s="71">
        <v>2000.0</v>
      </c>
      <c r="K31" s="8"/>
    </row>
    <row r="32">
      <c r="A32" s="31" t="s">
        <v>2017</v>
      </c>
      <c r="G32" s="71" t="s">
        <v>644</v>
      </c>
      <c r="K32" s="8"/>
    </row>
    <row r="33">
      <c r="A33" s="31" t="s">
        <v>2018</v>
      </c>
      <c r="G33" s="71" t="s">
        <v>613</v>
      </c>
      <c r="K33" s="8"/>
    </row>
    <row r="34">
      <c r="A34" s="31" t="s">
        <v>2019</v>
      </c>
      <c r="F34" s="71" t="s">
        <v>2020</v>
      </c>
      <c r="G34" s="71" t="s">
        <v>650</v>
      </c>
      <c r="H34" s="71">
        <v>500.0</v>
      </c>
      <c r="K34" s="8"/>
    </row>
    <row r="35">
      <c r="A35" s="31" t="s">
        <v>2021</v>
      </c>
      <c r="G35" s="71" t="s">
        <v>644</v>
      </c>
      <c r="K35" s="8"/>
    </row>
    <row r="36">
      <c r="A36" s="31" t="s">
        <v>2022</v>
      </c>
      <c r="G36" s="71" t="s">
        <v>652</v>
      </c>
      <c r="K36" s="8"/>
    </row>
    <row r="37">
      <c r="A37" s="31" t="s">
        <v>2023</v>
      </c>
      <c r="K37" s="8"/>
    </row>
    <row r="38">
      <c r="A38" s="31" t="s">
        <v>2024</v>
      </c>
      <c r="K38" s="8"/>
    </row>
    <row r="39">
      <c r="A39" s="31" t="s">
        <v>2025</v>
      </c>
      <c r="K39" s="8"/>
    </row>
    <row r="40">
      <c r="A40" s="31" t="s">
        <v>2026</v>
      </c>
      <c r="K40" s="8"/>
    </row>
    <row r="41">
      <c r="A41" s="31" t="s">
        <v>2027</v>
      </c>
      <c r="K41" s="8"/>
    </row>
    <row r="42">
      <c r="A42" s="31" t="s">
        <v>2028</v>
      </c>
      <c r="K42" s="8"/>
    </row>
    <row r="43">
      <c r="A43" s="31" t="s">
        <v>2029</v>
      </c>
      <c r="K43" s="8"/>
    </row>
    <row r="44">
      <c r="A44" s="31" t="s">
        <v>2030</v>
      </c>
      <c r="K44" s="8"/>
    </row>
    <row r="45">
      <c r="A45" s="31" t="s">
        <v>2031</v>
      </c>
      <c r="K45" s="8"/>
    </row>
    <row r="46">
      <c r="A46" s="31" t="s">
        <v>2032</v>
      </c>
      <c r="K46" s="8"/>
    </row>
    <row r="47">
      <c r="A47" s="31"/>
      <c r="K47" s="8"/>
    </row>
    <row r="48">
      <c r="K48" s="8"/>
    </row>
    <row r="49">
      <c r="K49" s="8"/>
    </row>
    <row r="50">
      <c r="A50" s="47" t="s">
        <v>1529</v>
      </c>
      <c r="K50" s="8"/>
    </row>
    <row r="51">
      <c r="A51" s="47">
        <f>A63+A78+A94+A111+A136+A182</f>
        <v>905775</v>
      </c>
      <c r="K51" s="8"/>
    </row>
    <row r="52">
      <c r="A52" s="82" t="s">
        <v>2033</v>
      </c>
      <c r="K52" s="8"/>
    </row>
    <row r="53">
      <c r="A53" s="82">
        <v>2026.0</v>
      </c>
      <c r="K53" s="8"/>
    </row>
    <row r="54">
      <c r="A54" s="50" t="s">
        <v>665</v>
      </c>
      <c r="B54" s="50" t="s">
        <v>119</v>
      </c>
      <c r="C54" s="50" t="s">
        <v>142</v>
      </c>
      <c r="D54" s="50" t="s">
        <v>126</v>
      </c>
      <c r="E54" s="50" t="s">
        <v>130</v>
      </c>
      <c r="K54" s="8"/>
    </row>
    <row r="55">
      <c r="A55" s="33" t="s">
        <v>2034</v>
      </c>
      <c r="K55" s="8"/>
    </row>
    <row r="56">
      <c r="A56" s="85"/>
      <c r="K56" s="8"/>
    </row>
    <row r="57">
      <c r="A57" s="86" t="s">
        <v>2035</v>
      </c>
      <c r="K57" s="8"/>
    </row>
    <row r="58">
      <c r="A58" s="87">
        <v>2026.0</v>
      </c>
      <c r="K58" s="8"/>
    </row>
    <row r="59">
      <c r="A59" s="50" t="s">
        <v>687</v>
      </c>
      <c r="B59" s="50" t="s">
        <v>688</v>
      </c>
      <c r="C59" s="50" t="s">
        <v>689</v>
      </c>
      <c r="D59" s="50" t="s">
        <v>690</v>
      </c>
      <c r="E59" s="50" t="s">
        <v>691</v>
      </c>
      <c r="F59" s="50" t="s">
        <v>692</v>
      </c>
      <c r="K59" s="8"/>
    </row>
    <row r="60">
      <c r="A60" s="64" t="s">
        <v>2034</v>
      </c>
      <c r="K60" s="8"/>
    </row>
    <row r="61">
      <c r="A61" s="85"/>
      <c r="K61" s="8"/>
    </row>
    <row r="62">
      <c r="A62" s="22" t="s">
        <v>1774</v>
      </c>
      <c r="K62" s="8"/>
    </row>
    <row r="63">
      <c r="A63" s="22">
        <v>19100.0</v>
      </c>
      <c r="K63" s="8"/>
    </row>
    <row r="64">
      <c r="A64" s="19">
        <v>2026.0</v>
      </c>
      <c r="K64" s="8"/>
    </row>
    <row r="65">
      <c r="A65" s="88" t="s">
        <v>2036</v>
      </c>
      <c r="K65" s="8"/>
    </row>
    <row r="66">
      <c r="A66" s="50" t="s">
        <v>733</v>
      </c>
      <c r="B66" s="50" t="s">
        <v>191</v>
      </c>
      <c r="C66" s="50" t="s">
        <v>734</v>
      </c>
      <c r="D66" s="50" t="s">
        <v>735</v>
      </c>
      <c r="E66" s="50" t="s">
        <v>187</v>
      </c>
      <c r="F66" s="50" t="s">
        <v>736</v>
      </c>
      <c r="G66" s="50" t="s">
        <v>179</v>
      </c>
      <c r="H66" s="50" t="s">
        <v>737</v>
      </c>
      <c r="K66" s="8"/>
    </row>
    <row r="67">
      <c r="A67" s="76" t="s">
        <v>377</v>
      </c>
      <c r="B67" s="76" t="s">
        <v>2037</v>
      </c>
      <c r="C67" s="76" t="s">
        <v>1576</v>
      </c>
      <c r="D67" s="76" t="s">
        <v>2038</v>
      </c>
      <c r="E67" s="76" t="s">
        <v>377</v>
      </c>
      <c r="F67" s="76" t="s">
        <v>2039</v>
      </c>
      <c r="G67" s="76" t="s">
        <v>377</v>
      </c>
      <c r="H67" s="76" t="s">
        <v>2040</v>
      </c>
      <c r="K67" s="8"/>
    </row>
    <row r="68">
      <c r="B68" s="31" t="s">
        <v>2041</v>
      </c>
      <c r="C68" s="31" t="s">
        <v>2042</v>
      </c>
      <c r="D68" s="31" t="s">
        <v>2043</v>
      </c>
      <c r="F68" s="31" t="s">
        <v>2044</v>
      </c>
      <c r="H68" s="31" t="s">
        <v>2045</v>
      </c>
      <c r="K68" s="8"/>
    </row>
    <row r="69">
      <c r="B69" s="31" t="s">
        <v>703</v>
      </c>
      <c r="C69" s="31" t="s">
        <v>703</v>
      </c>
      <c r="D69" s="31" t="s">
        <v>703</v>
      </c>
      <c r="F69" s="31" t="s">
        <v>765</v>
      </c>
      <c r="H69" s="31" t="s">
        <v>703</v>
      </c>
      <c r="K69" s="8"/>
    </row>
    <row r="70">
      <c r="B70" s="31" t="s">
        <v>2046</v>
      </c>
      <c r="D70" s="31" t="s">
        <v>2047</v>
      </c>
      <c r="F70" s="31" t="s">
        <v>2048</v>
      </c>
      <c r="H70" s="31" t="s">
        <v>2049</v>
      </c>
      <c r="K70" s="8"/>
    </row>
    <row r="71">
      <c r="B71" s="31" t="s">
        <v>757</v>
      </c>
      <c r="D71" s="31" t="s">
        <v>703</v>
      </c>
      <c r="F71" s="31" t="s">
        <v>1586</v>
      </c>
      <c r="H71" s="31" t="s">
        <v>703</v>
      </c>
      <c r="K71" s="8"/>
    </row>
    <row r="72">
      <c r="B72" s="31" t="s">
        <v>773</v>
      </c>
      <c r="H72" s="31" t="s">
        <v>2050</v>
      </c>
      <c r="K72" s="8"/>
    </row>
    <row r="73">
      <c r="H73" s="31" t="s">
        <v>703</v>
      </c>
      <c r="K73" s="8"/>
    </row>
    <row r="74">
      <c r="K74" s="8"/>
    </row>
    <row r="75">
      <c r="K75" s="8"/>
    </row>
    <row r="76">
      <c r="K76" s="8"/>
    </row>
    <row r="77">
      <c r="A77" s="90" t="s">
        <v>1172</v>
      </c>
      <c r="K77" s="8"/>
    </row>
    <row r="78">
      <c r="A78" s="90">
        <f>A81</f>
        <v>113850</v>
      </c>
      <c r="K78" s="8"/>
    </row>
    <row r="79">
      <c r="A79" s="90">
        <v>2026.0</v>
      </c>
      <c r="K79" s="8"/>
    </row>
    <row r="80">
      <c r="A80" s="90" t="s">
        <v>368</v>
      </c>
      <c r="K80" s="8"/>
    </row>
    <row r="81">
      <c r="A81" s="90">
        <f>A84+B84+C84+D84+E84+F84+G84+H84</f>
        <v>113850</v>
      </c>
      <c r="K81" s="8"/>
    </row>
    <row r="82">
      <c r="A82" s="50" t="s">
        <v>789</v>
      </c>
      <c r="B82" s="50" t="s">
        <v>790</v>
      </c>
      <c r="C82" s="50" t="s">
        <v>215</v>
      </c>
      <c r="D82" s="50" t="s">
        <v>791</v>
      </c>
      <c r="E82" s="50" t="s">
        <v>202</v>
      </c>
      <c r="F82" s="50" t="s">
        <v>792</v>
      </c>
      <c r="G82" s="50" t="s">
        <v>793</v>
      </c>
      <c r="H82" s="50" t="s">
        <v>205</v>
      </c>
      <c r="K82" s="8"/>
    </row>
    <row r="83">
      <c r="A83" s="33" t="s">
        <v>377</v>
      </c>
      <c r="B83" s="33" t="s">
        <v>377</v>
      </c>
      <c r="C83" s="33" t="s">
        <v>377</v>
      </c>
      <c r="D83" s="33" t="s">
        <v>377</v>
      </c>
      <c r="E83" s="33" t="s">
        <v>377</v>
      </c>
      <c r="F83" s="33" t="s">
        <v>377</v>
      </c>
      <c r="G83" s="33" t="s">
        <v>377</v>
      </c>
      <c r="H83" s="33" t="s">
        <v>377</v>
      </c>
      <c r="K83" s="8"/>
    </row>
    <row r="84">
      <c r="A84" s="50">
        <v>12000.0</v>
      </c>
      <c r="B84" s="50">
        <v>0.0</v>
      </c>
      <c r="C84" s="50">
        <v>0.0</v>
      </c>
      <c r="D84" s="50">
        <v>0.0</v>
      </c>
      <c r="E84" s="50">
        <v>83400.0</v>
      </c>
      <c r="F84" s="50">
        <v>0.0</v>
      </c>
      <c r="G84" s="50">
        <v>1500.0</v>
      </c>
      <c r="H84" s="50">
        <v>16950.0</v>
      </c>
      <c r="K84" s="8"/>
    </row>
    <row r="85">
      <c r="A85" s="31" t="s">
        <v>1570</v>
      </c>
      <c r="E85" s="31" t="s">
        <v>2051</v>
      </c>
      <c r="G85" s="31" t="s">
        <v>2052</v>
      </c>
      <c r="H85" s="31" t="s">
        <v>2041</v>
      </c>
      <c r="K85" s="8"/>
    </row>
    <row r="86">
      <c r="A86" s="31" t="s">
        <v>1247</v>
      </c>
      <c r="E86" s="31" t="s">
        <v>703</v>
      </c>
      <c r="G86" s="31" t="s">
        <v>703</v>
      </c>
      <c r="H86" s="31" t="s">
        <v>765</v>
      </c>
      <c r="K86" s="8"/>
    </row>
    <row r="87">
      <c r="E87" s="31" t="s">
        <v>802</v>
      </c>
      <c r="G87" s="31" t="s">
        <v>2053</v>
      </c>
      <c r="H87" s="31" t="s">
        <v>817</v>
      </c>
      <c r="K87" s="8"/>
    </row>
    <row r="88">
      <c r="E88" s="31" t="s">
        <v>810</v>
      </c>
      <c r="G88" s="31" t="s">
        <v>677</v>
      </c>
      <c r="K88" s="8"/>
    </row>
    <row r="89">
      <c r="E89" s="31" t="s">
        <v>2054</v>
      </c>
      <c r="K89" s="8"/>
    </row>
    <row r="90">
      <c r="E90" s="31" t="s">
        <v>2055</v>
      </c>
      <c r="K90" s="8"/>
    </row>
    <row r="91">
      <c r="E91" s="31" t="s">
        <v>813</v>
      </c>
      <c r="K91" s="8"/>
    </row>
    <row r="92">
      <c r="K92" s="8"/>
    </row>
    <row r="93">
      <c r="A93" s="92" t="s">
        <v>828</v>
      </c>
      <c r="K93" s="8"/>
    </row>
    <row r="94">
      <c r="A94" s="92">
        <f>A97</f>
        <v>50900</v>
      </c>
      <c r="K94" s="8"/>
    </row>
    <row r="95">
      <c r="A95" s="92">
        <v>2026.0</v>
      </c>
      <c r="K95" s="8"/>
    </row>
    <row r="96">
      <c r="A96" s="92" t="s">
        <v>368</v>
      </c>
      <c r="K96" s="8"/>
    </row>
    <row r="97">
      <c r="A97" s="93">
        <f>A100+B100+C100+D100+E100+F100+G100+H100+I100+J100</f>
        <v>50900</v>
      </c>
      <c r="K97" s="8"/>
    </row>
    <row r="98">
      <c r="A98" s="94" t="s">
        <v>829</v>
      </c>
      <c r="B98" s="94" t="s">
        <v>830</v>
      </c>
      <c r="C98" s="94" t="s">
        <v>831</v>
      </c>
      <c r="D98" s="94" t="s">
        <v>832</v>
      </c>
      <c r="E98" s="94" t="s">
        <v>833</v>
      </c>
      <c r="F98" s="94" t="s">
        <v>834</v>
      </c>
      <c r="G98" s="94" t="s">
        <v>835</v>
      </c>
      <c r="H98" s="94" t="s">
        <v>836</v>
      </c>
      <c r="I98" s="95" t="s">
        <v>837</v>
      </c>
      <c r="J98" s="95" t="s">
        <v>838</v>
      </c>
      <c r="K98" s="8"/>
    </row>
    <row r="99">
      <c r="A99" s="33" t="s">
        <v>377</v>
      </c>
      <c r="B99" s="33" t="s">
        <v>377</v>
      </c>
      <c r="C99" s="33" t="s">
        <v>377</v>
      </c>
      <c r="D99" s="33" t="s">
        <v>377</v>
      </c>
      <c r="E99" s="33" t="s">
        <v>377</v>
      </c>
      <c r="F99" s="33" t="s">
        <v>377</v>
      </c>
      <c r="G99" s="33" t="s">
        <v>377</v>
      </c>
      <c r="H99" s="33" t="s">
        <v>377</v>
      </c>
      <c r="I99" s="33" t="s">
        <v>377</v>
      </c>
      <c r="J99" s="33" t="s">
        <v>377</v>
      </c>
      <c r="K99" s="8"/>
    </row>
    <row r="100">
      <c r="A100" s="50">
        <v>12200.0</v>
      </c>
      <c r="B100" s="50">
        <v>900.0</v>
      </c>
      <c r="C100" s="50">
        <v>1100.0</v>
      </c>
      <c r="D100" s="50">
        <v>1500.0</v>
      </c>
      <c r="E100" s="50">
        <v>0.0</v>
      </c>
      <c r="F100" s="50">
        <v>1100.0</v>
      </c>
      <c r="G100" s="50">
        <v>0.0</v>
      </c>
      <c r="H100" s="50">
        <v>27000.0</v>
      </c>
      <c r="I100" s="50">
        <v>1000.0</v>
      </c>
      <c r="J100" s="50">
        <v>6100.0</v>
      </c>
      <c r="K100" s="8"/>
    </row>
    <row r="101">
      <c r="A101" s="31" t="s">
        <v>2051</v>
      </c>
      <c r="B101" s="31" t="s">
        <v>2043</v>
      </c>
      <c r="C101" s="31" t="s">
        <v>2056</v>
      </c>
      <c r="D101" s="31" t="s">
        <v>2057</v>
      </c>
      <c r="F101" s="31" t="s">
        <v>2058</v>
      </c>
      <c r="H101" s="31" t="s">
        <v>2044</v>
      </c>
      <c r="I101" s="31" t="s">
        <v>2059</v>
      </c>
      <c r="J101" s="31" t="s">
        <v>2060</v>
      </c>
      <c r="K101" s="8"/>
    </row>
    <row r="102">
      <c r="A102" s="31" t="s">
        <v>820</v>
      </c>
      <c r="B102" s="31" t="s">
        <v>1212</v>
      </c>
      <c r="C102" s="31" t="s">
        <v>728</v>
      </c>
      <c r="D102" s="31" t="s">
        <v>726</v>
      </c>
      <c r="F102" s="31" t="s">
        <v>859</v>
      </c>
      <c r="H102" s="31" t="s">
        <v>901</v>
      </c>
      <c r="I102" s="31" t="s">
        <v>677</v>
      </c>
      <c r="J102" s="31" t="s">
        <v>703</v>
      </c>
      <c r="K102" s="8"/>
    </row>
    <row r="103">
      <c r="A103" s="31" t="s">
        <v>1199</v>
      </c>
      <c r="D103" s="31" t="s">
        <v>2061</v>
      </c>
      <c r="F103" s="31" t="s">
        <v>2062</v>
      </c>
      <c r="J103" s="31" t="s">
        <v>2063</v>
      </c>
      <c r="K103" s="8"/>
    </row>
    <row r="104">
      <c r="A104" s="31" t="s">
        <v>2064</v>
      </c>
      <c r="D104" s="31" t="s">
        <v>2065</v>
      </c>
      <c r="F104" s="31" t="s">
        <v>703</v>
      </c>
      <c r="J104" s="31" t="s">
        <v>703</v>
      </c>
      <c r="K104" s="8"/>
    </row>
    <row r="105">
      <c r="A105" s="31" t="s">
        <v>1759</v>
      </c>
      <c r="J105" s="31" t="s">
        <v>1938</v>
      </c>
      <c r="K105" s="8"/>
    </row>
    <row r="106">
      <c r="J106" s="31" t="s">
        <v>859</v>
      </c>
      <c r="K106" s="8"/>
    </row>
    <row r="107">
      <c r="J107" s="31" t="s">
        <v>1942</v>
      </c>
      <c r="K107" s="8"/>
    </row>
    <row r="108">
      <c r="J108" s="31" t="s">
        <v>907</v>
      </c>
      <c r="K108" s="8"/>
    </row>
    <row r="109">
      <c r="A109" s="96" t="s">
        <v>871</v>
      </c>
      <c r="K109" s="8"/>
    </row>
    <row r="110">
      <c r="A110" s="97" t="s">
        <v>872</v>
      </c>
      <c r="K110" s="8"/>
    </row>
    <row r="111">
      <c r="A111" s="97">
        <f>A114</f>
        <v>170200</v>
      </c>
      <c r="K111" s="8"/>
    </row>
    <row r="112">
      <c r="A112" s="97">
        <v>2026.0</v>
      </c>
      <c r="K112" s="8"/>
    </row>
    <row r="113">
      <c r="A113" s="97" t="s">
        <v>368</v>
      </c>
      <c r="K113" s="8"/>
    </row>
    <row r="114">
      <c r="A114" s="98">
        <f>A117+B117+C117+D117+E117+F117+G117+H117+I117+J117</f>
        <v>170200</v>
      </c>
      <c r="K114" s="8"/>
    </row>
    <row r="115">
      <c r="A115" s="50" t="s">
        <v>873</v>
      </c>
      <c r="B115" s="50" t="s">
        <v>874</v>
      </c>
      <c r="C115" s="50" t="s">
        <v>875</v>
      </c>
      <c r="D115" s="50" t="s">
        <v>876</v>
      </c>
      <c r="E115" s="50" t="s">
        <v>877</v>
      </c>
      <c r="F115" s="50" t="s">
        <v>878</v>
      </c>
      <c r="G115" s="94" t="s">
        <v>879</v>
      </c>
      <c r="H115" s="99" t="s">
        <v>880</v>
      </c>
      <c r="I115" s="99" t="s">
        <v>881</v>
      </c>
      <c r="J115" s="99" t="s">
        <v>882</v>
      </c>
      <c r="K115" s="8"/>
    </row>
    <row r="116">
      <c r="A116" s="33" t="s">
        <v>377</v>
      </c>
      <c r="B116" s="33" t="s">
        <v>377</v>
      </c>
      <c r="C116" s="33" t="s">
        <v>377</v>
      </c>
      <c r="D116" s="33" t="s">
        <v>377</v>
      </c>
      <c r="E116" s="33" t="s">
        <v>377</v>
      </c>
      <c r="F116" s="33" t="s">
        <v>377</v>
      </c>
      <c r="G116" s="33" t="s">
        <v>377</v>
      </c>
      <c r="H116" s="64" t="s">
        <v>377</v>
      </c>
      <c r="I116" s="64" t="s">
        <v>377</v>
      </c>
      <c r="J116" s="64" t="s">
        <v>377</v>
      </c>
      <c r="K116" s="8"/>
    </row>
    <row r="117">
      <c r="A117" s="50"/>
      <c r="B117" s="50"/>
      <c r="C117" s="50">
        <v>1000.0</v>
      </c>
      <c r="D117" s="50">
        <f>45000+58200</f>
        <v>103200</v>
      </c>
      <c r="E117" s="50"/>
      <c r="F117" s="50">
        <v>1000.0</v>
      </c>
      <c r="G117" s="50">
        <v>6500.0</v>
      </c>
      <c r="H117" s="50"/>
      <c r="I117" s="50"/>
      <c r="J117" s="50">
        <v>58500.0</v>
      </c>
      <c r="K117" s="8"/>
    </row>
    <row r="118">
      <c r="C118" s="31" t="s">
        <v>2001</v>
      </c>
      <c r="D118" s="31" t="s">
        <v>2051</v>
      </c>
      <c r="F118" s="31" t="s">
        <v>2066</v>
      </c>
      <c r="G118" s="31" t="s">
        <v>2043</v>
      </c>
      <c r="J118" s="31" t="s">
        <v>1570</v>
      </c>
      <c r="K118" s="8"/>
    </row>
    <row r="119">
      <c r="C119" s="31" t="s">
        <v>677</v>
      </c>
      <c r="D119" s="31" t="s">
        <v>942</v>
      </c>
      <c r="F119" s="31" t="s">
        <v>677</v>
      </c>
      <c r="G119" s="31" t="s">
        <v>809</v>
      </c>
      <c r="J119" s="31" t="s">
        <v>1223</v>
      </c>
      <c r="K119" s="8"/>
    </row>
    <row r="120">
      <c r="D120" s="31" t="s">
        <v>1821</v>
      </c>
      <c r="J120" s="31" t="s">
        <v>898</v>
      </c>
      <c r="K120" s="8"/>
    </row>
    <row r="121">
      <c r="D121" s="31" t="s">
        <v>2049</v>
      </c>
      <c r="J121" s="31" t="s">
        <v>2062</v>
      </c>
      <c r="K121" s="8"/>
    </row>
    <row r="122">
      <c r="D122" s="31" t="s">
        <v>765</v>
      </c>
      <c r="J122" s="31" t="s">
        <v>855</v>
      </c>
      <c r="K122" s="8"/>
    </row>
    <row r="123">
      <c r="D123" s="31" t="s">
        <v>892</v>
      </c>
      <c r="J123" s="31" t="s">
        <v>761</v>
      </c>
      <c r="K123" s="8"/>
    </row>
    <row r="124">
      <c r="D124" s="31" t="s">
        <v>1821</v>
      </c>
      <c r="J124" s="31" t="s">
        <v>677</v>
      </c>
      <c r="K124" s="8"/>
    </row>
    <row r="125">
      <c r="D125" s="31" t="s">
        <v>2067</v>
      </c>
      <c r="J125" s="31" t="s">
        <v>2068</v>
      </c>
      <c r="K125" s="8"/>
    </row>
    <row r="126">
      <c r="D126" s="31" t="s">
        <v>885</v>
      </c>
      <c r="J126" s="31" t="s">
        <v>886</v>
      </c>
      <c r="K126" s="8"/>
    </row>
    <row r="127">
      <c r="D127" s="31" t="s">
        <v>1821</v>
      </c>
      <c r="J127" s="31" t="s">
        <v>2069</v>
      </c>
      <c r="K127" s="8"/>
    </row>
    <row r="128">
      <c r="J128" s="31" t="s">
        <v>677</v>
      </c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A135" s="100" t="s">
        <v>913</v>
      </c>
      <c r="K135" s="8"/>
    </row>
    <row r="136">
      <c r="A136" s="100">
        <f>A139</f>
        <v>236450</v>
      </c>
      <c r="K136" s="8"/>
    </row>
    <row r="137">
      <c r="A137" s="100">
        <v>2026.0</v>
      </c>
      <c r="K137" s="8"/>
    </row>
    <row r="138">
      <c r="A138" s="100" t="s">
        <v>368</v>
      </c>
      <c r="K138" s="8"/>
    </row>
    <row r="139">
      <c r="A139" s="100">
        <f>A142+B142+C142+D142+E142+F142+G142+H142</f>
        <v>236450</v>
      </c>
      <c r="K139" s="8"/>
    </row>
    <row r="140">
      <c r="A140" s="50" t="s">
        <v>914</v>
      </c>
      <c r="B140" s="50" t="s">
        <v>246</v>
      </c>
      <c r="C140" s="50" t="s">
        <v>247</v>
      </c>
      <c r="D140" s="50" t="s">
        <v>249</v>
      </c>
      <c r="E140" s="50" t="s">
        <v>915</v>
      </c>
      <c r="F140" s="50" t="s">
        <v>916</v>
      </c>
      <c r="G140" s="50" t="s">
        <v>253</v>
      </c>
      <c r="H140" s="50" t="s">
        <v>252</v>
      </c>
      <c r="K140" s="8"/>
    </row>
    <row r="141">
      <c r="A141" s="33" t="s">
        <v>377</v>
      </c>
      <c r="B141" s="33" t="s">
        <v>377</v>
      </c>
      <c r="C141" s="33" t="s">
        <v>377</v>
      </c>
      <c r="D141" s="33" t="s">
        <v>377</v>
      </c>
      <c r="E141" s="33" t="s">
        <v>377</v>
      </c>
      <c r="F141" s="33" t="s">
        <v>377</v>
      </c>
      <c r="G141" s="33" t="s">
        <v>377</v>
      </c>
      <c r="H141" s="33" t="s">
        <v>377</v>
      </c>
      <c r="K141" s="8"/>
    </row>
    <row r="142">
      <c r="A142" s="50">
        <v>5750.0</v>
      </c>
      <c r="B142" s="50">
        <v>2000.0</v>
      </c>
      <c r="C142" s="50">
        <f>9000+37200</f>
        <v>46200</v>
      </c>
      <c r="D142" s="50">
        <v>0.0</v>
      </c>
      <c r="E142" s="50">
        <v>3000.0</v>
      </c>
      <c r="F142" s="50">
        <v>4000.0</v>
      </c>
      <c r="G142" s="50">
        <v>0.0</v>
      </c>
      <c r="H142" s="50">
        <f>87500+88000</f>
        <v>175500</v>
      </c>
      <c r="K142" s="8"/>
    </row>
    <row r="143">
      <c r="A143" s="31" t="s">
        <v>2070</v>
      </c>
      <c r="B143" s="31" t="s">
        <v>1787</v>
      </c>
      <c r="C143" s="31" t="s">
        <v>842</v>
      </c>
      <c r="E143" s="31" t="s">
        <v>2052</v>
      </c>
      <c r="F143" s="31" t="s">
        <v>2066</v>
      </c>
      <c r="H143" s="31" t="s">
        <v>2071</v>
      </c>
      <c r="K143" s="8"/>
    </row>
    <row r="144">
      <c r="A144" s="31" t="s">
        <v>677</v>
      </c>
      <c r="B144" s="31" t="s">
        <v>677</v>
      </c>
      <c r="C144" s="31" t="s">
        <v>677</v>
      </c>
      <c r="E144" s="31" t="s">
        <v>718</v>
      </c>
      <c r="F144" s="31" t="s">
        <v>677</v>
      </c>
      <c r="H144" s="31" t="s">
        <v>767</v>
      </c>
      <c r="K144" s="8"/>
    </row>
    <row r="145">
      <c r="A145" s="31" t="s">
        <v>2072</v>
      </c>
      <c r="B145" s="31" t="s">
        <v>2073</v>
      </c>
      <c r="C145" s="31" t="s">
        <v>1836</v>
      </c>
      <c r="F145" s="31" t="s">
        <v>2074</v>
      </c>
      <c r="H145" s="31" t="s">
        <v>921</v>
      </c>
      <c r="K145" s="8"/>
    </row>
    <row r="146">
      <c r="A146" s="31" t="s">
        <v>677</v>
      </c>
      <c r="B146" s="31" t="s">
        <v>677</v>
      </c>
      <c r="C146" s="31" t="s">
        <v>2062</v>
      </c>
      <c r="F146" s="31" t="s">
        <v>826</v>
      </c>
      <c r="H146" s="31" t="s">
        <v>2061</v>
      </c>
      <c r="K146" s="8"/>
    </row>
    <row r="147">
      <c r="A147" s="31" t="s">
        <v>2075</v>
      </c>
      <c r="C147" s="31" t="s">
        <v>677</v>
      </c>
      <c r="F147" s="31" t="s">
        <v>2050</v>
      </c>
      <c r="H147" s="31" t="s">
        <v>951</v>
      </c>
      <c r="K147" s="8"/>
    </row>
    <row r="148">
      <c r="A148" s="31" t="s">
        <v>677</v>
      </c>
      <c r="C148" s="31" t="s">
        <v>1836</v>
      </c>
      <c r="F148" s="31" t="s">
        <v>677</v>
      </c>
      <c r="H148" s="31" t="s">
        <v>921</v>
      </c>
      <c r="K148" s="8"/>
    </row>
    <row r="149">
      <c r="A149" s="31" t="s">
        <v>2076</v>
      </c>
      <c r="C149" s="31" t="s">
        <v>2077</v>
      </c>
      <c r="H149" s="31" t="s">
        <v>1991</v>
      </c>
      <c r="K149" s="8"/>
    </row>
    <row r="150">
      <c r="A150" s="31" t="s">
        <v>677</v>
      </c>
      <c r="C150" s="31" t="s">
        <v>765</v>
      </c>
      <c r="H150" s="31" t="s">
        <v>891</v>
      </c>
      <c r="K150" s="8"/>
    </row>
    <row r="151">
      <c r="A151" s="31" t="s">
        <v>1612</v>
      </c>
      <c r="C151" s="31" t="s">
        <v>1836</v>
      </c>
      <c r="H151" s="31" t="s">
        <v>1612</v>
      </c>
      <c r="K151" s="8"/>
    </row>
    <row r="152">
      <c r="H152" s="31" t="s">
        <v>1834</v>
      </c>
      <c r="K152" s="8"/>
    </row>
    <row r="153">
      <c r="H153" s="31" t="s">
        <v>921</v>
      </c>
      <c r="K153" s="8"/>
    </row>
    <row r="154">
      <c r="H154" s="31" t="s">
        <v>2078</v>
      </c>
      <c r="K154" s="8"/>
    </row>
    <row r="155">
      <c r="H155" s="31" t="s">
        <v>767</v>
      </c>
      <c r="K155" s="8"/>
    </row>
    <row r="156">
      <c r="H156" s="31" t="s">
        <v>1612</v>
      </c>
      <c r="K156" s="8"/>
    </row>
    <row r="157">
      <c r="H157" s="31" t="s">
        <v>921</v>
      </c>
      <c r="K157" s="8"/>
    </row>
    <row r="158">
      <c r="K158" s="8"/>
    </row>
    <row r="159">
      <c r="A159" s="101" t="s">
        <v>928</v>
      </c>
      <c r="K159" s="8"/>
    </row>
    <row r="160">
      <c r="A160" s="101">
        <f>A163</f>
        <v>645000</v>
      </c>
      <c r="K160" s="8"/>
    </row>
    <row r="161">
      <c r="A161" s="101">
        <v>2026.0</v>
      </c>
      <c r="K161" s="8"/>
    </row>
    <row r="162">
      <c r="A162" s="101" t="s">
        <v>368</v>
      </c>
      <c r="K162" s="8"/>
    </row>
    <row r="163">
      <c r="A163" s="102">
        <f>A166+B166+C166+D166+E166+F166+G166+H166+I166+J166</f>
        <v>645000</v>
      </c>
      <c r="K163" s="8"/>
    </row>
    <row r="164">
      <c r="A164" s="50" t="s">
        <v>929</v>
      </c>
      <c r="B164" s="50" t="s">
        <v>930</v>
      </c>
      <c r="C164" s="50" t="s">
        <v>931</v>
      </c>
      <c r="D164" s="50" t="s">
        <v>932</v>
      </c>
      <c r="E164" s="50" t="s">
        <v>933</v>
      </c>
      <c r="F164" s="50" t="s">
        <v>934</v>
      </c>
      <c r="G164" s="50" t="s">
        <v>935</v>
      </c>
      <c r="H164" s="50" t="s">
        <v>936</v>
      </c>
      <c r="I164" s="50" t="s">
        <v>937</v>
      </c>
      <c r="J164" s="50" t="s">
        <v>938</v>
      </c>
      <c r="K164" s="8"/>
    </row>
    <row r="165">
      <c r="A165" s="33" t="s">
        <v>377</v>
      </c>
      <c r="B165" s="33" t="s">
        <v>377</v>
      </c>
      <c r="C165" s="33" t="s">
        <v>377</v>
      </c>
      <c r="D165" s="33" t="s">
        <v>377</v>
      </c>
      <c r="E165" s="33" t="s">
        <v>377</v>
      </c>
      <c r="F165" s="33" t="s">
        <v>377</v>
      </c>
      <c r="G165" s="33" t="s">
        <v>377</v>
      </c>
      <c r="H165" s="64" t="s">
        <v>377</v>
      </c>
      <c r="I165" s="64" t="s">
        <v>377</v>
      </c>
      <c r="J165" s="64" t="s">
        <v>377</v>
      </c>
      <c r="K165" s="8"/>
    </row>
    <row r="166">
      <c r="A166" s="50">
        <v>0.0</v>
      </c>
      <c r="B166" s="50">
        <v>8000.0</v>
      </c>
      <c r="C166" s="50">
        <v>26000.0</v>
      </c>
      <c r="D166" s="50">
        <f>2000+114000</f>
        <v>116000</v>
      </c>
      <c r="E166" s="50">
        <f>18000+96000</f>
        <v>114000</v>
      </c>
      <c r="F166" s="50">
        <v>115000.0</v>
      </c>
      <c r="G166" s="50">
        <v>0.0</v>
      </c>
      <c r="H166" s="50">
        <v>2000.0</v>
      </c>
      <c r="I166" s="50">
        <v>6000.0</v>
      </c>
      <c r="J166" s="50">
        <f>30000+(4*57000)</f>
        <v>258000</v>
      </c>
      <c r="K166" s="8"/>
    </row>
    <row r="167">
      <c r="B167" s="31" t="s">
        <v>2079</v>
      </c>
      <c r="C167" s="31" t="s">
        <v>2051</v>
      </c>
      <c r="D167" s="31" t="s">
        <v>2080</v>
      </c>
      <c r="E167" s="31" t="s">
        <v>2081</v>
      </c>
      <c r="F167" s="31" t="s">
        <v>1570</v>
      </c>
      <c r="H167" s="31" t="s">
        <v>2082</v>
      </c>
      <c r="I167" s="31" t="s">
        <v>2083</v>
      </c>
      <c r="J167" s="31" t="s">
        <v>2084</v>
      </c>
      <c r="K167" s="8"/>
    </row>
    <row r="168">
      <c r="B168" s="31" t="s">
        <v>826</v>
      </c>
      <c r="C168" s="31" t="s">
        <v>1795</v>
      </c>
      <c r="D168" s="31" t="s">
        <v>826</v>
      </c>
      <c r="E168" s="31" t="s">
        <v>826</v>
      </c>
      <c r="F168" s="31" t="s">
        <v>1850</v>
      </c>
      <c r="H168" s="31" t="s">
        <v>826</v>
      </c>
      <c r="I168" s="31" t="s">
        <v>826</v>
      </c>
      <c r="J168" s="31" t="s">
        <v>826</v>
      </c>
      <c r="K168" s="8"/>
    </row>
    <row r="169">
      <c r="B169" s="31" t="s">
        <v>2073</v>
      </c>
      <c r="C169" s="31" t="s">
        <v>2062</v>
      </c>
      <c r="D169" s="76" t="s">
        <v>1853</v>
      </c>
      <c r="E169" s="76" t="s">
        <v>1617</v>
      </c>
      <c r="F169" s="31" t="s">
        <v>2053</v>
      </c>
      <c r="I169" s="31" t="s">
        <v>2085</v>
      </c>
      <c r="J169" s="76" t="s">
        <v>946</v>
      </c>
      <c r="K169" s="8"/>
    </row>
    <row r="170">
      <c r="B170" s="31" t="s">
        <v>826</v>
      </c>
      <c r="C170" s="31" t="s">
        <v>826</v>
      </c>
      <c r="E170" s="31" t="s">
        <v>2049</v>
      </c>
      <c r="F170" s="31" t="s">
        <v>1316</v>
      </c>
      <c r="I170" s="31" t="s">
        <v>826</v>
      </c>
      <c r="J170" s="31" t="s">
        <v>2086</v>
      </c>
      <c r="K170" s="8"/>
    </row>
    <row r="171">
      <c r="B171" s="31" t="s">
        <v>2075</v>
      </c>
      <c r="E171" s="31" t="s">
        <v>1606</v>
      </c>
      <c r="I171" s="31" t="s">
        <v>761</v>
      </c>
      <c r="J171" s="31" t="s">
        <v>826</v>
      </c>
      <c r="K171" s="8"/>
    </row>
    <row r="172">
      <c r="B172" s="31" t="s">
        <v>826</v>
      </c>
      <c r="E172" s="76" t="s">
        <v>1617</v>
      </c>
      <c r="I172" s="31" t="s">
        <v>826</v>
      </c>
      <c r="J172" s="76" t="s">
        <v>946</v>
      </c>
      <c r="K172" s="8"/>
    </row>
    <row r="173">
      <c r="B173" s="31" t="s">
        <v>2087</v>
      </c>
      <c r="E173" s="31" t="s">
        <v>2088</v>
      </c>
      <c r="J173" s="31" t="s">
        <v>2089</v>
      </c>
      <c r="K173" s="8"/>
    </row>
    <row r="174">
      <c r="B174" s="31" t="s">
        <v>826</v>
      </c>
      <c r="E174" s="31" t="s">
        <v>379</v>
      </c>
      <c r="J174" s="31" t="s">
        <v>826</v>
      </c>
      <c r="K174" s="8"/>
    </row>
    <row r="175">
      <c r="E175" s="76" t="s">
        <v>1617</v>
      </c>
      <c r="J175" s="76" t="s">
        <v>946</v>
      </c>
      <c r="K175" s="8"/>
    </row>
    <row r="176">
      <c r="J176" s="31" t="s">
        <v>2090</v>
      </c>
      <c r="K176" s="8"/>
    </row>
    <row r="177">
      <c r="J177" s="31" t="s">
        <v>1795</v>
      </c>
      <c r="K177" s="8"/>
    </row>
    <row r="178">
      <c r="J178" s="76" t="s">
        <v>946</v>
      </c>
      <c r="K178" s="8"/>
    </row>
    <row r="179">
      <c r="K179" s="8"/>
    </row>
    <row r="180">
      <c r="K180" s="8"/>
    </row>
    <row r="181">
      <c r="A181" s="48" t="s">
        <v>367</v>
      </c>
      <c r="K181" s="8"/>
    </row>
    <row r="182">
      <c r="A182" s="49">
        <f>A185</f>
        <v>315275</v>
      </c>
      <c r="K182" s="8"/>
    </row>
    <row r="183">
      <c r="A183" s="49">
        <v>2026.0</v>
      </c>
      <c r="K183" s="8"/>
    </row>
    <row r="184">
      <c r="A184" s="49" t="s">
        <v>368</v>
      </c>
      <c r="K184" s="8"/>
    </row>
    <row r="185">
      <c r="A185" s="49">
        <f>A188+B188+C188+D188+E188+F188+G188+H188</f>
        <v>315275</v>
      </c>
      <c r="K185" s="8"/>
    </row>
    <row r="186">
      <c r="A186" s="33" t="s">
        <v>369</v>
      </c>
      <c r="B186" s="33" t="s">
        <v>370</v>
      </c>
      <c r="C186" s="33" t="s">
        <v>371</v>
      </c>
      <c r="D186" s="33" t="s">
        <v>372</v>
      </c>
      <c r="E186" s="33" t="s">
        <v>373</v>
      </c>
      <c r="F186" s="33" t="s">
        <v>374</v>
      </c>
      <c r="G186" s="33" t="s">
        <v>375</v>
      </c>
      <c r="H186" s="33" t="s">
        <v>376</v>
      </c>
      <c r="I186" s="103"/>
      <c r="J186" s="103"/>
    </row>
    <row r="187">
      <c r="A187" s="33" t="s">
        <v>377</v>
      </c>
      <c r="B187" s="33" t="s">
        <v>377</v>
      </c>
      <c r="C187" s="33" t="s">
        <v>377</v>
      </c>
      <c r="D187" s="33" t="s">
        <v>377</v>
      </c>
      <c r="E187" s="33" t="s">
        <v>377</v>
      </c>
      <c r="F187" s="33" t="s">
        <v>377</v>
      </c>
      <c r="G187" s="33" t="s">
        <v>377</v>
      </c>
      <c r="H187" s="33" t="s">
        <v>377</v>
      </c>
      <c r="K187" s="8"/>
    </row>
    <row r="188">
      <c r="A188" s="50">
        <f>35000+59825</f>
        <v>94825</v>
      </c>
      <c r="B188" s="50">
        <f>102000+(33725*2)</f>
        <v>169450</v>
      </c>
      <c r="C188" s="50">
        <v>42000.0</v>
      </c>
      <c r="D188" s="50">
        <v>0.0</v>
      </c>
      <c r="E188" s="50">
        <v>9000.0</v>
      </c>
      <c r="F188" s="50">
        <v>0.0</v>
      </c>
      <c r="G188" s="50">
        <v>0.0</v>
      </c>
      <c r="H188" s="50">
        <v>0.0</v>
      </c>
      <c r="K188" s="8"/>
    </row>
    <row r="189">
      <c r="A189" s="31" t="s">
        <v>2091</v>
      </c>
      <c r="B189" s="31" t="s">
        <v>1570</v>
      </c>
      <c r="C189" s="31" t="s">
        <v>2042</v>
      </c>
      <c r="E189" s="31" t="s">
        <v>2083</v>
      </c>
      <c r="K189" s="8"/>
    </row>
    <row r="190">
      <c r="A190" s="31" t="s">
        <v>864</v>
      </c>
      <c r="B190" s="31" t="s">
        <v>1236</v>
      </c>
      <c r="C190" s="31" t="s">
        <v>826</v>
      </c>
      <c r="E190" s="31" t="s">
        <v>886</v>
      </c>
      <c r="K190" s="8"/>
    </row>
    <row r="191">
      <c r="A191" s="76" t="s">
        <v>954</v>
      </c>
      <c r="B191" s="76" t="s">
        <v>955</v>
      </c>
      <c r="C191" s="31" t="s">
        <v>2092</v>
      </c>
      <c r="K191" s="8"/>
    </row>
    <row r="192">
      <c r="B192" s="31" t="s">
        <v>2086</v>
      </c>
      <c r="C192" s="31" t="s">
        <v>891</v>
      </c>
      <c r="K192" s="8"/>
    </row>
    <row r="193">
      <c r="B193" s="31" t="s">
        <v>826</v>
      </c>
      <c r="K193" s="8"/>
    </row>
    <row r="194">
      <c r="B194" s="76" t="s">
        <v>955</v>
      </c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A199" s="75"/>
      <c r="B199" s="75"/>
      <c r="C199" s="75"/>
      <c r="D199" s="75"/>
      <c r="E199" s="75"/>
      <c r="F199" s="75"/>
      <c r="G199" s="75"/>
      <c r="H199" s="75"/>
      <c r="I199" s="105"/>
    </row>
    <row r="200">
      <c r="A200" s="75"/>
      <c r="B200" s="75"/>
      <c r="C200" s="75"/>
      <c r="D200" s="75"/>
      <c r="E200" s="75"/>
      <c r="F200" s="75"/>
      <c r="G200" s="75"/>
      <c r="H200" s="75"/>
      <c r="I200" s="105"/>
    </row>
    <row r="201">
      <c r="A201" s="75"/>
      <c r="B201" s="75"/>
      <c r="C201" s="75"/>
      <c r="D201" s="75"/>
      <c r="E201" s="75"/>
      <c r="F201" s="75"/>
      <c r="G201" s="75"/>
      <c r="H201" s="75"/>
      <c r="I201" s="105"/>
    </row>
    <row r="202">
      <c r="A202" s="75"/>
      <c r="B202" s="75"/>
      <c r="C202" s="75"/>
      <c r="D202" s="105"/>
      <c r="E202" s="75"/>
      <c r="F202" s="75"/>
      <c r="G202" s="75"/>
      <c r="H202" s="75"/>
      <c r="I202" s="105"/>
    </row>
    <row r="203">
      <c r="A203" s="75"/>
      <c r="B203" s="75"/>
      <c r="C203" s="75"/>
      <c r="D203" s="105"/>
      <c r="E203" s="105"/>
      <c r="F203" s="75"/>
      <c r="G203" s="75"/>
      <c r="H203" s="105"/>
      <c r="I203" s="105"/>
    </row>
    <row r="204">
      <c r="A204" s="105"/>
      <c r="B204" s="105"/>
      <c r="C204" s="75"/>
      <c r="D204" s="105"/>
      <c r="E204" s="105"/>
      <c r="F204" s="75"/>
      <c r="G204" s="75"/>
      <c r="H204" s="105"/>
      <c r="I204" s="105"/>
    </row>
    <row r="205">
      <c r="A205" s="105"/>
      <c r="B205" s="105"/>
      <c r="C205" s="75"/>
      <c r="D205" s="105"/>
      <c r="E205" s="105"/>
      <c r="F205" s="105"/>
      <c r="H205" s="105"/>
      <c r="I205" s="105"/>
    </row>
    <row r="206">
      <c r="A206" s="105"/>
      <c r="B206" s="105"/>
      <c r="C206" s="75"/>
      <c r="D206" s="105"/>
      <c r="E206" s="105"/>
      <c r="F206" s="105"/>
      <c r="G206" s="75"/>
      <c r="H206" s="105"/>
      <c r="I206" s="105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  <row r="999">
      <c r="K999" s="8"/>
    </row>
    <row r="1000">
      <c r="K1000" s="8"/>
    </row>
    <row r="1001">
      <c r="K1001" s="8"/>
    </row>
    <row r="1002">
      <c r="K1002" s="8"/>
    </row>
    <row r="1003">
      <c r="K1003" s="8"/>
    </row>
    <row r="1004">
      <c r="K1004" s="8"/>
    </row>
    <row r="1005">
      <c r="K1005" s="8"/>
    </row>
    <row r="1006">
      <c r="K1006" s="8"/>
    </row>
    <row r="1007">
      <c r="K1007" s="8"/>
    </row>
    <row r="1008">
      <c r="K1008" s="8"/>
    </row>
    <row r="1009">
      <c r="K1009" s="8"/>
    </row>
    <row r="1010">
      <c r="K1010" s="8"/>
    </row>
    <row r="1011">
      <c r="K1011" s="8"/>
    </row>
    <row r="1012">
      <c r="K1012" s="8"/>
    </row>
    <row r="1013">
      <c r="K1013" s="8"/>
    </row>
    <row r="1014">
      <c r="K1014" s="8"/>
    </row>
    <row r="1015">
      <c r="K1015" s="8"/>
    </row>
    <row r="1016">
      <c r="K1016" s="8"/>
    </row>
    <row r="1017">
      <c r="K1017" s="8"/>
    </row>
    <row r="1018">
      <c r="K1018" s="8"/>
    </row>
    <row r="1019">
      <c r="K1019" s="8"/>
    </row>
    <row r="1020">
      <c r="K1020" s="8"/>
    </row>
  </sheetData>
  <mergeCells count="94">
    <mergeCell ref="A50:E50"/>
    <mergeCell ref="A51:E51"/>
    <mergeCell ref="A52:E52"/>
    <mergeCell ref="A53:E53"/>
    <mergeCell ref="A55:E55"/>
    <mergeCell ref="A56:F56"/>
    <mergeCell ref="A57:F57"/>
    <mergeCell ref="A58:F58"/>
    <mergeCell ref="A60:F60"/>
    <mergeCell ref="A61:H61"/>
    <mergeCell ref="A62:H62"/>
    <mergeCell ref="A63:H63"/>
    <mergeCell ref="A64:H64"/>
    <mergeCell ref="A65:H65"/>
    <mergeCell ref="A77:H77"/>
    <mergeCell ref="A78:H78"/>
    <mergeCell ref="A79:H79"/>
    <mergeCell ref="A80:H80"/>
    <mergeCell ref="A81:H81"/>
    <mergeCell ref="A93:J93"/>
    <mergeCell ref="A94:J94"/>
    <mergeCell ref="A95:J95"/>
    <mergeCell ref="A96:J96"/>
    <mergeCell ref="A97:J97"/>
    <mergeCell ref="A109:J109"/>
    <mergeCell ref="A110:J110"/>
    <mergeCell ref="A111:J111"/>
    <mergeCell ref="A112:J112"/>
    <mergeCell ref="A113:J113"/>
    <mergeCell ref="A114:J114"/>
    <mergeCell ref="A135:H135"/>
    <mergeCell ref="A136:H136"/>
    <mergeCell ref="A137:H137"/>
    <mergeCell ref="A138:H138"/>
    <mergeCell ref="A139:H139"/>
    <mergeCell ref="A183:H183"/>
    <mergeCell ref="A184:H184"/>
    <mergeCell ref="A185:H185"/>
    <mergeCell ref="A159:J159"/>
    <mergeCell ref="A160:J160"/>
    <mergeCell ref="A161:J161"/>
    <mergeCell ref="A162:J162"/>
    <mergeCell ref="A163:J163"/>
    <mergeCell ref="A181:H181"/>
    <mergeCell ref="A182:H182"/>
    <mergeCell ref="A1:R1"/>
    <mergeCell ref="A2:R2"/>
    <mergeCell ref="A3:R3"/>
    <mergeCell ref="A4:R4"/>
    <mergeCell ref="J5:L5"/>
    <mergeCell ref="M5:O5"/>
    <mergeCell ref="P5:R5"/>
    <mergeCell ref="F5:H5"/>
    <mergeCell ref="F6:H6"/>
    <mergeCell ref="J6:L6"/>
    <mergeCell ref="M6:O6"/>
    <mergeCell ref="P6:R6"/>
    <mergeCell ref="M7:O7"/>
    <mergeCell ref="P7:R7"/>
    <mergeCell ref="J7:L7"/>
    <mergeCell ref="J8:L8"/>
    <mergeCell ref="M8:O8"/>
    <mergeCell ref="P8:R8"/>
    <mergeCell ref="M10:N10"/>
    <mergeCell ref="P10:P12"/>
    <mergeCell ref="R10:R12"/>
    <mergeCell ref="M11:N11"/>
    <mergeCell ref="P17:P18"/>
    <mergeCell ref="P19:P21"/>
    <mergeCell ref="R19:R21"/>
    <mergeCell ref="P24:P26"/>
    <mergeCell ref="R24:R26"/>
    <mergeCell ref="P28:Q28"/>
    <mergeCell ref="J11:J15"/>
    <mergeCell ref="L11:L15"/>
    <mergeCell ref="P13:P16"/>
    <mergeCell ref="R13:R16"/>
    <mergeCell ref="L16:L19"/>
    <mergeCell ref="R17:R18"/>
    <mergeCell ref="F20:H20"/>
    <mergeCell ref="J16:J19"/>
    <mergeCell ref="J20:J21"/>
    <mergeCell ref="L20:L21"/>
    <mergeCell ref="F22:F24"/>
    <mergeCell ref="H22:H24"/>
    <mergeCell ref="J22:K22"/>
    <mergeCell ref="H25:H27"/>
    <mergeCell ref="F25:F27"/>
    <mergeCell ref="F28:F30"/>
    <mergeCell ref="H28:H30"/>
    <mergeCell ref="F31:F33"/>
    <mergeCell ref="H31:H33"/>
    <mergeCell ref="F34:F36"/>
    <mergeCell ref="H34:H3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9.75"/>
    <col customWidth="1" min="3" max="3" width="26.38"/>
    <col customWidth="1" min="4" max="4" width="33.13"/>
    <col customWidth="1" min="5" max="5" width="35.25"/>
    <col customWidth="1" min="6" max="6" width="33.88"/>
  </cols>
  <sheetData>
    <row r="1">
      <c r="A1" s="217" t="s">
        <v>2093</v>
      </c>
    </row>
    <row r="2">
      <c r="A2" s="217" t="s">
        <v>2094</v>
      </c>
    </row>
    <row r="3">
      <c r="A3" s="218" t="s">
        <v>338</v>
      </c>
    </row>
    <row r="4">
      <c r="A4" s="219">
        <f>100000+B6+C6+D6+F6+F11+G6</f>
        <v>81500</v>
      </c>
    </row>
    <row r="5">
      <c r="A5" s="33" t="s">
        <v>339</v>
      </c>
      <c r="B5" s="33" t="s">
        <v>340</v>
      </c>
      <c r="C5" s="33" t="s">
        <v>341</v>
      </c>
      <c r="D5" s="33" t="s">
        <v>384</v>
      </c>
      <c r="E5" s="33" t="s">
        <v>344</v>
      </c>
      <c r="F5" s="25" t="s">
        <v>386</v>
      </c>
      <c r="G5" s="160" t="s">
        <v>422</v>
      </c>
    </row>
    <row r="6">
      <c r="A6" s="31" t="s">
        <v>1846</v>
      </c>
      <c r="B6" s="220">
        <v>-5000.0</v>
      </c>
      <c r="C6" s="220">
        <v>-30000.0</v>
      </c>
      <c r="D6" s="221">
        <v>9000.0</v>
      </c>
      <c r="E6" s="31" t="s">
        <v>2095</v>
      </c>
      <c r="F6" s="222">
        <v>1000.0</v>
      </c>
      <c r="G6" s="222">
        <f>J10</f>
        <v>7000</v>
      </c>
    </row>
    <row r="7">
      <c r="A7" s="31" t="s">
        <v>2096</v>
      </c>
      <c r="B7" s="31" t="s">
        <v>2097</v>
      </c>
      <c r="C7" s="55" t="s">
        <v>349</v>
      </c>
      <c r="D7" s="31" t="s">
        <v>2098</v>
      </c>
      <c r="E7" s="31" t="s">
        <v>2099</v>
      </c>
      <c r="F7" s="31" t="s">
        <v>2100</v>
      </c>
      <c r="G7" s="223" t="s">
        <v>436</v>
      </c>
      <c r="H7" s="223" t="s">
        <v>437</v>
      </c>
      <c r="I7" s="223" t="s">
        <v>438</v>
      </c>
      <c r="J7" s="223" t="s">
        <v>0</v>
      </c>
      <c r="K7" s="223" t="s">
        <v>439</v>
      </c>
    </row>
    <row r="8">
      <c r="A8" s="31" t="s">
        <v>2101</v>
      </c>
      <c r="B8" s="31" t="s">
        <v>2102</v>
      </c>
      <c r="C8" s="4" t="s">
        <v>2103</v>
      </c>
      <c r="D8" s="31" t="s">
        <v>2104</v>
      </c>
      <c r="E8" s="31" t="s">
        <v>2105</v>
      </c>
      <c r="G8" s="71" t="s">
        <v>1952</v>
      </c>
      <c r="H8" s="26" t="s">
        <v>523</v>
      </c>
      <c r="I8" s="26">
        <v>2.0</v>
      </c>
      <c r="J8" s="9">
        <f>I8*2000</f>
        <v>4000</v>
      </c>
      <c r="K8" s="9">
        <f t="shared" ref="K8:K9" si="1">I8*40</f>
        <v>80</v>
      </c>
    </row>
    <row r="9">
      <c r="A9" s="31" t="s">
        <v>2106</v>
      </c>
      <c r="B9" s="31" t="s">
        <v>2107</v>
      </c>
      <c r="C9" s="55" t="s">
        <v>48</v>
      </c>
      <c r="D9" s="31" t="s">
        <v>2108</v>
      </c>
      <c r="E9" s="31" t="s">
        <v>2109</v>
      </c>
      <c r="H9" s="26" t="s">
        <v>500</v>
      </c>
      <c r="I9" s="26">
        <v>1.0</v>
      </c>
      <c r="J9" s="9">
        <f>I9*3000</f>
        <v>3000</v>
      </c>
      <c r="K9" s="9">
        <f t="shared" si="1"/>
        <v>40</v>
      </c>
    </row>
    <row r="10">
      <c r="A10" s="31" t="s">
        <v>2110</v>
      </c>
      <c r="B10" s="31" t="s">
        <v>2111</v>
      </c>
      <c r="C10" s="4" t="s">
        <v>60</v>
      </c>
      <c r="D10" s="31" t="s">
        <v>2112</v>
      </c>
      <c r="E10" s="31" t="s">
        <v>2113</v>
      </c>
      <c r="F10" s="33" t="s">
        <v>400</v>
      </c>
      <c r="H10" s="218" t="s">
        <v>470</v>
      </c>
      <c r="J10" s="224">
        <f t="shared" ref="J10:K10" si="2">J8+J9</f>
        <v>7000</v>
      </c>
      <c r="K10" s="224">
        <f t="shared" si="2"/>
        <v>120</v>
      </c>
    </row>
    <row r="11">
      <c r="A11" s="31" t="s">
        <v>2114</v>
      </c>
      <c r="B11" s="31" t="s">
        <v>2115</v>
      </c>
      <c r="C11" s="55" t="s">
        <v>69</v>
      </c>
      <c r="D11" s="31" t="s">
        <v>2116</v>
      </c>
      <c r="F11" s="222">
        <v>-500.0</v>
      </c>
    </row>
    <row r="12">
      <c r="A12" s="31" t="s">
        <v>2117</v>
      </c>
      <c r="C12" s="4" t="s">
        <v>60</v>
      </c>
      <c r="D12" s="31" t="s">
        <v>2118</v>
      </c>
      <c r="F12" s="31" t="s">
        <v>2119</v>
      </c>
    </row>
    <row r="13">
      <c r="A13" s="31" t="s">
        <v>2120</v>
      </c>
      <c r="D13" s="31" t="s">
        <v>2121</v>
      </c>
    </row>
    <row r="14">
      <c r="A14" s="31" t="s">
        <v>2122</v>
      </c>
      <c r="D14" s="31" t="s">
        <v>2123</v>
      </c>
    </row>
    <row r="15">
      <c r="A15" s="31" t="s">
        <v>2124</v>
      </c>
    </row>
    <row r="16">
      <c r="A16" s="31" t="s">
        <v>2125</v>
      </c>
    </row>
    <row r="17">
      <c r="A17" s="31" t="s">
        <v>2126</v>
      </c>
    </row>
    <row r="18">
      <c r="A18" s="31" t="s">
        <v>2127</v>
      </c>
    </row>
    <row r="19">
      <c r="A19" s="31" t="s">
        <v>2128</v>
      </c>
    </row>
    <row r="20">
      <c r="A20" s="31" t="s">
        <v>2129</v>
      </c>
    </row>
    <row r="21">
      <c r="A21" s="31" t="s">
        <v>2130</v>
      </c>
    </row>
    <row r="22">
      <c r="A22" s="31" t="s">
        <v>2131</v>
      </c>
    </row>
    <row r="23">
      <c r="A23" s="31" t="s">
        <v>2132</v>
      </c>
    </row>
    <row r="24">
      <c r="A24" s="31" t="s">
        <v>2133</v>
      </c>
    </row>
    <row r="25">
      <c r="A25" s="31" t="s">
        <v>2134</v>
      </c>
    </row>
    <row r="26">
      <c r="A26" s="31" t="s">
        <v>2135</v>
      </c>
    </row>
    <row r="27">
      <c r="A27" s="31" t="s">
        <v>2136</v>
      </c>
    </row>
    <row r="28">
      <c r="A28" s="31" t="s">
        <v>2137</v>
      </c>
    </row>
    <row r="29">
      <c r="A29" s="31" t="s">
        <v>2138</v>
      </c>
    </row>
    <row r="30">
      <c r="A30" s="31" t="s">
        <v>2139</v>
      </c>
    </row>
    <row r="31">
      <c r="A31" s="31" t="s">
        <v>2140</v>
      </c>
    </row>
    <row r="32">
      <c r="A32" s="31" t="s">
        <v>2141</v>
      </c>
    </row>
    <row r="33">
      <c r="A33" s="31" t="s">
        <v>2142</v>
      </c>
    </row>
    <row r="34">
      <c r="A34" s="31" t="s">
        <v>2143</v>
      </c>
    </row>
    <row r="35">
      <c r="A35" s="31" t="s">
        <v>2144</v>
      </c>
    </row>
  </sheetData>
  <mergeCells count="8">
    <mergeCell ref="A1:L1"/>
    <mergeCell ref="A2:L2"/>
    <mergeCell ref="A3:L3"/>
    <mergeCell ref="A4:L4"/>
    <mergeCell ref="G5:K5"/>
    <mergeCell ref="G6:K6"/>
    <mergeCell ref="G8:G10"/>
    <mergeCell ref="H10:I1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2.0"/>
    <col customWidth="1" min="4" max="4" width="35.63"/>
    <col customWidth="1" min="5" max="5" width="34.25"/>
  </cols>
  <sheetData>
    <row r="1">
      <c r="A1" s="225" t="s">
        <v>2145</v>
      </c>
    </row>
    <row r="2">
      <c r="A2" s="225" t="s">
        <v>2146</v>
      </c>
    </row>
    <row r="3">
      <c r="A3" s="155" t="s">
        <v>338</v>
      </c>
    </row>
    <row r="4">
      <c r="A4" s="226">
        <f>100000+B6+D6</f>
        <v>127000</v>
      </c>
    </row>
    <row r="5">
      <c r="A5" s="33" t="s">
        <v>339</v>
      </c>
      <c r="B5" s="33" t="s">
        <v>340</v>
      </c>
      <c r="C5" s="33" t="s">
        <v>341</v>
      </c>
      <c r="D5" s="33" t="s">
        <v>384</v>
      </c>
      <c r="E5" s="33" t="s">
        <v>344</v>
      </c>
    </row>
    <row r="6">
      <c r="A6" s="31" t="s">
        <v>2147</v>
      </c>
      <c r="B6" s="227">
        <v>20000.0</v>
      </c>
      <c r="D6" s="228">
        <v>7000.0</v>
      </c>
      <c r="E6" s="31" t="s">
        <v>2148</v>
      </c>
    </row>
    <row r="7">
      <c r="A7" s="31" t="s">
        <v>2149</v>
      </c>
      <c r="B7" s="31" t="s">
        <v>2150</v>
      </c>
      <c r="D7" s="31" t="s">
        <v>2151</v>
      </c>
      <c r="E7" s="31" t="s">
        <v>2152</v>
      </c>
    </row>
    <row r="8">
      <c r="A8" s="31" t="s">
        <v>2153</v>
      </c>
      <c r="B8" s="31" t="s">
        <v>2154</v>
      </c>
      <c r="D8" s="31" t="s">
        <v>2155</v>
      </c>
    </row>
    <row r="9">
      <c r="A9" s="31" t="s">
        <v>2156</v>
      </c>
      <c r="D9" s="31" t="s">
        <v>2157</v>
      </c>
    </row>
    <row r="10">
      <c r="A10" s="31" t="s">
        <v>2158</v>
      </c>
      <c r="D10" s="31" t="s">
        <v>2159</v>
      </c>
    </row>
    <row r="11">
      <c r="A11" s="31" t="s">
        <v>2160</v>
      </c>
    </row>
    <row r="12">
      <c r="A12" s="31" t="s">
        <v>2161</v>
      </c>
    </row>
    <row r="13">
      <c r="A13" s="31" t="s">
        <v>2162</v>
      </c>
    </row>
    <row r="14">
      <c r="A14" s="31" t="s">
        <v>2163</v>
      </c>
    </row>
    <row r="15">
      <c r="A15" s="31" t="s">
        <v>2164</v>
      </c>
    </row>
    <row r="16">
      <c r="A16" s="31" t="s">
        <v>2165</v>
      </c>
    </row>
    <row r="17">
      <c r="A17" s="31" t="s">
        <v>2166</v>
      </c>
    </row>
    <row r="18">
      <c r="A18" s="31" t="s">
        <v>2167</v>
      </c>
    </row>
  </sheetData>
  <mergeCells count="4">
    <mergeCell ref="A1:L1"/>
    <mergeCell ref="A2:L2"/>
    <mergeCell ref="A3:L3"/>
    <mergeCell ref="A4:L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5.38"/>
    <col customWidth="1" min="3" max="3" width="26.0"/>
    <col customWidth="1" min="4" max="4" width="33.88"/>
    <col customWidth="1" min="5" max="5" width="34.88"/>
    <col customWidth="1" min="6" max="6" width="15.25"/>
  </cols>
  <sheetData>
    <row r="1">
      <c r="A1" s="142" t="s">
        <v>2168</v>
      </c>
    </row>
    <row r="2">
      <c r="A2" s="142" t="s">
        <v>2169</v>
      </c>
    </row>
    <row r="3">
      <c r="A3" s="229" t="s">
        <v>2170</v>
      </c>
    </row>
    <row r="4">
      <c r="A4" s="141" t="s">
        <v>338</v>
      </c>
    </row>
    <row r="5">
      <c r="A5" s="230">
        <f>100000+B7+B18+C7+D7+F7</f>
        <v>164000</v>
      </c>
    </row>
    <row r="6">
      <c r="A6" s="33" t="s">
        <v>339</v>
      </c>
      <c r="B6" s="33" t="s">
        <v>2171</v>
      </c>
      <c r="C6" s="33" t="s">
        <v>341</v>
      </c>
      <c r="D6" s="33" t="s">
        <v>384</v>
      </c>
      <c r="E6" s="33" t="s">
        <v>385</v>
      </c>
      <c r="F6" s="144" t="s">
        <v>422</v>
      </c>
    </row>
    <row r="7">
      <c r="A7" s="31" t="s">
        <v>2172</v>
      </c>
      <c r="B7" s="231">
        <f>35000-15000</f>
        <v>20000</v>
      </c>
      <c r="C7" s="232">
        <v>-60000.0</v>
      </c>
      <c r="D7" s="232">
        <v>3000.0</v>
      </c>
      <c r="E7" s="31" t="s">
        <v>2173</v>
      </c>
      <c r="F7" s="232">
        <f>I10+I12</f>
        <v>1000</v>
      </c>
    </row>
    <row r="8">
      <c r="A8" s="31" t="s">
        <v>2174</v>
      </c>
      <c r="B8" s="31" t="s">
        <v>2175</v>
      </c>
      <c r="C8" s="55" t="s">
        <v>349</v>
      </c>
      <c r="D8" s="31" t="s">
        <v>2176</v>
      </c>
      <c r="E8" s="31" t="s">
        <v>2177</v>
      </c>
      <c r="F8" s="149" t="s">
        <v>436</v>
      </c>
      <c r="G8" s="149" t="s">
        <v>437</v>
      </c>
      <c r="H8" s="149" t="s">
        <v>438</v>
      </c>
      <c r="I8" s="149" t="s">
        <v>0</v>
      </c>
      <c r="J8" s="149" t="s">
        <v>439</v>
      </c>
    </row>
    <row r="9">
      <c r="A9" s="31" t="s">
        <v>2178</v>
      </c>
      <c r="B9" s="31" t="s">
        <v>2179</v>
      </c>
      <c r="C9" s="4" t="s">
        <v>2180</v>
      </c>
      <c r="D9" s="31" t="s">
        <v>2181</v>
      </c>
      <c r="F9" s="151" t="s">
        <v>2182</v>
      </c>
      <c r="G9" s="152" t="s">
        <v>447</v>
      </c>
      <c r="H9" s="152">
        <v>1.0</v>
      </c>
      <c r="I9" s="152">
        <f>H9*1000</f>
        <v>1000</v>
      </c>
      <c r="J9" s="153">
        <f>H9*20</f>
        <v>20</v>
      </c>
    </row>
    <row r="10">
      <c r="A10" s="31" t="s">
        <v>2183</v>
      </c>
      <c r="B10" s="31" t="s">
        <v>2184</v>
      </c>
      <c r="C10" s="4" t="s">
        <v>2185</v>
      </c>
      <c r="D10" s="31" t="s">
        <v>2186</v>
      </c>
      <c r="G10" s="155" t="s">
        <v>470</v>
      </c>
      <c r="I10" s="156">
        <f t="shared" ref="I10:J10" si="1">I9</f>
        <v>1000</v>
      </c>
      <c r="J10" s="156">
        <f t="shared" si="1"/>
        <v>20</v>
      </c>
    </row>
    <row r="11">
      <c r="A11" s="31" t="s">
        <v>2187</v>
      </c>
      <c r="B11" s="31" t="s">
        <v>2188</v>
      </c>
      <c r="C11" s="8"/>
      <c r="D11" s="31" t="s">
        <v>2189</v>
      </c>
    </row>
    <row r="12">
      <c r="A12" s="31" t="s">
        <v>2190</v>
      </c>
    </row>
    <row r="13">
      <c r="A13" s="31" t="s">
        <v>2191</v>
      </c>
    </row>
    <row r="14">
      <c r="A14" s="31" t="s">
        <v>2192</v>
      </c>
    </row>
    <row r="15">
      <c r="A15" s="31" t="s">
        <v>2193</v>
      </c>
    </row>
    <row r="16">
      <c r="A16" s="31" t="s">
        <v>2194</v>
      </c>
    </row>
    <row r="17">
      <c r="A17" s="31" t="s">
        <v>2195</v>
      </c>
      <c r="B17" s="33" t="s">
        <v>102</v>
      </c>
    </row>
    <row r="18">
      <c r="A18" s="31" t="s">
        <v>2196</v>
      </c>
      <c r="B18" s="233">
        <v>100000.0</v>
      </c>
    </row>
    <row r="19">
      <c r="A19" s="31" t="s">
        <v>2197</v>
      </c>
      <c r="B19" s="31" t="s">
        <v>2198</v>
      </c>
    </row>
    <row r="20">
      <c r="A20" s="31" t="s">
        <v>2199</v>
      </c>
    </row>
    <row r="21">
      <c r="A21" s="31" t="s">
        <v>2200</v>
      </c>
    </row>
    <row r="22">
      <c r="A22" s="31" t="s">
        <v>2201</v>
      </c>
    </row>
    <row r="23">
      <c r="A23" s="31" t="s">
        <v>2202</v>
      </c>
    </row>
  </sheetData>
  <mergeCells count="9">
    <mergeCell ref="F9:F10"/>
    <mergeCell ref="G10:H10"/>
    <mergeCell ref="A1:L1"/>
    <mergeCell ref="A2:L2"/>
    <mergeCell ref="A3:L3"/>
    <mergeCell ref="A4:L4"/>
    <mergeCell ref="A5:L5"/>
    <mergeCell ref="F6:J6"/>
    <mergeCell ref="F7:J7"/>
  </mergeCells>
  <hyperlinks>
    <hyperlink r:id="rId1" ref="A3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4.38"/>
    <col customWidth="1" min="3" max="3" width="32.75"/>
    <col customWidth="1" min="4" max="4" width="40.13"/>
    <col customWidth="1" min="5" max="5" width="35.38"/>
    <col customWidth="1" min="6" max="6" width="39.13"/>
    <col customWidth="1" min="7" max="7" width="37.25"/>
    <col customWidth="1" min="8" max="8" width="29.25"/>
    <col customWidth="1" min="9" max="9" width="28.63"/>
    <col customWidth="1" min="10" max="10" width="30.75"/>
    <col customWidth="1" min="11" max="11" width="20.0"/>
    <col customWidth="1" min="12" max="12" width="25.5"/>
    <col customWidth="1" min="14" max="14" width="15.25"/>
    <col customWidth="1" min="15" max="15" width="28.75"/>
    <col customWidth="1" min="17" max="17" width="14.5"/>
    <col customWidth="1" min="18" max="18" width="16.75"/>
    <col customWidth="1" min="22" max="22" width="33.5"/>
    <col customWidth="1" min="23" max="23" width="34.5"/>
    <col customWidth="1" min="24" max="24" width="23.38"/>
  </cols>
  <sheetData>
    <row r="1">
      <c r="A1" s="38" t="s">
        <v>2203</v>
      </c>
    </row>
    <row r="2">
      <c r="A2" s="38" t="s">
        <v>2204</v>
      </c>
    </row>
    <row r="3">
      <c r="A3" s="39" t="s">
        <v>413</v>
      </c>
    </row>
    <row r="4">
      <c r="A4" s="234">
        <f>100000+B6+C6+D6+E6+G6+H6+A41+K6+Q6+N6</f>
        <v>1087315</v>
      </c>
    </row>
    <row r="5">
      <c r="A5" s="33" t="s">
        <v>339</v>
      </c>
      <c r="B5" s="33" t="s">
        <v>414</v>
      </c>
      <c r="C5" s="33" t="s">
        <v>2171</v>
      </c>
      <c r="D5" s="33" t="s">
        <v>384</v>
      </c>
      <c r="E5" s="33" t="s">
        <v>359</v>
      </c>
      <c r="F5" s="33" t="s">
        <v>385</v>
      </c>
      <c r="G5" s="33" t="s">
        <v>2205</v>
      </c>
      <c r="H5" s="33" t="s">
        <v>419</v>
      </c>
      <c r="K5" s="57" t="s">
        <v>2206</v>
      </c>
      <c r="N5" s="57" t="s">
        <v>421</v>
      </c>
      <c r="Q5" s="235" t="s">
        <v>422</v>
      </c>
      <c r="V5" s="33"/>
    </row>
    <row r="6">
      <c r="A6" s="31" t="s">
        <v>2207</v>
      </c>
      <c r="B6" s="234">
        <v>-150000.0</v>
      </c>
      <c r="C6" s="234">
        <v>36000.0</v>
      </c>
      <c r="D6" s="234">
        <v>-47500.0</v>
      </c>
      <c r="E6" s="234">
        <v>-500.0</v>
      </c>
      <c r="F6" s="31" t="s">
        <v>2208</v>
      </c>
      <c r="G6" s="234">
        <v>-20000.0</v>
      </c>
      <c r="H6" s="234">
        <f>H8+I8+J8</f>
        <v>9000</v>
      </c>
      <c r="K6" s="236">
        <f>K8</f>
        <v>39200</v>
      </c>
      <c r="N6" s="236">
        <f>N8</f>
        <v>432000</v>
      </c>
      <c r="Q6" s="237">
        <f>T19+T22+T25+T27</f>
        <v>149250</v>
      </c>
      <c r="V6" s="238"/>
    </row>
    <row r="7">
      <c r="A7" s="31" t="s">
        <v>2209</v>
      </c>
      <c r="B7" s="55" t="s">
        <v>349</v>
      </c>
      <c r="C7" s="31" t="s">
        <v>2210</v>
      </c>
      <c r="D7" s="31" t="s">
        <v>2211</v>
      </c>
      <c r="E7" s="31" t="s">
        <v>2212</v>
      </c>
      <c r="F7" s="31" t="s">
        <v>2213</v>
      </c>
      <c r="G7" s="31" t="s">
        <v>431</v>
      </c>
      <c r="H7" s="212" t="s">
        <v>432</v>
      </c>
      <c r="I7" s="212" t="s">
        <v>433</v>
      </c>
      <c r="J7" s="212" t="s">
        <v>434</v>
      </c>
      <c r="K7" s="150" t="s">
        <v>435</v>
      </c>
      <c r="N7" s="150" t="s">
        <v>435</v>
      </c>
      <c r="Q7" s="239" t="s">
        <v>436</v>
      </c>
      <c r="R7" s="239" t="s">
        <v>437</v>
      </c>
      <c r="S7" s="239" t="s">
        <v>438</v>
      </c>
      <c r="T7" s="239" t="s">
        <v>0</v>
      </c>
      <c r="U7" s="239" t="s">
        <v>439</v>
      </c>
    </row>
    <row r="8">
      <c r="A8" s="31" t="s">
        <v>2214</v>
      </c>
      <c r="B8" s="4" t="s">
        <v>25</v>
      </c>
      <c r="C8" s="31" t="s">
        <v>2215</v>
      </c>
      <c r="D8" s="31" t="s">
        <v>2216</v>
      </c>
      <c r="F8" s="31" t="s">
        <v>2217</v>
      </c>
      <c r="G8" s="31" t="s">
        <v>2218</v>
      </c>
      <c r="H8" s="1">
        <f>J23+J26+J29+J32+J35+J38+J41+J44+J47+J50+J53</f>
        <v>14000</v>
      </c>
      <c r="I8" s="1">
        <v>0.0</v>
      </c>
      <c r="J8" s="1">
        <v>-5000.0</v>
      </c>
      <c r="K8" s="240">
        <f>0+M10+M11+M14+M16+M17</f>
        <v>39200</v>
      </c>
      <c r="N8" s="240">
        <f>P10+P12+P14+P15+P17+P20</f>
        <v>432000</v>
      </c>
      <c r="Q8" s="241" t="s">
        <v>2219</v>
      </c>
      <c r="R8" s="242" t="s">
        <v>447</v>
      </c>
      <c r="S8" s="242">
        <v>32.5</v>
      </c>
      <c r="T8" s="242">
        <f>S8*1000</f>
        <v>32500</v>
      </c>
      <c r="U8" s="243">
        <f>S8*20</f>
        <v>650</v>
      </c>
    </row>
    <row r="9">
      <c r="A9" s="31" t="s">
        <v>2220</v>
      </c>
      <c r="B9" s="4" t="s">
        <v>41</v>
      </c>
      <c r="C9" s="31" t="s">
        <v>2221</v>
      </c>
      <c r="D9" s="31" t="s">
        <v>2222</v>
      </c>
      <c r="F9" s="31" t="s">
        <v>2223</v>
      </c>
      <c r="H9" s="25"/>
      <c r="I9" s="31" t="s">
        <v>2224</v>
      </c>
      <c r="J9" s="212" t="s">
        <v>455</v>
      </c>
      <c r="K9" s="244" t="s">
        <v>456</v>
      </c>
      <c r="L9" s="244" t="s">
        <v>457</v>
      </c>
      <c r="M9" s="244" t="s">
        <v>0</v>
      </c>
      <c r="N9" s="244" t="s">
        <v>456</v>
      </c>
      <c r="O9" s="244" t="s">
        <v>457</v>
      </c>
      <c r="P9" s="244" t="s">
        <v>0</v>
      </c>
      <c r="R9" s="242" t="s">
        <v>523</v>
      </c>
      <c r="S9" s="242">
        <v>2.5</v>
      </c>
      <c r="T9" s="243">
        <f>S9*2000</f>
        <v>5000</v>
      </c>
      <c r="U9" s="243">
        <f t="shared" ref="U9:U10" si="1">S9*40</f>
        <v>100</v>
      </c>
    </row>
    <row r="10">
      <c r="A10" s="31" t="s">
        <v>2225</v>
      </c>
      <c r="B10" s="4" t="s">
        <v>55</v>
      </c>
      <c r="C10" s="31" t="s">
        <v>2226</v>
      </c>
      <c r="D10" s="31" t="s">
        <v>2227</v>
      </c>
      <c r="F10" s="31" t="s">
        <v>2228</v>
      </c>
      <c r="I10" s="31" t="s">
        <v>2229</v>
      </c>
      <c r="J10" s="31" t="s">
        <v>2230</v>
      </c>
      <c r="K10" s="71" t="s">
        <v>2231</v>
      </c>
      <c r="L10" s="71" t="s">
        <v>1990</v>
      </c>
      <c r="M10" s="71">
        <v>2000.0</v>
      </c>
      <c r="N10" s="71" t="s">
        <v>2232</v>
      </c>
      <c r="O10" s="71" t="s">
        <v>469</v>
      </c>
      <c r="P10" s="71">
        <v>6000.0</v>
      </c>
      <c r="R10" s="242" t="s">
        <v>500</v>
      </c>
      <c r="S10" s="242">
        <v>11.5</v>
      </c>
      <c r="T10" s="243">
        <f>S10*3000</f>
        <v>34500</v>
      </c>
      <c r="U10" s="243">
        <f t="shared" si="1"/>
        <v>460</v>
      </c>
    </row>
    <row r="11">
      <c r="A11" s="31" t="s">
        <v>2233</v>
      </c>
      <c r="B11" s="245" t="s">
        <v>65</v>
      </c>
      <c r="C11" s="31" t="s">
        <v>2234</v>
      </c>
      <c r="D11" s="31" t="s">
        <v>2235</v>
      </c>
      <c r="F11" s="31" t="s">
        <v>2236</v>
      </c>
      <c r="I11" s="31" t="s">
        <v>2237</v>
      </c>
      <c r="J11" s="31" t="s">
        <v>2238</v>
      </c>
      <c r="K11" s="71" t="s">
        <v>2239</v>
      </c>
      <c r="L11" s="4" t="s">
        <v>1040</v>
      </c>
      <c r="M11" s="71">
        <f>3000+5400</f>
        <v>8400</v>
      </c>
      <c r="O11" s="71" t="s">
        <v>572</v>
      </c>
      <c r="R11" s="242" t="s">
        <v>590</v>
      </c>
      <c r="S11" s="242">
        <v>1.0</v>
      </c>
      <c r="T11" s="243">
        <f>S11*5000</f>
        <v>5000</v>
      </c>
      <c r="U11" s="243">
        <f>S11*100</f>
        <v>100</v>
      </c>
    </row>
    <row r="12">
      <c r="A12" s="31" t="s">
        <v>2240</v>
      </c>
      <c r="B12" s="4" t="s">
        <v>74</v>
      </c>
      <c r="C12" s="31" t="s">
        <v>2241</v>
      </c>
      <c r="D12" s="31" t="s">
        <v>2242</v>
      </c>
      <c r="F12" s="31" t="s">
        <v>2243</v>
      </c>
      <c r="I12" s="31" t="s">
        <v>2244</v>
      </c>
      <c r="J12" s="31" t="s">
        <v>2245</v>
      </c>
      <c r="L12" s="4" t="s">
        <v>2246</v>
      </c>
      <c r="N12" s="71" t="s">
        <v>2247</v>
      </c>
      <c r="O12" s="4" t="s">
        <v>2248</v>
      </c>
      <c r="P12" s="71">
        <v>209000.0</v>
      </c>
      <c r="R12" s="242" t="s">
        <v>655</v>
      </c>
      <c r="S12" s="242">
        <v>4.0</v>
      </c>
      <c r="T12" s="242">
        <f>S12*2000</f>
        <v>8000</v>
      </c>
      <c r="U12" s="243">
        <f>S12*20</f>
        <v>80</v>
      </c>
    </row>
    <row r="13">
      <c r="A13" s="31" t="s">
        <v>2249</v>
      </c>
      <c r="B13" s="55" t="s">
        <v>48</v>
      </c>
      <c r="C13" s="31" t="s">
        <v>2250</v>
      </c>
      <c r="D13" s="31" t="s">
        <v>2251</v>
      </c>
      <c r="F13" s="31" t="s">
        <v>2252</v>
      </c>
      <c r="I13" s="31" t="s">
        <v>2253</v>
      </c>
      <c r="J13" s="31" t="s">
        <v>2254</v>
      </c>
      <c r="L13" s="33" t="s">
        <v>498</v>
      </c>
      <c r="O13" s="33" t="s">
        <v>2255</v>
      </c>
      <c r="R13" s="242" t="s">
        <v>458</v>
      </c>
      <c r="S13" s="242">
        <v>2.0</v>
      </c>
      <c r="T13" s="242">
        <f>S13*6000</f>
        <v>12000</v>
      </c>
      <c r="U13" s="243">
        <f>S13*40</f>
        <v>80</v>
      </c>
    </row>
    <row r="14">
      <c r="A14" s="31" t="s">
        <v>2256</v>
      </c>
      <c r="B14" s="4" t="s">
        <v>60</v>
      </c>
      <c r="C14" s="31" t="s">
        <v>2257</v>
      </c>
      <c r="D14" s="31" t="s">
        <v>2258</v>
      </c>
      <c r="I14" s="31" t="s">
        <v>1429</v>
      </c>
      <c r="J14" s="31" t="s">
        <v>2259</v>
      </c>
      <c r="K14" s="71" t="s">
        <v>2260</v>
      </c>
      <c r="L14" s="4" t="s">
        <v>531</v>
      </c>
      <c r="M14" s="71">
        <f>2000+5400</f>
        <v>7400</v>
      </c>
      <c r="N14" s="71" t="s">
        <v>2214</v>
      </c>
      <c r="O14" s="4" t="s">
        <v>1963</v>
      </c>
      <c r="P14" s="71">
        <v>3000.0</v>
      </c>
      <c r="R14" s="242" t="s">
        <v>654</v>
      </c>
      <c r="S14" s="242">
        <v>4.0</v>
      </c>
      <c r="T14" s="243">
        <f t="shared" ref="T14:T15" si="2">S14*8000</f>
        <v>32000</v>
      </c>
      <c r="U14" s="243">
        <f t="shared" ref="U14:U15" si="3">S14*80</f>
        <v>320</v>
      </c>
    </row>
    <row r="15">
      <c r="A15" s="31" t="s">
        <v>2261</v>
      </c>
      <c r="B15" s="55" t="s">
        <v>69</v>
      </c>
      <c r="D15" s="31" t="s">
        <v>2262</v>
      </c>
      <c r="I15" s="31" t="s">
        <v>2263</v>
      </c>
      <c r="J15" s="31" t="s">
        <v>2264</v>
      </c>
      <c r="L15" s="33" t="s">
        <v>498</v>
      </c>
      <c r="N15" s="71" t="s">
        <v>2265</v>
      </c>
      <c r="O15" s="4" t="s">
        <v>1963</v>
      </c>
      <c r="P15" s="71">
        <v>5000.0</v>
      </c>
      <c r="R15" s="242" t="s">
        <v>511</v>
      </c>
      <c r="S15" s="242">
        <v>1.0</v>
      </c>
      <c r="T15" s="243">
        <f t="shared" si="2"/>
        <v>8000</v>
      </c>
      <c r="U15" s="243">
        <f t="shared" si="3"/>
        <v>80</v>
      </c>
    </row>
    <row r="16">
      <c r="A16" s="31" t="s">
        <v>2266</v>
      </c>
      <c r="B16" s="4" t="s">
        <v>60</v>
      </c>
      <c r="D16" s="31" t="s">
        <v>2267</v>
      </c>
      <c r="I16" s="31" t="s">
        <v>1414</v>
      </c>
      <c r="K16" s="71" t="s">
        <v>2268</v>
      </c>
      <c r="L16" s="71" t="s">
        <v>467</v>
      </c>
      <c r="M16" s="71">
        <v>1000.0</v>
      </c>
      <c r="O16" s="71" t="s">
        <v>1035</v>
      </c>
      <c r="R16" s="242" t="s">
        <v>533</v>
      </c>
    </row>
    <row r="17">
      <c r="A17" s="31" t="s">
        <v>2269</v>
      </c>
      <c r="D17" s="31" t="s">
        <v>2270</v>
      </c>
      <c r="I17" s="31" t="s">
        <v>1057</v>
      </c>
      <c r="K17" s="131" t="s">
        <v>2271</v>
      </c>
      <c r="L17" s="33" t="s">
        <v>2272</v>
      </c>
      <c r="M17" s="131">
        <f>15000+5400</f>
        <v>20400</v>
      </c>
      <c r="N17" s="71" t="s">
        <v>2273</v>
      </c>
      <c r="O17" s="71" t="s">
        <v>469</v>
      </c>
      <c r="P17" s="71">
        <v>9000.0</v>
      </c>
      <c r="R17" s="242">
        <v>100.0</v>
      </c>
      <c r="S17" s="242">
        <v>1.5</v>
      </c>
      <c r="T17" s="243">
        <f t="shared" ref="T17:T18" si="4">S17*1500</f>
        <v>2250</v>
      </c>
      <c r="U17" s="243">
        <f t="shared" ref="U17:U18" si="5">S17*40</f>
        <v>60</v>
      </c>
    </row>
    <row r="18">
      <c r="A18" s="31" t="s">
        <v>2274</v>
      </c>
      <c r="D18" s="31" t="s">
        <v>2275</v>
      </c>
      <c r="I18" s="31" t="s">
        <v>1022</v>
      </c>
      <c r="L18" s="33" t="s">
        <v>498</v>
      </c>
      <c r="O18" s="4" t="s">
        <v>543</v>
      </c>
      <c r="R18" s="242" t="s">
        <v>657</v>
      </c>
      <c r="S18" s="242">
        <v>1.0</v>
      </c>
      <c r="T18" s="243">
        <f t="shared" si="4"/>
        <v>1500</v>
      </c>
      <c r="U18" s="243">
        <f t="shared" si="5"/>
        <v>40</v>
      </c>
    </row>
    <row r="19">
      <c r="A19" s="31" t="s">
        <v>2276</v>
      </c>
      <c r="D19" s="31" t="s">
        <v>2277</v>
      </c>
      <c r="I19" s="31" t="s">
        <v>1081</v>
      </c>
      <c r="K19" s="8"/>
      <c r="L19" s="8"/>
      <c r="M19" s="8"/>
      <c r="O19" s="71" t="s">
        <v>572</v>
      </c>
      <c r="R19" s="39" t="s">
        <v>470</v>
      </c>
      <c r="T19" s="246">
        <f t="shared" ref="T19:U19" si="6">T8+T9+T10+T11+T12+T13+T14+T17+T18+T15</f>
        <v>140750</v>
      </c>
      <c r="U19" s="246">
        <f t="shared" si="6"/>
        <v>1970</v>
      </c>
    </row>
    <row r="20">
      <c r="A20" s="31" t="s">
        <v>2278</v>
      </c>
      <c r="D20" s="31" t="s">
        <v>632</v>
      </c>
      <c r="I20" s="31" t="s">
        <v>1696</v>
      </c>
      <c r="N20" s="33" t="s">
        <v>578</v>
      </c>
      <c r="P20" s="4">
        <v>200000.0</v>
      </c>
      <c r="Q20" s="241" t="s">
        <v>2279</v>
      </c>
      <c r="R20" s="242" t="s">
        <v>533</v>
      </c>
    </row>
    <row r="21">
      <c r="A21" s="31" t="s">
        <v>2280</v>
      </c>
      <c r="D21" s="31" t="s">
        <v>2281</v>
      </c>
      <c r="H21" s="1" t="s">
        <v>594</v>
      </c>
      <c r="R21" s="242" t="s">
        <v>2282</v>
      </c>
      <c r="S21" s="242">
        <v>1.0</v>
      </c>
      <c r="T21" s="243">
        <f>S21*1500</f>
        <v>1500</v>
      </c>
      <c r="U21" s="243">
        <f>S21*40</f>
        <v>40</v>
      </c>
    </row>
    <row r="22">
      <c r="A22" s="31" t="s">
        <v>2283</v>
      </c>
      <c r="D22" s="31" t="s">
        <v>2284</v>
      </c>
      <c r="H22" s="216" t="s">
        <v>456</v>
      </c>
      <c r="I22" s="216" t="s">
        <v>457</v>
      </c>
      <c r="J22" s="216" t="s">
        <v>0</v>
      </c>
      <c r="R22" s="39" t="s">
        <v>470</v>
      </c>
      <c r="T22" s="246">
        <f t="shared" ref="T22:U22" si="7">T21</f>
        <v>1500</v>
      </c>
      <c r="U22" s="246">
        <f t="shared" si="7"/>
        <v>40</v>
      </c>
    </row>
    <row r="23">
      <c r="A23" s="31" t="s">
        <v>2285</v>
      </c>
      <c r="D23" s="31" t="s">
        <v>2286</v>
      </c>
      <c r="H23" s="71" t="s">
        <v>2287</v>
      </c>
      <c r="I23" s="71" t="s">
        <v>650</v>
      </c>
      <c r="J23" s="71">
        <v>500.0</v>
      </c>
      <c r="Q23" s="241" t="s">
        <v>2288</v>
      </c>
      <c r="R23" s="242" t="s">
        <v>655</v>
      </c>
      <c r="S23" s="242">
        <v>1.0</v>
      </c>
      <c r="T23" s="242">
        <f>S23*2000</f>
        <v>2000</v>
      </c>
      <c r="U23" s="243">
        <f>S23*20</f>
        <v>20</v>
      </c>
    </row>
    <row r="24">
      <c r="A24" s="31" t="s">
        <v>2289</v>
      </c>
      <c r="D24" s="31" t="s">
        <v>2290</v>
      </c>
      <c r="I24" s="71" t="s">
        <v>635</v>
      </c>
      <c r="R24" s="242" t="s">
        <v>500</v>
      </c>
      <c r="S24" s="242">
        <v>1.0</v>
      </c>
      <c r="T24" s="243">
        <f>S24*3000</f>
        <v>3000</v>
      </c>
      <c r="U24" s="243">
        <f>S24*40</f>
        <v>40</v>
      </c>
    </row>
    <row r="25">
      <c r="A25" s="31" t="s">
        <v>2291</v>
      </c>
      <c r="D25" s="31" t="s">
        <v>1909</v>
      </c>
      <c r="I25" s="71" t="s">
        <v>613</v>
      </c>
      <c r="R25" s="39" t="s">
        <v>470</v>
      </c>
      <c r="T25" s="246">
        <f t="shared" ref="T25:U25" si="8">T23+T24</f>
        <v>5000</v>
      </c>
      <c r="U25" s="246">
        <f t="shared" si="8"/>
        <v>60</v>
      </c>
    </row>
    <row r="26">
      <c r="A26" s="31" t="s">
        <v>2292</v>
      </c>
      <c r="D26" s="31" t="s">
        <v>602</v>
      </c>
      <c r="H26" s="71" t="s">
        <v>2279</v>
      </c>
      <c r="I26" s="71" t="s">
        <v>631</v>
      </c>
      <c r="J26" s="71">
        <v>1500.0</v>
      </c>
      <c r="Q26" s="241" t="s">
        <v>2293</v>
      </c>
      <c r="R26" s="242" t="s">
        <v>523</v>
      </c>
      <c r="S26" s="242">
        <v>1.0</v>
      </c>
      <c r="T26" s="243">
        <f>S26*2000</f>
        <v>2000</v>
      </c>
      <c r="U26" s="243">
        <f>S26*40</f>
        <v>40</v>
      </c>
    </row>
    <row r="27">
      <c r="A27" s="31" t="s">
        <v>2294</v>
      </c>
      <c r="D27" s="31" t="s">
        <v>627</v>
      </c>
      <c r="I27" s="71" t="s">
        <v>635</v>
      </c>
      <c r="O27" s="71"/>
      <c r="R27" s="39" t="s">
        <v>470</v>
      </c>
      <c r="T27" s="246">
        <f t="shared" ref="T27:U27" si="9">T26</f>
        <v>2000</v>
      </c>
      <c r="U27" s="246">
        <f t="shared" si="9"/>
        <v>40</v>
      </c>
    </row>
    <row r="28">
      <c r="A28" s="31" t="s">
        <v>2295</v>
      </c>
      <c r="D28" s="31" t="s">
        <v>1873</v>
      </c>
      <c r="I28" s="71" t="s">
        <v>613</v>
      </c>
    </row>
    <row r="29">
      <c r="A29" s="31" t="s">
        <v>2296</v>
      </c>
      <c r="D29" s="31" t="s">
        <v>2297</v>
      </c>
      <c r="H29" s="71" t="s">
        <v>2298</v>
      </c>
      <c r="I29" s="71" t="s">
        <v>650</v>
      </c>
      <c r="J29" s="71">
        <v>500.0</v>
      </c>
    </row>
    <row r="30">
      <c r="A30" s="31" t="s">
        <v>2299</v>
      </c>
      <c r="D30" s="31" t="s">
        <v>2300</v>
      </c>
      <c r="I30" s="71" t="s">
        <v>644</v>
      </c>
    </row>
    <row r="31">
      <c r="A31" s="31" t="s">
        <v>2301</v>
      </c>
      <c r="D31" s="31" t="s">
        <v>2302</v>
      </c>
      <c r="I31" s="71" t="s">
        <v>652</v>
      </c>
    </row>
    <row r="32">
      <c r="A32" s="31" t="s">
        <v>2303</v>
      </c>
      <c r="D32" s="31" t="s">
        <v>2304</v>
      </c>
      <c r="H32" s="71" t="s">
        <v>2305</v>
      </c>
      <c r="I32" s="71" t="s">
        <v>650</v>
      </c>
      <c r="J32" s="71">
        <v>1500.0</v>
      </c>
    </row>
    <row r="33">
      <c r="A33" s="31" t="s">
        <v>2306</v>
      </c>
      <c r="D33" s="31" t="s">
        <v>2307</v>
      </c>
      <c r="I33" s="71" t="s">
        <v>608</v>
      </c>
    </row>
    <row r="34">
      <c r="A34" s="31" t="s">
        <v>2308</v>
      </c>
      <c r="D34" s="31" t="s">
        <v>2309</v>
      </c>
      <c r="I34" s="71" t="s">
        <v>652</v>
      </c>
    </row>
    <row r="35">
      <c r="A35" s="31" t="s">
        <v>2310</v>
      </c>
      <c r="H35" s="71" t="s">
        <v>2273</v>
      </c>
      <c r="I35" s="71" t="s">
        <v>605</v>
      </c>
      <c r="J35" s="71">
        <v>3000.0</v>
      </c>
    </row>
    <row r="36">
      <c r="A36" s="31" t="s">
        <v>2311</v>
      </c>
      <c r="I36" s="71" t="s">
        <v>644</v>
      </c>
    </row>
    <row r="37">
      <c r="A37" s="31" t="s">
        <v>2312</v>
      </c>
      <c r="I37" s="71" t="s">
        <v>613</v>
      </c>
    </row>
    <row r="38">
      <c r="H38" s="71" t="s">
        <v>2313</v>
      </c>
      <c r="I38" s="71" t="s">
        <v>1087</v>
      </c>
      <c r="J38" s="71">
        <v>4000.0</v>
      </c>
    </row>
    <row r="39">
      <c r="I39" s="71" t="s">
        <v>635</v>
      </c>
    </row>
    <row r="40">
      <c r="A40" s="47" t="s">
        <v>366</v>
      </c>
      <c r="I40" s="71" t="s">
        <v>625</v>
      </c>
    </row>
    <row r="41">
      <c r="A41" s="47">
        <f>A43+A62+A89+A106+A125+A147+A179</f>
        <v>539865</v>
      </c>
      <c r="H41" s="71" t="s">
        <v>2314</v>
      </c>
      <c r="I41" s="71" t="s">
        <v>650</v>
      </c>
      <c r="J41" s="71">
        <v>1000.0</v>
      </c>
    </row>
    <row r="42">
      <c r="A42" s="82" t="s">
        <v>1123</v>
      </c>
      <c r="I42" s="71" t="s">
        <v>621</v>
      </c>
    </row>
    <row r="43">
      <c r="A43" s="82">
        <v>30650.0</v>
      </c>
      <c r="I43" s="71" t="s">
        <v>652</v>
      </c>
    </row>
    <row r="44">
      <c r="A44" s="82">
        <v>2026.0</v>
      </c>
      <c r="H44" s="71" t="s">
        <v>2315</v>
      </c>
      <c r="I44" s="71" t="s">
        <v>650</v>
      </c>
      <c r="J44" s="71">
        <v>500.0</v>
      </c>
    </row>
    <row r="45">
      <c r="A45" s="50" t="s">
        <v>665</v>
      </c>
      <c r="B45" s="50" t="s">
        <v>119</v>
      </c>
      <c r="C45" s="50" t="s">
        <v>142</v>
      </c>
      <c r="D45" s="50" t="s">
        <v>126</v>
      </c>
      <c r="E45" s="50" t="s">
        <v>130</v>
      </c>
      <c r="I45" s="71" t="s">
        <v>644</v>
      </c>
    </row>
    <row r="46">
      <c r="A46" s="84" t="s">
        <v>2316</v>
      </c>
      <c r="C46" s="84" t="s">
        <v>2040</v>
      </c>
      <c r="E46" s="84" t="s">
        <v>2317</v>
      </c>
      <c r="I46" s="71" t="s">
        <v>652</v>
      </c>
    </row>
    <row r="47">
      <c r="A47" s="31" t="s">
        <v>2318</v>
      </c>
      <c r="C47" s="31" t="s">
        <v>2319</v>
      </c>
      <c r="E47" s="31" t="s">
        <v>2320</v>
      </c>
      <c r="H47" s="71" t="s">
        <v>2321</v>
      </c>
      <c r="I47" s="71" t="s">
        <v>650</v>
      </c>
      <c r="J47" s="71">
        <v>500.0</v>
      </c>
    </row>
    <row r="48">
      <c r="A48" s="31" t="s">
        <v>704</v>
      </c>
      <c r="C48" s="31" t="s">
        <v>685</v>
      </c>
      <c r="E48" s="31" t="s">
        <v>826</v>
      </c>
      <c r="I48" s="71" t="s">
        <v>635</v>
      </c>
    </row>
    <row r="49">
      <c r="A49" s="31" t="s">
        <v>678</v>
      </c>
      <c r="E49" s="31" t="s">
        <v>1545</v>
      </c>
      <c r="I49" s="71" t="s">
        <v>613</v>
      </c>
    </row>
    <row r="50">
      <c r="E50" s="31" t="s">
        <v>2322</v>
      </c>
      <c r="H50" s="71" t="s">
        <v>2323</v>
      </c>
      <c r="I50" s="71" t="s">
        <v>650</v>
      </c>
      <c r="J50" s="71">
        <v>500.0</v>
      </c>
    </row>
    <row r="51">
      <c r="E51" s="31" t="s">
        <v>1559</v>
      </c>
      <c r="I51" s="71" t="s">
        <v>635</v>
      </c>
    </row>
    <row r="52">
      <c r="E52" s="31" t="s">
        <v>2324</v>
      </c>
      <c r="I52" s="71" t="s">
        <v>613</v>
      </c>
    </row>
    <row r="53">
      <c r="E53" s="31" t="s">
        <v>684</v>
      </c>
      <c r="H53" s="71" t="s">
        <v>2325</v>
      </c>
      <c r="I53" s="71" t="s">
        <v>650</v>
      </c>
      <c r="J53" s="71">
        <v>500.0</v>
      </c>
    </row>
    <row r="54">
      <c r="E54" s="31" t="s">
        <v>678</v>
      </c>
      <c r="I54" s="71" t="s">
        <v>644</v>
      </c>
    </row>
    <row r="55">
      <c r="E55" s="31" t="s">
        <v>1559</v>
      </c>
      <c r="I55" s="71" t="s">
        <v>652</v>
      </c>
    </row>
    <row r="56">
      <c r="E56" s="31" t="s">
        <v>2326</v>
      </c>
    </row>
    <row r="57">
      <c r="E57" s="31" t="s">
        <v>685</v>
      </c>
    </row>
    <row r="58">
      <c r="E58" s="31" t="s">
        <v>676</v>
      </c>
    </row>
    <row r="59">
      <c r="E59" s="31" t="s">
        <v>1559</v>
      </c>
    </row>
    <row r="60">
      <c r="A60" s="85"/>
    </row>
    <row r="61">
      <c r="A61" s="86" t="s">
        <v>686</v>
      </c>
    </row>
    <row r="62">
      <c r="A62" s="86">
        <v>37690.0</v>
      </c>
    </row>
    <row r="63">
      <c r="A63" s="87">
        <v>2026.0</v>
      </c>
    </row>
    <row r="64">
      <c r="A64" s="50" t="s">
        <v>687</v>
      </c>
      <c r="B64" s="50" t="s">
        <v>688</v>
      </c>
      <c r="C64" s="50" t="s">
        <v>689</v>
      </c>
      <c r="D64" s="50" t="s">
        <v>690</v>
      </c>
      <c r="E64" s="50" t="s">
        <v>691</v>
      </c>
      <c r="F64" s="50" t="s">
        <v>692</v>
      </c>
    </row>
    <row r="65">
      <c r="A65" s="84" t="s">
        <v>2327</v>
      </c>
      <c r="C65" s="84" t="s">
        <v>2038</v>
      </c>
      <c r="D65" s="84" t="s">
        <v>2328</v>
      </c>
      <c r="F65" s="84" t="s">
        <v>2329</v>
      </c>
    </row>
    <row r="66">
      <c r="A66" s="31" t="s">
        <v>2287</v>
      </c>
      <c r="C66" s="31" t="s">
        <v>2330</v>
      </c>
      <c r="D66" s="31" t="s">
        <v>2232</v>
      </c>
      <c r="F66" s="31" t="s">
        <v>2331</v>
      </c>
    </row>
    <row r="67">
      <c r="A67" s="31" t="s">
        <v>767</v>
      </c>
      <c r="C67" s="31" t="s">
        <v>677</v>
      </c>
      <c r="D67" s="31" t="s">
        <v>2332</v>
      </c>
      <c r="F67" s="31" t="s">
        <v>677</v>
      </c>
    </row>
    <row r="68">
      <c r="A68" s="31" t="s">
        <v>1133</v>
      </c>
      <c r="D68" s="31" t="s">
        <v>710</v>
      </c>
      <c r="F68" s="31" t="s">
        <v>676</v>
      </c>
    </row>
    <row r="69">
      <c r="A69" s="31" t="s">
        <v>2333</v>
      </c>
      <c r="F69" s="31" t="s">
        <v>713</v>
      </c>
    </row>
    <row r="70">
      <c r="A70" s="31" t="s">
        <v>2334</v>
      </c>
    </row>
    <row r="71">
      <c r="A71" s="31" t="s">
        <v>1133</v>
      </c>
    </row>
    <row r="72">
      <c r="A72" s="31" t="s">
        <v>2335</v>
      </c>
    </row>
    <row r="73">
      <c r="A73" s="31" t="s">
        <v>703</v>
      </c>
    </row>
    <row r="74">
      <c r="A74" s="31" t="s">
        <v>1133</v>
      </c>
    </row>
    <row r="75">
      <c r="A75" s="31" t="s">
        <v>2305</v>
      </c>
    </row>
    <row r="76">
      <c r="A76" s="31" t="s">
        <v>703</v>
      </c>
    </row>
    <row r="77">
      <c r="A77" s="31" t="s">
        <v>1133</v>
      </c>
    </row>
    <row r="78">
      <c r="A78" s="85"/>
    </row>
    <row r="79">
      <c r="A79" s="22" t="s">
        <v>2336</v>
      </c>
    </row>
    <row r="80">
      <c r="A80" s="19">
        <v>2026.0</v>
      </c>
    </row>
    <row r="81">
      <c r="A81" s="88" t="s">
        <v>2337</v>
      </c>
    </row>
    <row r="82">
      <c r="A82" s="50" t="s">
        <v>733</v>
      </c>
      <c r="B82" s="50" t="s">
        <v>191</v>
      </c>
      <c r="C82" s="50" t="s">
        <v>734</v>
      </c>
      <c r="D82" s="50" t="s">
        <v>735</v>
      </c>
      <c r="E82" s="50" t="s">
        <v>187</v>
      </c>
      <c r="F82" s="50" t="s">
        <v>736</v>
      </c>
      <c r="G82" s="50" t="s">
        <v>179</v>
      </c>
      <c r="H82" s="50" t="s">
        <v>737</v>
      </c>
    </row>
    <row r="83">
      <c r="A83" s="76" t="s">
        <v>377</v>
      </c>
      <c r="B83" s="76" t="s">
        <v>377</v>
      </c>
      <c r="C83" s="76" t="s">
        <v>377</v>
      </c>
      <c r="D83" s="76" t="s">
        <v>377</v>
      </c>
      <c r="E83" s="76" t="s">
        <v>377</v>
      </c>
      <c r="F83" s="76" t="s">
        <v>377</v>
      </c>
      <c r="G83" s="76" t="s">
        <v>377</v>
      </c>
      <c r="H83" s="76" t="s">
        <v>377</v>
      </c>
    </row>
    <row r="88">
      <c r="A88" s="90" t="s">
        <v>1172</v>
      </c>
    </row>
    <row r="89">
      <c r="A89" s="90">
        <f>A92</f>
        <v>27500</v>
      </c>
    </row>
    <row r="90">
      <c r="A90" s="90">
        <v>2026.0</v>
      </c>
    </row>
    <row r="91">
      <c r="A91" s="90" t="s">
        <v>368</v>
      </c>
    </row>
    <row r="92">
      <c r="A92" s="90">
        <f>A95+B95+C95+D95+E95+F95+G95+H95</f>
        <v>27500</v>
      </c>
    </row>
    <row r="93">
      <c r="A93" s="50" t="s">
        <v>789</v>
      </c>
      <c r="B93" s="50" t="s">
        <v>790</v>
      </c>
      <c r="C93" s="50" t="s">
        <v>215</v>
      </c>
      <c r="D93" s="50" t="s">
        <v>791</v>
      </c>
      <c r="E93" s="50" t="s">
        <v>202</v>
      </c>
      <c r="F93" s="50" t="s">
        <v>792</v>
      </c>
      <c r="G93" s="50" t="s">
        <v>793</v>
      </c>
      <c r="H93" s="50" t="s">
        <v>205</v>
      </c>
    </row>
    <row r="94">
      <c r="A94" s="33" t="s">
        <v>377</v>
      </c>
      <c r="B94" s="33" t="s">
        <v>377</v>
      </c>
      <c r="C94" s="33" t="s">
        <v>377</v>
      </c>
      <c r="D94" s="33" t="s">
        <v>377</v>
      </c>
      <c r="E94" s="33" t="s">
        <v>377</v>
      </c>
      <c r="F94" s="33" t="s">
        <v>377</v>
      </c>
      <c r="G94" s="33" t="s">
        <v>377</v>
      </c>
      <c r="H94" s="33" t="s">
        <v>377</v>
      </c>
    </row>
    <row r="95">
      <c r="A95" s="50">
        <v>9500.0</v>
      </c>
      <c r="B95" s="50">
        <v>0.0</v>
      </c>
      <c r="C95" s="50">
        <v>0.0</v>
      </c>
      <c r="D95" s="50">
        <v>0.0</v>
      </c>
      <c r="E95" s="50">
        <v>0.0</v>
      </c>
      <c r="F95" s="50">
        <v>0.0</v>
      </c>
      <c r="G95" s="50">
        <v>8250.0</v>
      </c>
      <c r="H95" s="50">
        <v>9750.0</v>
      </c>
    </row>
    <row r="96">
      <c r="A96" s="31" t="s">
        <v>2287</v>
      </c>
      <c r="G96" s="31" t="s">
        <v>2320</v>
      </c>
      <c r="H96" s="91" t="s">
        <v>2338</v>
      </c>
    </row>
    <row r="97">
      <c r="A97" s="31" t="s">
        <v>765</v>
      </c>
      <c r="G97" s="31" t="s">
        <v>673</v>
      </c>
      <c r="H97" s="91" t="s">
        <v>886</v>
      </c>
    </row>
    <row r="98">
      <c r="A98" s="31" t="s">
        <v>802</v>
      </c>
      <c r="G98" s="31" t="s">
        <v>2333</v>
      </c>
      <c r="H98" s="91" t="s">
        <v>807</v>
      </c>
    </row>
    <row r="99">
      <c r="A99" s="31" t="s">
        <v>2339</v>
      </c>
      <c r="G99" s="31" t="s">
        <v>718</v>
      </c>
    </row>
    <row r="100">
      <c r="A100" s="31" t="s">
        <v>677</v>
      </c>
      <c r="G100" s="31" t="s">
        <v>807</v>
      </c>
    </row>
    <row r="101">
      <c r="G101" s="31" t="s">
        <v>2340</v>
      </c>
    </row>
    <row r="102">
      <c r="G102" s="31" t="s">
        <v>677</v>
      </c>
    </row>
    <row r="105">
      <c r="A105" s="92" t="s">
        <v>828</v>
      </c>
    </row>
    <row r="106">
      <c r="A106" s="92">
        <f>A109</f>
        <v>55900</v>
      </c>
    </row>
    <row r="107">
      <c r="A107" s="92">
        <v>2026.0</v>
      </c>
    </row>
    <row r="108">
      <c r="A108" s="92" t="s">
        <v>368</v>
      </c>
    </row>
    <row r="109">
      <c r="A109" s="93">
        <f>A112+B112+C112+D112+E112+F112+G112+H112+I112+J112</f>
        <v>55900</v>
      </c>
    </row>
    <row r="110">
      <c r="A110" s="94" t="s">
        <v>829</v>
      </c>
      <c r="B110" s="94" t="s">
        <v>830</v>
      </c>
      <c r="C110" s="94" t="s">
        <v>831</v>
      </c>
      <c r="D110" s="94" t="s">
        <v>832</v>
      </c>
      <c r="E110" s="94" t="s">
        <v>833</v>
      </c>
      <c r="F110" s="94" t="s">
        <v>834</v>
      </c>
      <c r="G110" s="94" t="s">
        <v>835</v>
      </c>
      <c r="H110" s="94" t="s">
        <v>836</v>
      </c>
      <c r="I110" s="95" t="s">
        <v>837</v>
      </c>
      <c r="J110" s="95" t="s">
        <v>838</v>
      </c>
    </row>
    <row r="111">
      <c r="A111" s="33" t="s">
        <v>377</v>
      </c>
      <c r="B111" s="33" t="s">
        <v>377</v>
      </c>
      <c r="C111" s="33" t="s">
        <v>377</v>
      </c>
      <c r="D111" s="33" t="s">
        <v>377</v>
      </c>
      <c r="E111" s="33" t="s">
        <v>377</v>
      </c>
      <c r="F111" s="33" t="s">
        <v>377</v>
      </c>
      <c r="G111" s="33" t="s">
        <v>377</v>
      </c>
      <c r="H111" s="33" t="s">
        <v>377</v>
      </c>
      <c r="I111" s="33" t="s">
        <v>377</v>
      </c>
      <c r="J111" s="33" t="s">
        <v>377</v>
      </c>
    </row>
    <row r="112">
      <c r="A112" s="50">
        <v>1700.0</v>
      </c>
      <c r="B112" s="50">
        <v>13500.0</v>
      </c>
      <c r="C112" s="50">
        <v>0.0</v>
      </c>
      <c r="D112" s="50">
        <v>10500.0</v>
      </c>
      <c r="E112" s="50">
        <v>0.0</v>
      </c>
      <c r="F112" s="50">
        <v>15600.0</v>
      </c>
      <c r="G112" s="50">
        <v>500.0</v>
      </c>
      <c r="H112" s="50">
        <v>9200.0</v>
      </c>
      <c r="I112" s="50">
        <v>4900.0</v>
      </c>
      <c r="J112" s="50">
        <v>0.0</v>
      </c>
    </row>
    <row r="113">
      <c r="A113" s="31" t="s">
        <v>2341</v>
      </c>
      <c r="B113" s="31" t="s">
        <v>2219</v>
      </c>
      <c r="D113" s="31" t="s">
        <v>2342</v>
      </c>
      <c r="F113" s="31" t="s">
        <v>2343</v>
      </c>
      <c r="G113" s="31" t="s">
        <v>2344</v>
      </c>
      <c r="H113" s="31" t="s">
        <v>2232</v>
      </c>
      <c r="I113" s="31" t="s">
        <v>2345</v>
      </c>
    </row>
    <row r="114">
      <c r="A114" s="31" t="s">
        <v>1759</v>
      </c>
      <c r="B114" s="31" t="s">
        <v>809</v>
      </c>
      <c r="D114" s="31" t="s">
        <v>673</v>
      </c>
      <c r="F114" s="31" t="s">
        <v>886</v>
      </c>
      <c r="G114" s="31" t="s">
        <v>703</v>
      </c>
      <c r="H114" s="31" t="s">
        <v>912</v>
      </c>
      <c r="I114" s="31" t="s">
        <v>1212</v>
      </c>
    </row>
    <row r="115">
      <c r="A115" s="31" t="s">
        <v>2346</v>
      </c>
      <c r="B115" s="31" t="s">
        <v>1195</v>
      </c>
      <c r="D115" s="31" t="s">
        <v>2347</v>
      </c>
      <c r="F115" s="31" t="s">
        <v>854</v>
      </c>
      <c r="H115" s="31" t="s">
        <v>2348</v>
      </c>
      <c r="I115" s="31" t="s">
        <v>1199</v>
      </c>
    </row>
    <row r="116">
      <c r="A116" s="31" t="s">
        <v>703</v>
      </c>
      <c r="B116" s="31" t="s">
        <v>854</v>
      </c>
      <c r="D116" s="31" t="s">
        <v>677</v>
      </c>
      <c r="F116" s="31" t="s">
        <v>2209</v>
      </c>
      <c r="H116" s="31" t="s">
        <v>684</v>
      </c>
      <c r="I116" s="31" t="s">
        <v>2349</v>
      </c>
    </row>
    <row r="117">
      <c r="B117" s="31" t="s">
        <v>2350</v>
      </c>
      <c r="D117" s="31" t="s">
        <v>2351</v>
      </c>
      <c r="F117" s="31" t="s">
        <v>703</v>
      </c>
      <c r="I117" s="31" t="s">
        <v>826</v>
      </c>
    </row>
    <row r="118">
      <c r="B118" s="31" t="s">
        <v>703</v>
      </c>
      <c r="D118" s="31" t="s">
        <v>767</v>
      </c>
      <c r="F118" s="31" t="s">
        <v>2352</v>
      </c>
      <c r="I118" s="31" t="s">
        <v>1199</v>
      </c>
    </row>
    <row r="119">
      <c r="B119" s="31" t="s">
        <v>2353</v>
      </c>
      <c r="F119" s="31" t="s">
        <v>1216</v>
      </c>
    </row>
    <row r="120">
      <c r="B120" s="31" t="s">
        <v>718</v>
      </c>
      <c r="F120" s="31" t="s">
        <v>2354</v>
      </c>
    </row>
    <row r="121">
      <c r="B121" s="31" t="s">
        <v>2355</v>
      </c>
      <c r="F121" s="31" t="s">
        <v>673</v>
      </c>
    </row>
    <row r="122">
      <c r="B122" s="31" t="s">
        <v>703</v>
      </c>
    </row>
    <row r="123">
      <c r="A123" s="96" t="s">
        <v>871</v>
      </c>
    </row>
    <row r="124">
      <c r="A124" s="97" t="s">
        <v>872</v>
      </c>
    </row>
    <row r="125">
      <c r="A125" s="97">
        <f>A128</f>
        <v>62500</v>
      </c>
    </row>
    <row r="126">
      <c r="A126" s="97">
        <v>2026.0</v>
      </c>
    </row>
    <row r="127">
      <c r="A127" s="97" t="s">
        <v>368</v>
      </c>
    </row>
    <row r="128">
      <c r="A128" s="98">
        <f>A131+B131+C131+D131+E131+F131+G131+H131+I131+J131</f>
        <v>62500</v>
      </c>
    </row>
    <row r="129">
      <c r="A129" s="50" t="s">
        <v>873</v>
      </c>
      <c r="B129" s="50" t="s">
        <v>874</v>
      </c>
      <c r="C129" s="50" t="s">
        <v>875</v>
      </c>
      <c r="D129" s="50" t="s">
        <v>876</v>
      </c>
      <c r="E129" s="50" t="s">
        <v>877</v>
      </c>
      <c r="F129" s="50" t="s">
        <v>878</v>
      </c>
      <c r="G129" s="94" t="s">
        <v>879</v>
      </c>
      <c r="H129" s="99" t="s">
        <v>880</v>
      </c>
      <c r="I129" s="99" t="s">
        <v>881</v>
      </c>
      <c r="J129" s="99" t="s">
        <v>882</v>
      </c>
    </row>
    <row r="130">
      <c r="A130" s="33" t="s">
        <v>377</v>
      </c>
      <c r="B130" s="33" t="s">
        <v>377</v>
      </c>
      <c r="C130" s="33" t="s">
        <v>377</v>
      </c>
      <c r="D130" s="33" t="s">
        <v>377</v>
      </c>
      <c r="E130" s="33" t="s">
        <v>377</v>
      </c>
      <c r="F130" s="33" t="s">
        <v>377</v>
      </c>
      <c r="G130" s="33" t="s">
        <v>377</v>
      </c>
      <c r="H130" s="64" t="s">
        <v>377</v>
      </c>
      <c r="I130" s="64" t="s">
        <v>377</v>
      </c>
      <c r="J130" s="64" t="s">
        <v>377</v>
      </c>
    </row>
    <row r="131">
      <c r="A131" s="50">
        <v>40500.0</v>
      </c>
      <c r="B131" s="50"/>
      <c r="C131" s="50"/>
      <c r="D131" s="50"/>
      <c r="E131" s="50">
        <v>3000.0</v>
      </c>
      <c r="F131" s="50"/>
      <c r="G131" s="50">
        <v>19000.0</v>
      </c>
      <c r="H131" s="50"/>
      <c r="I131" s="50"/>
      <c r="J131" s="50"/>
    </row>
    <row r="132">
      <c r="A132" s="31" t="s">
        <v>2343</v>
      </c>
      <c r="E132" s="31" t="s">
        <v>2356</v>
      </c>
      <c r="G132" s="31" t="s">
        <v>2345</v>
      </c>
    </row>
    <row r="133">
      <c r="A133" s="31" t="s">
        <v>942</v>
      </c>
      <c r="E133" s="31" t="s">
        <v>677</v>
      </c>
      <c r="G133" s="31" t="s">
        <v>704</v>
      </c>
    </row>
    <row r="134">
      <c r="A134" s="31" t="s">
        <v>890</v>
      </c>
      <c r="E134" s="31" t="s">
        <v>2357</v>
      </c>
      <c r="G134" s="31" t="s">
        <v>2333</v>
      </c>
    </row>
    <row r="135">
      <c r="A135" s="31" t="s">
        <v>896</v>
      </c>
      <c r="E135" s="31" t="s">
        <v>677</v>
      </c>
      <c r="G135" s="31" t="s">
        <v>1247</v>
      </c>
    </row>
    <row r="136">
      <c r="A136" s="31" t="s">
        <v>888</v>
      </c>
      <c r="E136" s="31" t="s">
        <v>2358</v>
      </c>
      <c r="G136" s="31" t="s">
        <v>903</v>
      </c>
    </row>
    <row r="137">
      <c r="E137" s="31" t="s">
        <v>677</v>
      </c>
    </row>
    <row r="146">
      <c r="A146" s="100" t="s">
        <v>913</v>
      </c>
    </row>
    <row r="147">
      <c r="A147" s="100">
        <f>A150</f>
        <v>86000</v>
      </c>
    </row>
    <row r="148">
      <c r="A148" s="100">
        <v>2026.0</v>
      </c>
    </row>
    <row r="149">
      <c r="A149" s="100" t="s">
        <v>368</v>
      </c>
    </row>
    <row r="150">
      <c r="A150" s="100">
        <f>A153+B153+C153+D153+E153+F153+G153+H153</f>
        <v>86000</v>
      </c>
    </row>
    <row r="151">
      <c r="A151" s="50" t="s">
        <v>914</v>
      </c>
      <c r="B151" s="50" t="s">
        <v>246</v>
      </c>
      <c r="C151" s="50" t="s">
        <v>247</v>
      </c>
      <c r="D151" s="50" t="s">
        <v>249</v>
      </c>
      <c r="E151" s="50" t="s">
        <v>915</v>
      </c>
      <c r="F151" s="50" t="s">
        <v>916</v>
      </c>
      <c r="G151" s="50" t="s">
        <v>253</v>
      </c>
      <c r="H151" s="50" t="s">
        <v>252</v>
      </c>
    </row>
    <row r="152">
      <c r="A152" s="33" t="s">
        <v>377</v>
      </c>
      <c r="B152" s="33" t="s">
        <v>377</v>
      </c>
      <c r="C152" s="33" t="s">
        <v>377</v>
      </c>
      <c r="D152" s="33" t="s">
        <v>377</v>
      </c>
      <c r="E152" s="33" t="s">
        <v>377</v>
      </c>
      <c r="F152" s="33" t="s">
        <v>377</v>
      </c>
      <c r="G152" s="33" t="s">
        <v>377</v>
      </c>
      <c r="H152" s="33" t="s">
        <v>377</v>
      </c>
    </row>
    <row r="153">
      <c r="A153" s="50">
        <v>0.0</v>
      </c>
      <c r="B153" s="50">
        <v>0.0</v>
      </c>
      <c r="C153" s="50">
        <v>0.0</v>
      </c>
      <c r="D153" s="50">
        <v>0.0</v>
      </c>
      <c r="E153" s="50">
        <v>1000.0</v>
      </c>
      <c r="F153" s="50">
        <v>0.0</v>
      </c>
      <c r="G153" s="50">
        <v>0.0</v>
      </c>
      <c r="H153" s="50">
        <f>19000+66000</f>
        <v>85000</v>
      </c>
    </row>
    <row r="154">
      <c r="E154" s="31" t="s">
        <v>2343</v>
      </c>
      <c r="H154" s="31" t="s">
        <v>2359</v>
      </c>
    </row>
    <row r="155">
      <c r="E155" s="31" t="s">
        <v>677</v>
      </c>
      <c r="H155" s="31" t="s">
        <v>677</v>
      </c>
    </row>
    <row r="156">
      <c r="H156" s="31" t="s">
        <v>2360</v>
      </c>
    </row>
    <row r="157">
      <c r="H157" s="31" t="s">
        <v>921</v>
      </c>
    </row>
    <row r="158">
      <c r="H158" s="31" t="s">
        <v>2361</v>
      </c>
    </row>
    <row r="159">
      <c r="H159" s="31" t="s">
        <v>677</v>
      </c>
    </row>
    <row r="160">
      <c r="H160" s="31" t="s">
        <v>921</v>
      </c>
    </row>
    <row r="161">
      <c r="H161" s="31" t="s">
        <v>2362</v>
      </c>
    </row>
    <row r="162">
      <c r="H162" s="31" t="s">
        <v>820</v>
      </c>
    </row>
    <row r="163">
      <c r="H163" s="31" t="s">
        <v>1612</v>
      </c>
    </row>
    <row r="164">
      <c r="H164" s="31" t="s">
        <v>921</v>
      </c>
    </row>
    <row r="169">
      <c r="A169" s="205" t="s">
        <v>928</v>
      </c>
    </row>
    <row r="170">
      <c r="A170" s="205">
        <f>A173</f>
        <v>0</v>
      </c>
    </row>
    <row r="171">
      <c r="A171" s="205">
        <v>2026.0</v>
      </c>
    </row>
    <row r="172">
      <c r="A172" s="205" t="s">
        <v>368</v>
      </c>
    </row>
    <row r="173">
      <c r="A173" s="206">
        <f>A176+B176+C176+D176+E176+F176+G176+H176+I176+J176</f>
        <v>0</v>
      </c>
    </row>
    <row r="174">
      <c r="A174" s="103" t="s">
        <v>929</v>
      </c>
      <c r="B174" s="103" t="s">
        <v>930</v>
      </c>
      <c r="C174" s="103" t="s">
        <v>931</v>
      </c>
      <c r="D174" s="103" t="s">
        <v>932</v>
      </c>
      <c r="E174" s="103" t="s">
        <v>933</v>
      </c>
      <c r="F174" s="103" t="s">
        <v>934</v>
      </c>
      <c r="G174" s="103" t="s">
        <v>935</v>
      </c>
      <c r="H174" s="103" t="s">
        <v>936</v>
      </c>
      <c r="I174" s="103" t="s">
        <v>937</v>
      </c>
      <c r="J174" s="103" t="s">
        <v>938</v>
      </c>
    </row>
    <row r="175">
      <c r="A175" s="64" t="s">
        <v>377</v>
      </c>
      <c r="B175" s="64" t="s">
        <v>377</v>
      </c>
      <c r="C175" s="64" t="s">
        <v>377</v>
      </c>
      <c r="D175" s="64" t="s">
        <v>377</v>
      </c>
      <c r="E175" s="64" t="s">
        <v>377</v>
      </c>
      <c r="F175" s="64" t="s">
        <v>377</v>
      </c>
      <c r="G175" s="64" t="s">
        <v>377</v>
      </c>
      <c r="H175" s="64" t="s">
        <v>377</v>
      </c>
      <c r="I175" s="64" t="s">
        <v>377</v>
      </c>
      <c r="J175" s="64" t="s">
        <v>377</v>
      </c>
    </row>
    <row r="176">
      <c r="A176" s="103">
        <v>0.0</v>
      </c>
      <c r="B176" s="103">
        <v>0.0</v>
      </c>
      <c r="C176" s="103">
        <v>0.0</v>
      </c>
      <c r="D176" s="103">
        <v>0.0</v>
      </c>
      <c r="E176" s="103">
        <v>0.0</v>
      </c>
      <c r="F176" s="103">
        <v>0.0</v>
      </c>
      <c r="G176" s="103">
        <v>0.0</v>
      </c>
      <c r="H176" s="103">
        <v>0.0</v>
      </c>
      <c r="I176" s="103">
        <v>0.0</v>
      </c>
      <c r="J176" s="103">
        <v>0.0</v>
      </c>
    </row>
    <row r="178">
      <c r="A178" s="48" t="s">
        <v>367</v>
      </c>
    </row>
    <row r="179">
      <c r="A179" s="49">
        <f>A182</f>
        <v>239625</v>
      </c>
    </row>
    <row r="180">
      <c r="A180" s="49">
        <v>2026.0</v>
      </c>
    </row>
    <row r="181">
      <c r="A181" s="49" t="s">
        <v>368</v>
      </c>
    </row>
    <row r="182">
      <c r="A182" s="49">
        <f>A185+B185+C185+D185+E185+F185+G185+H185</f>
        <v>239625</v>
      </c>
    </row>
    <row r="183">
      <c r="A183" s="33" t="s">
        <v>369</v>
      </c>
      <c r="B183" s="33" t="s">
        <v>370</v>
      </c>
      <c r="C183" s="33" t="s">
        <v>371</v>
      </c>
      <c r="D183" s="33" t="s">
        <v>372</v>
      </c>
      <c r="E183" s="33" t="s">
        <v>373</v>
      </c>
      <c r="F183" s="33" t="s">
        <v>374</v>
      </c>
      <c r="G183" s="33" t="s">
        <v>375</v>
      </c>
      <c r="H183" s="33" t="s">
        <v>376</v>
      </c>
      <c r="I183" s="103"/>
      <c r="J183" s="103"/>
    </row>
    <row r="184">
      <c r="A184" s="33" t="s">
        <v>377</v>
      </c>
      <c r="B184" s="33" t="s">
        <v>377</v>
      </c>
      <c r="C184" s="33" t="s">
        <v>377</v>
      </c>
      <c r="D184" s="33" t="s">
        <v>377</v>
      </c>
      <c r="E184" s="33" t="s">
        <v>377</v>
      </c>
      <c r="F184" s="33" t="s">
        <v>377</v>
      </c>
      <c r="G184" s="33" t="s">
        <v>377</v>
      </c>
      <c r="H184" s="33" t="s">
        <v>377</v>
      </c>
    </row>
    <row r="185">
      <c r="A185" s="50">
        <v>0.0</v>
      </c>
      <c r="B185" s="50">
        <f>47000+(33725*2)</f>
        <v>114450</v>
      </c>
      <c r="C185" s="50">
        <v>2000.0</v>
      </c>
      <c r="D185" s="50">
        <v>0.0</v>
      </c>
      <c r="E185" s="50">
        <v>0.0</v>
      </c>
      <c r="F185" s="50">
        <v>0.0</v>
      </c>
      <c r="G185" s="50">
        <f>4000+119175</f>
        <v>123175</v>
      </c>
      <c r="H185" s="50">
        <v>0.0</v>
      </c>
    </row>
    <row r="186">
      <c r="B186" s="31" t="s">
        <v>2231</v>
      </c>
      <c r="C186" s="31" t="s">
        <v>2331</v>
      </c>
      <c r="G186" s="31" t="s">
        <v>2320</v>
      </c>
    </row>
    <row r="187">
      <c r="B187" s="31" t="s">
        <v>826</v>
      </c>
      <c r="C187" s="31" t="s">
        <v>826</v>
      </c>
      <c r="G187" s="31" t="s">
        <v>704</v>
      </c>
    </row>
    <row r="188">
      <c r="B188" s="76" t="s">
        <v>955</v>
      </c>
      <c r="G188" s="76" t="s">
        <v>958</v>
      </c>
    </row>
    <row r="189">
      <c r="B189" s="31" t="s">
        <v>2324</v>
      </c>
    </row>
    <row r="190">
      <c r="B190" s="31" t="s">
        <v>1831</v>
      </c>
    </row>
    <row r="191">
      <c r="B191" s="76" t="s">
        <v>955</v>
      </c>
    </row>
    <row r="193">
      <c r="A193" s="75"/>
      <c r="B193" s="75"/>
      <c r="C193" s="75"/>
      <c r="D193" s="75"/>
      <c r="E193" s="105"/>
      <c r="F193" s="75"/>
      <c r="G193" s="75"/>
      <c r="H193" s="75"/>
    </row>
    <row r="194">
      <c r="A194" s="75"/>
      <c r="B194" s="75"/>
      <c r="C194" s="75"/>
      <c r="D194" s="75"/>
      <c r="E194" s="105"/>
      <c r="F194" s="75"/>
      <c r="G194" s="75"/>
      <c r="H194" s="75"/>
    </row>
    <row r="195">
      <c r="A195" s="75"/>
      <c r="B195" s="75"/>
      <c r="C195" s="75"/>
      <c r="D195" s="75"/>
      <c r="E195" s="105"/>
      <c r="F195" s="105"/>
      <c r="G195" s="75"/>
      <c r="H195" s="75"/>
    </row>
    <row r="196">
      <c r="A196" s="75"/>
      <c r="B196" s="105"/>
      <c r="C196" s="75"/>
      <c r="D196" s="75"/>
      <c r="E196" s="105"/>
      <c r="F196" s="105"/>
      <c r="G196" s="75"/>
      <c r="H196" s="75"/>
    </row>
    <row r="197">
      <c r="A197" s="75"/>
      <c r="B197" s="105"/>
      <c r="C197" s="75"/>
      <c r="D197" s="75"/>
      <c r="E197" s="105"/>
      <c r="F197" s="105"/>
      <c r="G197" s="75"/>
      <c r="H197" s="75"/>
    </row>
    <row r="198">
      <c r="A198" s="75"/>
      <c r="B198" s="105"/>
      <c r="C198" s="75"/>
      <c r="D198" s="75"/>
      <c r="E198" s="105"/>
      <c r="F198" s="105"/>
      <c r="G198" s="75"/>
      <c r="H198" s="75"/>
    </row>
    <row r="199">
      <c r="A199" s="75"/>
      <c r="B199" s="105"/>
      <c r="C199" s="75"/>
      <c r="D199" s="105"/>
      <c r="E199" s="105"/>
      <c r="F199" s="105"/>
      <c r="G199" s="75"/>
      <c r="H199" s="105"/>
    </row>
    <row r="200">
      <c r="A200" s="75"/>
      <c r="B200" s="105"/>
      <c r="C200" s="105"/>
      <c r="D200" s="105"/>
      <c r="E200" s="105"/>
      <c r="F200" s="105"/>
      <c r="G200" s="75"/>
      <c r="H200" s="105"/>
    </row>
    <row r="201">
      <c r="A201" s="105"/>
      <c r="B201" s="105"/>
      <c r="C201" s="105"/>
      <c r="D201" s="105"/>
      <c r="E201" s="105"/>
      <c r="F201" s="105"/>
      <c r="G201" s="75"/>
      <c r="H201" s="105"/>
    </row>
    <row r="202">
      <c r="A202" s="105"/>
      <c r="B202" s="105"/>
      <c r="C202" s="105"/>
      <c r="D202" s="105"/>
      <c r="E202" s="105"/>
      <c r="F202" s="105"/>
      <c r="G202" s="105"/>
      <c r="H202" s="105"/>
    </row>
    <row r="203">
      <c r="A203" s="105"/>
      <c r="B203" s="105"/>
      <c r="C203" s="105"/>
      <c r="D203" s="105"/>
      <c r="E203" s="105"/>
      <c r="F203" s="105"/>
      <c r="G203" s="105"/>
      <c r="H203" s="105"/>
    </row>
    <row r="204">
      <c r="A204" s="105"/>
      <c r="B204" s="105"/>
      <c r="C204" s="105"/>
      <c r="D204" s="105"/>
      <c r="E204" s="105"/>
      <c r="F204" s="105"/>
      <c r="G204" s="105"/>
      <c r="H204" s="105"/>
    </row>
  </sheetData>
  <mergeCells count="108">
    <mergeCell ref="N15:N16"/>
    <mergeCell ref="P15:P16"/>
    <mergeCell ref="R16:U16"/>
    <mergeCell ref="N17:N19"/>
    <mergeCell ref="P17:P19"/>
    <mergeCell ref="R19:S19"/>
    <mergeCell ref="N20:O20"/>
    <mergeCell ref="Q20:Q22"/>
    <mergeCell ref="R20:U20"/>
    <mergeCell ref="R22:S22"/>
    <mergeCell ref="K17:K18"/>
    <mergeCell ref="M17:M18"/>
    <mergeCell ref="H21:J21"/>
    <mergeCell ref="H23:H25"/>
    <mergeCell ref="J23:J25"/>
    <mergeCell ref="H26:H28"/>
    <mergeCell ref="H29:H31"/>
    <mergeCell ref="H41:H43"/>
    <mergeCell ref="H44:H46"/>
    <mergeCell ref="H47:H49"/>
    <mergeCell ref="H50:H52"/>
    <mergeCell ref="H53:H55"/>
    <mergeCell ref="J44:J46"/>
    <mergeCell ref="J47:J49"/>
    <mergeCell ref="J50:J52"/>
    <mergeCell ref="J53:J55"/>
    <mergeCell ref="J26:J28"/>
    <mergeCell ref="J29:J31"/>
    <mergeCell ref="H35:H37"/>
    <mergeCell ref="J35:J37"/>
    <mergeCell ref="H38:H40"/>
    <mergeCell ref="J38:J40"/>
    <mergeCell ref="J41:J43"/>
    <mergeCell ref="A60:F60"/>
    <mergeCell ref="A61:F61"/>
    <mergeCell ref="A62:F62"/>
    <mergeCell ref="A63:F63"/>
    <mergeCell ref="A78:H78"/>
    <mergeCell ref="A79:H79"/>
    <mergeCell ref="A80:H80"/>
    <mergeCell ref="A81:H81"/>
    <mergeCell ref="A88:H88"/>
    <mergeCell ref="A89:H89"/>
    <mergeCell ref="A90:H90"/>
    <mergeCell ref="A91:H91"/>
    <mergeCell ref="A92:H92"/>
    <mergeCell ref="A105:J105"/>
    <mergeCell ref="A106:J106"/>
    <mergeCell ref="A107:J107"/>
    <mergeCell ref="A108:J108"/>
    <mergeCell ref="A109:J109"/>
    <mergeCell ref="A123:J123"/>
    <mergeCell ref="A124:J124"/>
    <mergeCell ref="A125:J125"/>
    <mergeCell ref="A126:J126"/>
    <mergeCell ref="A127:J127"/>
    <mergeCell ref="A128:J128"/>
    <mergeCell ref="A146:H146"/>
    <mergeCell ref="A147:H147"/>
    <mergeCell ref="A148:H148"/>
    <mergeCell ref="A149:H149"/>
    <mergeCell ref="A179:H179"/>
    <mergeCell ref="A180:H180"/>
    <mergeCell ref="A181:H181"/>
    <mergeCell ref="A182:H182"/>
    <mergeCell ref="A150:H150"/>
    <mergeCell ref="A169:J169"/>
    <mergeCell ref="A170:J170"/>
    <mergeCell ref="A171:J171"/>
    <mergeCell ref="A172:J172"/>
    <mergeCell ref="A173:J173"/>
    <mergeCell ref="A178:H178"/>
    <mergeCell ref="A1:U1"/>
    <mergeCell ref="A2:U2"/>
    <mergeCell ref="A3:U3"/>
    <mergeCell ref="A4:U4"/>
    <mergeCell ref="K5:M5"/>
    <mergeCell ref="N5:P5"/>
    <mergeCell ref="Q5:U5"/>
    <mergeCell ref="H5:J5"/>
    <mergeCell ref="H6:J6"/>
    <mergeCell ref="K6:M6"/>
    <mergeCell ref="N6:P6"/>
    <mergeCell ref="Q6:U6"/>
    <mergeCell ref="K7:M7"/>
    <mergeCell ref="N7:P7"/>
    <mergeCell ref="P10:P11"/>
    <mergeCell ref="P12:P13"/>
    <mergeCell ref="M11:M13"/>
    <mergeCell ref="M14:M15"/>
    <mergeCell ref="K8:M8"/>
    <mergeCell ref="N8:P8"/>
    <mergeCell ref="Q8:Q19"/>
    <mergeCell ref="N10:N11"/>
    <mergeCell ref="K11:K13"/>
    <mergeCell ref="N12:N13"/>
    <mergeCell ref="K14:K15"/>
    <mergeCell ref="Q23:Q25"/>
    <mergeCell ref="R25:S25"/>
    <mergeCell ref="Q26:Q27"/>
    <mergeCell ref="R27:S27"/>
    <mergeCell ref="H32:H34"/>
    <mergeCell ref="J32:J34"/>
    <mergeCell ref="A40:E40"/>
    <mergeCell ref="A41:E41"/>
    <mergeCell ref="A42:E42"/>
    <mergeCell ref="A43:E43"/>
    <mergeCell ref="A44:E4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42.0"/>
    <col customWidth="1" min="3" max="3" width="32.13"/>
    <col customWidth="1" min="4" max="4" width="37.25"/>
    <col customWidth="1" min="5" max="5" width="32.5"/>
    <col customWidth="1" min="6" max="6" width="28.0"/>
    <col customWidth="1" min="7" max="7" width="29.75"/>
    <col customWidth="1" min="8" max="8" width="28.63"/>
    <col customWidth="1" min="9" max="9" width="30.25"/>
    <col customWidth="1" min="10" max="10" width="28.75"/>
    <col customWidth="1" min="11" max="11" width="25.63"/>
    <col customWidth="1" min="12" max="12" width="23.63"/>
    <col customWidth="1" min="13" max="13" width="22.63"/>
    <col customWidth="1" min="14" max="14" width="33.25"/>
    <col customWidth="1" min="16" max="16" width="20.75"/>
    <col customWidth="1" min="17" max="17" width="23.5"/>
    <col customWidth="1" min="19" max="19" width="14.88"/>
    <col customWidth="1" min="20" max="20" width="18.13"/>
    <col customWidth="1" min="25" max="25" width="29.75"/>
  </cols>
  <sheetData>
    <row r="1">
      <c r="A1" s="247" t="s">
        <v>2363</v>
      </c>
    </row>
    <row r="2">
      <c r="A2" s="248" t="s">
        <v>2364</v>
      </c>
    </row>
    <row r="3">
      <c r="A3" s="247" t="s">
        <v>338</v>
      </c>
    </row>
    <row r="4">
      <c r="A4" s="249" t="s">
        <v>2365</v>
      </c>
    </row>
    <row r="5">
      <c r="A5" s="250">
        <f>100000+B7+C7+E7+E12+F7+G7+H7+A51+B23+K7+M7+S7+P7+E17</f>
        <v>4298385</v>
      </c>
    </row>
    <row r="6">
      <c r="A6" s="33" t="s">
        <v>339</v>
      </c>
      <c r="B6" s="251" t="s">
        <v>341</v>
      </c>
      <c r="C6" s="248" t="s">
        <v>384</v>
      </c>
      <c r="D6" s="33" t="s">
        <v>344</v>
      </c>
      <c r="E6" s="251" t="s">
        <v>1633</v>
      </c>
      <c r="F6" s="33" t="s">
        <v>2366</v>
      </c>
      <c r="G6" s="251" t="s">
        <v>2367</v>
      </c>
      <c r="H6" s="33" t="s">
        <v>419</v>
      </c>
      <c r="K6" s="252" t="s">
        <v>1325</v>
      </c>
      <c r="M6" s="33" t="s">
        <v>2368</v>
      </c>
      <c r="P6" s="33" t="s">
        <v>421</v>
      </c>
      <c r="S6" s="253" t="s">
        <v>422</v>
      </c>
    </row>
    <row r="7">
      <c r="A7" s="31" t="s">
        <v>2369</v>
      </c>
      <c r="B7" s="250">
        <v>-160000.0</v>
      </c>
      <c r="C7" s="250">
        <v>70000.0</v>
      </c>
      <c r="D7" s="31" t="s">
        <v>2370</v>
      </c>
      <c r="E7" s="250">
        <v>1000.0</v>
      </c>
      <c r="F7" s="250">
        <v>14200.0</v>
      </c>
      <c r="G7" s="250">
        <v>-20000.0</v>
      </c>
      <c r="H7" s="250">
        <f>H9+I9+J9</f>
        <v>53500</v>
      </c>
      <c r="K7" s="254">
        <v>5000.0</v>
      </c>
      <c r="M7" s="250">
        <f>-100000+O10+O13+O17+O20+O25+O26+O22+O27+O24</f>
        <v>249600</v>
      </c>
      <c r="P7" s="250">
        <f>P9</f>
        <v>218000</v>
      </c>
      <c r="S7" s="250">
        <f>V14+V23+V33+V36+V38</f>
        <v>244250</v>
      </c>
      <c r="Y7" s="33"/>
    </row>
    <row r="8">
      <c r="A8" s="31" t="s">
        <v>2371</v>
      </c>
      <c r="B8" s="55" t="s">
        <v>349</v>
      </c>
      <c r="C8" s="31" t="s">
        <v>2372</v>
      </c>
      <c r="D8" s="31" t="s">
        <v>2373</v>
      </c>
      <c r="E8" s="31" t="s">
        <v>2374</v>
      </c>
      <c r="F8" s="31" t="s">
        <v>445</v>
      </c>
      <c r="G8" s="31" t="s">
        <v>431</v>
      </c>
      <c r="H8" s="44" t="s">
        <v>432</v>
      </c>
      <c r="I8" s="44" t="s">
        <v>433</v>
      </c>
      <c r="J8" s="44" t="s">
        <v>434</v>
      </c>
      <c r="K8" s="84" t="s">
        <v>1335</v>
      </c>
      <c r="L8" s="84" t="s">
        <v>133</v>
      </c>
      <c r="M8" s="33" t="s">
        <v>2375</v>
      </c>
      <c r="P8" s="150" t="s">
        <v>435</v>
      </c>
      <c r="S8" s="44" t="s">
        <v>436</v>
      </c>
      <c r="T8" s="252" t="s">
        <v>437</v>
      </c>
      <c r="U8" s="252" t="s">
        <v>438</v>
      </c>
      <c r="V8" s="252" t="s">
        <v>0</v>
      </c>
      <c r="W8" s="252" t="s">
        <v>439</v>
      </c>
      <c r="Y8" s="255"/>
    </row>
    <row r="9">
      <c r="A9" s="31" t="s">
        <v>2376</v>
      </c>
      <c r="B9" s="4" t="s">
        <v>26</v>
      </c>
      <c r="C9" s="31" t="s">
        <v>2377</v>
      </c>
      <c r="D9" s="31" t="s">
        <v>2378</v>
      </c>
      <c r="E9" s="31" t="s">
        <v>2379</v>
      </c>
      <c r="F9" s="31" t="s">
        <v>2380</v>
      </c>
      <c r="G9" s="31" t="s">
        <v>988</v>
      </c>
      <c r="H9" s="256">
        <f>J27+J30+J33+J36+J39+J42+J45+J48+J51+J54</f>
        <v>16500</v>
      </c>
      <c r="I9" s="256">
        <v>42000.0</v>
      </c>
      <c r="J9" s="256">
        <v>-5000.0</v>
      </c>
      <c r="K9" s="31" t="s">
        <v>1353</v>
      </c>
      <c r="L9" s="31" t="s">
        <v>2381</v>
      </c>
      <c r="M9" s="248" t="s">
        <v>456</v>
      </c>
      <c r="N9" s="248" t="s">
        <v>457</v>
      </c>
      <c r="O9" s="248" t="s">
        <v>0</v>
      </c>
      <c r="P9" s="257">
        <f>R11+R12+R14+R15+R17</f>
        <v>218000</v>
      </c>
      <c r="S9" s="258" t="s">
        <v>2382</v>
      </c>
      <c r="T9" s="259" t="s">
        <v>447</v>
      </c>
      <c r="U9" s="259">
        <v>10.0</v>
      </c>
      <c r="V9" s="259">
        <f>U9*1000</f>
        <v>10000</v>
      </c>
      <c r="W9" s="260">
        <f>U9*20</f>
        <v>200</v>
      </c>
    </row>
    <row r="10">
      <c r="A10" s="31" t="s">
        <v>2383</v>
      </c>
      <c r="B10" s="4" t="s">
        <v>42</v>
      </c>
      <c r="C10" s="31" t="s">
        <v>2384</v>
      </c>
      <c r="D10" s="31" t="s">
        <v>2385</v>
      </c>
      <c r="E10" s="31" t="s">
        <v>2386</v>
      </c>
      <c r="F10" s="31" t="s">
        <v>2387</v>
      </c>
      <c r="H10" s="25"/>
      <c r="I10" s="31" t="s">
        <v>2388</v>
      </c>
      <c r="J10" s="252" t="s">
        <v>455</v>
      </c>
      <c r="M10" s="71" t="s">
        <v>1539</v>
      </c>
      <c r="N10" s="4" t="s">
        <v>1006</v>
      </c>
      <c r="O10" s="71">
        <f>6000+5400</f>
        <v>11400</v>
      </c>
      <c r="P10" s="248" t="s">
        <v>456</v>
      </c>
      <c r="Q10" s="248" t="s">
        <v>457</v>
      </c>
      <c r="R10" s="248" t="s">
        <v>0</v>
      </c>
      <c r="T10" s="259" t="s">
        <v>500</v>
      </c>
      <c r="U10" s="259">
        <v>4.0</v>
      </c>
      <c r="V10" s="260">
        <f>U10*3000</f>
        <v>12000</v>
      </c>
      <c r="W10" s="260">
        <f>U10*40</f>
        <v>160</v>
      </c>
    </row>
    <row r="11">
      <c r="A11" s="31" t="s">
        <v>862</v>
      </c>
      <c r="B11" s="4" t="s">
        <v>56</v>
      </c>
      <c r="C11" s="31" t="s">
        <v>2389</v>
      </c>
      <c r="D11" s="31" t="s">
        <v>2390</v>
      </c>
      <c r="E11" s="33" t="s">
        <v>400</v>
      </c>
      <c r="F11" s="31" t="s">
        <v>1463</v>
      </c>
      <c r="I11" s="31" t="s">
        <v>1018</v>
      </c>
      <c r="J11" s="31" t="s">
        <v>2391</v>
      </c>
      <c r="N11" s="4" t="s">
        <v>531</v>
      </c>
      <c r="P11" s="71" t="s">
        <v>1342</v>
      </c>
      <c r="Q11" s="71" t="s">
        <v>469</v>
      </c>
      <c r="R11" s="71">
        <v>5000.0</v>
      </c>
      <c r="T11" s="259" t="s">
        <v>590</v>
      </c>
      <c r="U11" s="259">
        <v>1.0</v>
      </c>
      <c r="V11" s="260">
        <f>U11*5000</f>
        <v>5000</v>
      </c>
      <c r="W11" s="260">
        <f>U11*100</f>
        <v>100</v>
      </c>
    </row>
    <row r="12">
      <c r="A12" s="31" t="s">
        <v>2392</v>
      </c>
      <c r="B12" s="4" t="s">
        <v>66</v>
      </c>
      <c r="C12" s="31" t="s">
        <v>2393</v>
      </c>
      <c r="D12" s="31" t="s">
        <v>2394</v>
      </c>
      <c r="E12" s="250">
        <v>-1000.0</v>
      </c>
      <c r="F12" s="31" t="s">
        <v>1473</v>
      </c>
      <c r="I12" s="31" t="s">
        <v>2395</v>
      </c>
      <c r="J12" s="31" t="s">
        <v>2396</v>
      </c>
      <c r="N12" s="33" t="s">
        <v>498</v>
      </c>
      <c r="P12" s="71" t="s">
        <v>2397</v>
      </c>
      <c r="Q12" s="4" t="s">
        <v>543</v>
      </c>
      <c r="R12" s="71">
        <v>4000.0</v>
      </c>
      <c r="T12" s="259" t="s">
        <v>533</v>
      </c>
    </row>
    <row r="13">
      <c r="A13" s="31" t="s">
        <v>2398</v>
      </c>
      <c r="B13" s="4" t="s">
        <v>75</v>
      </c>
      <c r="C13" s="31" t="s">
        <v>2242</v>
      </c>
      <c r="D13" s="31" t="s">
        <v>2399</v>
      </c>
      <c r="E13" s="31" t="s">
        <v>2400</v>
      </c>
      <c r="F13" s="31" t="s">
        <v>2401</v>
      </c>
      <c r="I13" s="31" t="s">
        <v>2402</v>
      </c>
      <c r="J13" s="31" t="s">
        <v>2403</v>
      </c>
      <c r="M13" s="71" t="s">
        <v>2404</v>
      </c>
      <c r="N13" s="4" t="s">
        <v>1040</v>
      </c>
      <c r="O13" s="71">
        <f>5000+5400</f>
        <v>10400</v>
      </c>
      <c r="Q13" s="71" t="s">
        <v>572</v>
      </c>
      <c r="T13" s="259" t="s">
        <v>657</v>
      </c>
      <c r="U13" s="259">
        <v>1.5</v>
      </c>
      <c r="V13" s="260">
        <f>U13*1500</f>
        <v>2250</v>
      </c>
      <c r="W13" s="260">
        <f>U13*40</f>
        <v>60</v>
      </c>
    </row>
    <row r="14">
      <c r="A14" s="31" t="s">
        <v>2405</v>
      </c>
      <c r="B14" s="4" t="s">
        <v>81</v>
      </c>
      <c r="C14" s="31" t="s">
        <v>2406</v>
      </c>
      <c r="D14" s="31" t="s">
        <v>2407</v>
      </c>
      <c r="E14" s="31" t="s">
        <v>2408</v>
      </c>
      <c r="F14" s="31" t="s">
        <v>1443</v>
      </c>
      <c r="I14" s="31" t="s">
        <v>2409</v>
      </c>
      <c r="J14" s="31" t="s">
        <v>2410</v>
      </c>
      <c r="N14" s="4" t="s">
        <v>1990</v>
      </c>
      <c r="P14" s="71" t="s">
        <v>2411</v>
      </c>
      <c r="Q14" s="71" t="s">
        <v>572</v>
      </c>
      <c r="R14" s="71">
        <v>1000.0</v>
      </c>
      <c r="T14" s="247" t="s">
        <v>470</v>
      </c>
      <c r="V14" s="261">
        <f t="shared" ref="V14:W14" si="1">V9+V10+V11+V13</f>
        <v>29250</v>
      </c>
      <c r="W14" s="261">
        <f t="shared" si="1"/>
        <v>520</v>
      </c>
    </row>
    <row r="15">
      <c r="A15" s="31" t="s">
        <v>2412</v>
      </c>
      <c r="B15" s="4" t="s">
        <v>88</v>
      </c>
      <c r="C15" s="31" t="s">
        <v>2413</v>
      </c>
      <c r="D15" s="31" t="s">
        <v>2414</v>
      </c>
      <c r="F15" s="31" t="s">
        <v>1480</v>
      </c>
      <c r="I15" s="31" t="s">
        <v>1445</v>
      </c>
      <c r="J15" s="31" t="s">
        <v>2415</v>
      </c>
      <c r="N15" s="4" t="s">
        <v>489</v>
      </c>
      <c r="P15" s="71" t="s">
        <v>2416</v>
      </c>
      <c r="Q15" s="71" t="s">
        <v>469</v>
      </c>
      <c r="R15" s="71">
        <v>8000.0</v>
      </c>
      <c r="S15" s="258" t="s">
        <v>2417</v>
      </c>
      <c r="T15" s="262" t="s">
        <v>447</v>
      </c>
      <c r="U15" s="262">
        <v>3.0</v>
      </c>
      <c r="V15" s="262">
        <f>U15*1000</f>
        <v>3000</v>
      </c>
      <c r="W15" s="260">
        <f>U15*20</f>
        <v>60</v>
      </c>
      <c r="X15" s="50"/>
    </row>
    <row r="16">
      <c r="A16" s="31" t="s">
        <v>2418</v>
      </c>
      <c r="B16" s="4" t="s">
        <v>95</v>
      </c>
      <c r="C16" s="31" t="s">
        <v>2419</v>
      </c>
      <c r="D16" s="31" t="s">
        <v>2420</v>
      </c>
      <c r="E16" s="33" t="s">
        <v>102</v>
      </c>
      <c r="F16" s="31" t="s">
        <v>569</v>
      </c>
      <c r="I16" s="31" t="s">
        <v>2421</v>
      </c>
      <c r="J16" s="31" t="s">
        <v>2422</v>
      </c>
      <c r="N16" s="33" t="s">
        <v>498</v>
      </c>
      <c r="Q16" s="4" t="s">
        <v>1963</v>
      </c>
      <c r="T16" s="262" t="s">
        <v>523</v>
      </c>
      <c r="U16" s="262">
        <v>0.5</v>
      </c>
      <c r="V16" s="263">
        <f>U16*2000</f>
        <v>1000</v>
      </c>
      <c r="W16" s="260">
        <f t="shared" ref="W16:W17" si="2">U16*40</f>
        <v>20</v>
      </c>
      <c r="X16" s="33"/>
      <c r="Y16" s="33"/>
      <c r="Z16" s="33"/>
    </row>
    <row r="17">
      <c r="A17" s="31" t="s">
        <v>2423</v>
      </c>
      <c r="B17" s="55" t="s">
        <v>48</v>
      </c>
      <c r="C17" s="31" t="s">
        <v>2235</v>
      </c>
      <c r="D17" s="31" t="s">
        <v>2424</v>
      </c>
      <c r="E17" s="254">
        <v>100000.0</v>
      </c>
      <c r="F17" s="31" t="s">
        <v>1732</v>
      </c>
      <c r="I17" s="31" t="s">
        <v>1044</v>
      </c>
      <c r="J17" s="31" t="s">
        <v>2425</v>
      </c>
      <c r="M17" s="71" t="s">
        <v>2411</v>
      </c>
      <c r="N17" s="4" t="s">
        <v>1040</v>
      </c>
      <c r="O17" s="71">
        <f>3000+5400</f>
        <v>8400</v>
      </c>
      <c r="P17" s="33" t="s">
        <v>578</v>
      </c>
      <c r="R17" s="4">
        <v>200000.0</v>
      </c>
      <c r="T17" s="262" t="s">
        <v>500</v>
      </c>
      <c r="U17" s="262">
        <v>0.5</v>
      </c>
      <c r="V17" s="263">
        <f>U17*3000</f>
        <v>1500</v>
      </c>
      <c r="W17" s="260">
        <f t="shared" si="2"/>
        <v>20</v>
      </c>
    </row>
    <row r="18">
      <c r="A18" s="31" t="s">
        <v>2426</v>
      </c>
      <c r="B18" s="4" t="s">
        <v>60</v>
      </c>
      <c r="C18" s="31" t="s">
        <v>2427</v>
      </c>
      <c r="D18" s="31" t="s">
        <v>2428</v>
      </c>
      <c r="E18" s="31" t="s">
        <v>2429</v>
      </c>
      <c r="F18" s="31" t="s">
        <v>2417</v>
      </c>
      <c r="I18" s="31" t="s">
        <v>1069</v>
      </c>
      <c r="J18" s="31" t="s">
        <v>2430</v>
      </c>
      <c r="N18" s="4" t="s">
        <v>467</v>
      </c>
      <c r="P18" s="71"/>
      <c r="Q18" s="71"/>
      <c r="R18" s="71"/>
      <c r="T18" s="259" t="s">
        <v>590</v>
      </c>
      <c r="U18" s="259">
        <v>3.5</v>
      </c>
      <c r="V18" s="260">
        <f>U18*5000</f>
        <v>17500</v>
      </c>
      <c r="W18" s="260">
        <f>U18*100</f>
        <v>350</v>
      </c>
    </row>
    <row r="19">
      <c r="A19" s="31" t="s">
        <v>2431</v>
      </c>
      <c r="B19" s="55" t="s">
        <v>69</v>
      </c>
      <c r="C19" s="31" t="s">
        <v>983</v>
      </c>
      <c r="D19" s="31" t="s">
        <v>2432</v>
      </c>
      <c r="F19" s="31" t="s">
        <v>569</v>
      </c>
      <c r="I19" s="31" t="s">
        <v>1050</v>
      </c>
      <c r="J19" s="31" t="s">
        <v>2433</v>
      </c>
      <c r="N19" s="33" t="s">
        <v>498</v>
      </c>
      <c r="P19" s="71"/>
      <c r="Q19" s="71"/>
      <c r="R19" s="71"/>
      <c r="T19" s="259" t="s">
        <v>654</v>
      </c>
      <c r="U19" s="259">
        <v>1.5</v>
      </c>
      <c r="V19" s="260">
        <f t="shared" ref="V19:V20" si="3">U19*8000</f>
        <v>12000</v>
      </c>
      <c r="W19" s="260">
        <f t="shared" ref="W19:W20" si="4">U19*80</f>
        <v>120</v>
      </c>
    </row>
    <row r="20">
      <c r="A20" s="31" t="s">
        <v>2434</v>
      </c>
      <c r="B20" s="4" t="s">
        <v>60</v>
      </c>
      <c r="C20" s="31" t="s">
        <v>2435</v>
      </c>
      <c r="F20" s="31" t="s">
        <v>1480</v>
      </c>
      <c r="I20" s="31" t="s">
        <v>2436</v>
      </c>
      <c r="M20" s="71" t="s">
        <v>2437</v>
      </c>
      <c r="N20" s="4" t="s">
        <v>1040</v>
      </c>
      <c r="O20" s="71">
        <v>3000.0</v>
      </c>
      <c r="P20" s="71"/>
      <c r="Q20" s="71"/>
      <c r="R20" s="71"/>
      <c r="T20" s="259" t="s">
        <v>511</v>
      </c>
      <c r="U20" s="259">
        <v>0.5</v>
      </c>
      <c r="V20" s="260">
        <f t="shared" si="3"/>
        <v>4000</v>
      </c>
      <c r="W20" s="260">
        <f t="shared" si="4"/>
        <v>40</v>
      </c>
    </row>
    <row r="21">
      <c r="A21" s="31" t="s">
        <v>2438</v>
      </c>
      <c r="C21" s="31" t="s">
        <v>1461</v>
      </c>
      <c r="F21" s="31" t="s">
        <v>2439</v>
      </c>
      <c r="I21" s="31" t="s">
        <v>2440</v>
      </c>
      <c r="N21" s="4" t="s">
        <v>467</v>
      </c>
      <c r="P21" s="71"/>
      <c r="Q21" s="71"/>
      <c r="R21" s="71"/>
      <c r="T21" s="259" t="s">
        <v>533</v>
      </c>
    </row>
    <row r="22">
      <c r="A22" s="31" t="s">
        <v>2441</v>
      </c>
      <c r="B22" s="161" t="s">
        <v>2442</v>
      </c>
      <c r="C22" s="31" t="s">
        <v>2443</v>
      </c>
      <c r="F22" s="31" t="s">
        <v>495</v>
      </c>
      <c r="I22" s="31" t="s">
        <v>2444</v>
      </c>
      <c r="M22" s="71" t="s">
        <v>2445</v>
      </c>
      <c r="N22" s="33" t="s">
        <v>1437</v>
      </c>
      <c r="O22" s="71">
        <f>15000+6000</f>
        <v>21000</v>
      </c>
      <c r="P22" s="71"/>
      <c r="Q22" s="71"/>
      <c r="R22" s="71"/>
      <c r="T22" s="259" t="s">
        <v>661</v>
      </c>
      <c r="U22" s="259">
        <v>1.5</v>
      </c>
      <c r="V22" s="260">
        <f>U22*1500</f>
        <v>2250</v>
      </c>
      <c r="W22" s="260">
        <f>U22*40</f>
        <v>60</v>
      </c>
    </row>
    <row r="23">
      <c r="A23" s="31" t="s">
        <v>2446</v>
      </c>
      <c r="B23" s="256">
        <v>45000.0</v>
      </c>
      <c r="C23" s="31" t="s">
        <v>1454</v>
      </c>
      <c r="F23" s="31" t="s">
        <v>1732</v>
      </c>
      <c r="I23" s="31" t="s">
        <v>2447</v>
      </c>
      <c r="N23" s="33" t="s">
        <v>1446</v>
      </c>
      <c r="P23" s="71"/>
      <c r="Q23" s="71"/>
      <c r="R23" s="71"/>
      <c r="T23" s="247" t="s">
        <v>470</v>
      </c>
      <c r="V23" s="261">
        <f t="shared" ref="V23:W23" si="5">V15+V16+V17+V22+V18+V19+V20</f>
        <v>41250</v>
      </c>
      <c r="W23" s="261">
        <f t="shared" si="5"/>
        <v>670</v>
      </c>
    </row>
    <row r="24">
      <c r="A24" s="31" t="s">
        <v>2448</v>
      </c>
      <c r="B24" s="31" t="s">
        <v>2449</v>
      </c>
      <c r="C24" s="31" t="s">
        <v>2450</v>
      </c>
      <c r="F24" s="31" t="s">
        <v>2451</v>
      </c>
      <c r="M24" s="4" t="s">
        <v>2452</v>
      </c>
      <c r="N24" s="33" t="s">
        <v>498</v>
      </c>
      <c r="O24" s="4">
        <v>5400.0</v>
      </c>
      <c r="P24" s="4"/>
      <c r="Q24" s="4"/>
      <c r="R24" s="4"/>
      <c r="S24" s="258" t="s">
        <v>2453</v>
      </c>
      <c r="T24" s="259" t="s">
        <v>500</v>
      </c>
      <c r="U24" s="259">
        <v>7.0</v>
      </c>
      <c r="V24" s="260">
        <f>U24*3000</f>
        <v>21000</v>
      </c>
      <c r="W24" s="260">
        <f>U24*40</f>
        <v>280</v>
      </c>
    </row>
    <row r="25">
      <c r="A25" s="31" t="s">
        <v>2454</v>
      </c>
      <c r="B25" s="31" t="s">
        <v>2455</v>
      </c>
      <c r="C25" s="31" t="s">
        <v>1429</v>
      </c>
      <c r="F25" s="31" t="s">
        <v>475</v>
      </c>
      <c r="H25" s="256" t="s">
        <v>594</v>
      </c>
      <c r="M25" s="33" t="s">
        <v>2456</v>
      </c>
      <c r="O25" s="4">
        <v>100000.0</v>
      </c>
      <c r="P25" s="4"/>
      <c r="Q25" s="4"/>
      <c r="R25" s="4"/>
      <c r="T25" s="259" t="s">
        <v>590</v>
      </c>
      <c r="U25" s="259">
        <v>4.0</v>
      </c>
      <c r="V25" s="260">
        <f>U25*5000</f>
        <v>20000</v>
      </c>
      <c r="W25" s="260">
        <f>U25*100</f>
        <v>400</v>
      </c>
    </row>
    <row r="26">
      <c r="A26" s="31" t="s">
        <v>2457</v>
      </c>
      <c r="B26" s="31" t="s">
        <v>2458</v>
      </c>
      <c r="C26" s="31" t="s">
        <v>2459</v>
      </c>
      <c r="F26" s="31" t="s">
        <v>1654</v>
      </c>
      <c r="H26" s="264" t="s">
        <v>456</v>
      </c>
      <c r="I26" s="264" t="s">
        <v>457</v>
      </c>
      <c r="J26" s="264" t="s">
        <v>0</v>
      </c>
      <c r="M26" s="33" t="s">
        <v>167</v>
      </c>
      <c r="O26" s="4">
        <v>40000.0</v>
      </c>
      <c r="P26" s="4"/>
      <c r="Q26" s="4"/>
      <c r="R26" s="4"/>
      <c r="T26" s="259" t="s">
        <v>654</v>
      </c>
      <c r="U26" s="259">
        <v>8.0</v>
      </c>
      <c r="V26" s="260">
        <f t="shared" ref="V26:V27" si="6">U26*8000</f>
        <v>64000</v>
      </c>
      <c r="W26" s="260">
        <f t="shared" ref="W26:W27" si="7">U26*80</f>
        <v>640</v>
      </c>
    </row>
    <row r="27">
      <c r="A27" s="31" t="s">
        <v>2460</v>
      </c>
      <c r="B27" s="31" t="s">
        <v>2461</v>
      </c>
      <c r="C27" s="31" t="s">
        <v>2462</v>
      </c>
      <c r="F27" s="31" t="s">
        <v>1443</v>
      </c>
      <c r="H27" s="71" t="s">
        <v>1537</v>
      </c>
      <c r="I27" s="71" t="s">
        <v>631</v>
      </c>
      <c r="J27" s="71">
        <v>2000.0</v>
      </c>
      <c r="M27" s="33" t="s">
        <v>1063</v>
      </c>
      <c r="O27" s="33">
        <v>150000.0</v>
      </c>
      <c r="P27" s="33"/>
      <c r="Q27" s="33"/>
      <c r="R27" s="33"/>
      <c r="T27" s="259" t="s">
        <v>511</v>
      </c>
      <c r="U27" s="259">
        <v>5.0</v>
      </c>
      <c r="V27" s="260">
        <f t="shared" si="6"/>
        <v>40000</v>
      </c>
      <c r="W27" s="260">
        <f t="shared" si="7"/>
        <v>400</v>
      </c>
    </row>
    <row r="28">
      <c r="A28" s="31" t="s">
        <v>2463</v>
      </c>
      <c r="B28" s="31" t="s">
        <v>2464</v>
      </c>
      <c r="C28" s="31" t="s">
        <v>2465</v>
      </c>
      <c r="F28" s="31" t="s">
        <v>1665</v>
      </c>
      <c r="I28" s="71" t="s">
        <v>635</v>
      </c>
      <c r="T28" s="259" t="s">
        <v>533</v>
      </c>
    </row>
    <row r="29">
      <c r="A29" s="31" t="s">
        <v>2466</v>
      </c>
      <c r="C29" s="31" t="s">
        <v>2467</v>
      </c>
      <c r="F29" s="31" t="s">
        <v>569</v>
      </c>
      <c r="I29" s="71" t="s">
        <v>625</v>
      </c>
      <c r="T29" s="259" t="s">
        <v>552</v>
      </c>
      <c r="U29" s="259">
        <v>3.0</v>
      </c>
      <c r="V29" s="260">
        <f t="shared" ref="V29:V32" si="8">U29*1500</f>
        <v>4500</v>
      </c>
      <c r="W29" s="260">
        <f t="shared" ref="W29:W32" si="9">U29*40</f>
        <v>120</v>
      </c>
    </row>
    <row r="30">
      <c r="A30" s="31" t="s">
        <v>2468</v>
      </c>
      <c r="C30" s="31" t="s">
        <v>2469</v>
      </c>
      <c r="F30" s="31" t="s">
        <v>576</v>
      </c>
      <c r="H30" s="71" t="s">
        <v>2470</v>
      </c>
      <c r="I30" s="71" t="s">
        <v>631</v>
      </c>
      <c r="J30" s="71">
        <v>3000.0</v>
      </c>
      <c r="T30" s="259" t="s">
        <v>2471</v>
      </c>
      <c r="U30" s="259">
        <v>1.0</v>
      </c>
      <c r="V30" s="260">
        <f t="shared" si="8"/>
        <v>1500</v>
      </c>
      <c r="W30" s="260">
        <f t="shared" si="9"/>
        <v>40</v>
      </c>
    </row>
    <row r="31">
      <c r="C31" s="31" t="s">
        <v>2472</v>
      </c>
      <c r="F31" s="31" t="s">
        <v>2473</v>
      </c>
      <c r="I31" s="71" t="s">
        <v>2474</v>
      </c>
      <c r="T31" s="259" t="s">
        <v>657</v>
      </c>
      <c r="U31" s="259">
        <v>10.5</v>
      </c>
      <c r="V31" s="260">
        <f t="shared" si="8"/>
        <v>15750</v>
      </c>
      <c r="W31" s="260">
        <f t="shared" si="9"/>
        <v>420</v>
      </c>
    </row>
    <row r="32">
      <c r="F32" s="31" t="s">
        <v>2475</v>
      </c>
      <c r="I32" s="71" t="s">
        <v>652</v>
      </c>
      <c r="T32" s="259" t="s">
        <v>609</v>
      </c>
      <c r="U32" s="259">
        <v>1.5</v>
      </c>
      <c r="V32" s="260">
        <f t="shared" si="8"/>
        <v>2250</v>
      </c>
      <c r="W32" s="260">
        <f t="shared" si="9"/>
        <v>60</v>
      </c>
    </row>
    <row r="33">
      <c r="F33" s="31" t="s">
        <v>576</v>
      </c>
      <c r="H33" s="71" t="s">
        <v>2476</v>
      </c>
      <c r="I33" s="71" t="s">
        <v>650</v>
      </c>
      <c r="J33" s="71">
        <v>500.0</v>
      </c>
      <c r="T33" s="247" t="s">
        <v>470</v>
      </c>
      <c r="V33" s="261">
        <f t="shared" ref="V33:W33" si="10">V24+V25+V26+V29+V30+V31+V32+V27</f>
        <v>169000</v>
      </c>
      <c r="W33" s="261">
        <f t="shared" si="10"/>
        <v>2360</v>
      </c>
    </row>
    <row r="34">
      <c r="F34" s="31" t="s">
        <v>505</v>
      </c>
      <c r="I34" s="71" t="s">
        <v>635</v>
      </c>
      <c r="S34" s="265" t="s">
        <v>2437</v>
      </c>
      <c r="T34" s="259" t="s">
        <v>533</v>
      </c>
    </row>
    <row r="35">
      <c r="F35" s="31" t="s">
        <v>2477</v>
      </c>
      <c r="I35" s="71" t="s">
        <v>613</v>
      </c>
      <c r="T35" s="259" t="s">
        <v>661</v>
      </c>
      <c r="U35" s="259">
        <v>0.5</v>
      </c>
      <c r="V35" s="260">
        <f>U35*1500</f>
        <v>750</v>
      </c>
      <c r="W35" s="260">
        <f>U35*40</f>
        <v>20</v>
      </c>
    </row>
    <row r="36">
      <c r="F36" s="31" t="s">
        <v>569</v>
      </c>
      <c r="H36" s="71" t="s">
        <v>2478</v>
      </c>
      <c r="I36" s="71" t="s">
        <v>631</v>
      </c>
      <c r="J36" s="71">
        <v>1500.0</v>
      </c>
      <c r="T36" s="247" t="s">
        <v>470</v>
      </c>
      <c r="V36" s="261">
        <f t="shared" ref="V36:W36" si="11">V35</f>
        <v>750</v>
      </c>
      <c r="W36" s="261">
        <f t="shared" si="11"/>
        <v>20</v>
      </c>
    </row>
    <row r="37">
      <c r="F37" s="31" t="s">
        <v>505</v>
      </c>
      <c r="I37" s="71" t="s">
        <v>644</v>
      </c>
      <c r="S37" s="266" t="s">
        <v>2479</v>
      </c>
      <c r="T37" s="259" t="s">
        <v>511</v>
      </c>
      <c r="U37" s="259">
        <v>0.5</v>
      </c>
      <c r="V37" s="260">
        <f>U37*8000</f>
        <v>4000</v>
      </c>
      <c r="W37" s="260">
        <f>U37*80</f>
        <v>40</v>
      </c>
    </row>
    <row r="38">
      <c r="F38" s="31" t="s">
        <v>2480</v>
      </c>
      <c r="I38" s="71" t="s">
        <v>652</v>
      </c>
      <c r="T38" s="247" t="s">
        <v>470</v>
      </c>
      <c r="V38" s="261">
        <f t="shared" ref="V38:W38" si="12">V37</f>
        <v>4000</v>
      </c>
      <c r="W38" s="261">
        <f t="shared" si="12"/>
        <v>40</v>
      </c>
    </row>
    <row r="39">
      <c r="H39" s="71" t="s">
        <v>2445</v>
      </c>
      <c r="I39" s="71" t="s">
        <v>1087</v>
      </c>
      <c r="J39" s="71">
        <v>4000.0</v>
      </c>
    </row>
    <row r="40">
      <c r="I40" s="71" t="s">
        <v>635</v>
      </c>
    </row>
    <row r="41">
      <c r="I41" s="71" t="s">
        <v>625</v>
      </c>
    </row>
    <row r="42">
      <c r="H42" s="71" t="s">
        <v>2452</v>
      </c>
      <c r="I42" s="71" t="s">
        <v>650</v>
      </c>
      <c r="J42" s="71">
        <v>500.0</v>
      </c>
    </row>
    <row r="43">
      <c r="I43" s="71" t="s">
        <v>644</v>
      </c>
    </row>
    <row r="44">
      <c r="I44" s="71" t="s">
        <v>652</v>
      </c>
    </row>
    <row r="45">
      <c r="H45" s="71" t="s">
        <v>2481</v>
      </c>
      <c r="I45" s="71" t="s">
        <v>605</v>
      </c>
      <c r="J45" s="71">
        <v>2000.0</v>
      </c>
    </row>
    <row r="46">
      <c r="I46" s="71" t="s">
        <v>635</v>
      </c>
    </row>
    <row r="47">
      <c r="I47" s="71" t="s">
        <v>652</v>
      </c>
    </row>
    <row r="48">
      <c r="H48" s="71" t="s">
        <v>2482</v>
      </c>
      <c r="I48" s="71" t="s">
        <v>650</v>
      </c>
      <c r="J48" s="71">
        <v>500.0</v>
      </c>
    </row>
    <row r="49">
      <c r="I49" s="71" t="s">
        <v>644</v>
      </c>
    </row>
    <row r="50">
      <c r="A50" s="47" t="s">
        <v>366</v>
      </c>
      <c r="I50" s="71" t="s">
        <v>652</v>
      </c>
    </row>
    <row r="51">
      <c r="A51" s="47">
        <f>A53+A76+A92+A111+A131+A150+A182+A211+A236</f>
        <v>3378835</v>
      </c>
      <c r="H51" s="71" t="s">
        <v>2412</v>
      </c>
      <c r="I51" s="71" t="s">
        <v>631</v>
      </c>
      <c r="J51" s="71">
        <v>1500.0</v>
      </c>
    </row>
    <row r="52">
      <c r="A52" s="82" t="s">
        <v>1123</v>
      </c>
      <c r="I52" s="71" t="s">
        <v>644</v>
      </c>
    </row>
    <row r="53">
      <c r="A53" s="82">
        <v>54150.0</v>
      </c>
      <c r="I53" s="71" t="s">
        <v>652</v>
      </c>
      <c r="Y53" s="31"/>
    </row>
    <row r="54">
      <c r="A54" s="82">
        <v>2026.0</v>
      </c>
      <c r="H54" s="71" t="s">
        <v>2483</v>
      </c>
      <c r="I54" s="71" t="s">
        <v>631</v>
      </c>
      <c r="J54" s="71">
        <v>1000.0</v>
      </c>
      <c r="Y54" s="31"/>
    </row>
    <row r="55">
      <c r="A55" s="50" t="s">
        <v>665</v>
      </c>
      <c r="B55" s="50" t="s">
        <v>119</v>
      </c>
      <c r="C55" s="50" t="s">
        <v>142</v>
      </c>
      <c r="D55" s="50" t="s">
        <v>126</v>
      </c>
      <c r="E55" s="50" t="s">
        <v>130</v>
      </c>
      <c r="I55" s="71" t="s">
        <v>635</v>
      </c>
      <c r="Y55" s="31"/>
    </row>
    <row r="56">
      <c r="A56" s="84" t="s">
        <v>2039</v>
      </c>
      <c r="C56" s="84" t="s">
        <v>1128</v>
      </c>
      <c r="D56" s="84" t="s">
        <v>2484</v>
      </c>
      <c r="E56" s="84" t="s">
        <v>2485</v>
      </c>
      <c r="I56" s="71" t="s">
        <v>652</v>
      </c>
      <c r="Y56" s="31"/>
    </row>
    <row r="57">
      <c r="A57" s="31" t="s">
        <v>2486</v>
      </c>
      <c r="C57" s="31" t="s">
        <v>2487</v>
      </c>
      <c r="D57" s="31" t="s">
        <v>2488</v>
      </c>
      <c r="E57" s="31" t="s">
        <v>2489</v>
      </c>
    </row>
    <row r="58">
      <c r="A58" s="31" t="s">
        <v>673</v>
      </c>
      <c r="C58" s="31" t="s">
        <v>1759</v>
      </c>
      <c r="D58" s="31" t="s">
        <v>718</v>
      </c>
      <c r="E58" s="31" t="s">
        <v>671</v>
      </c>
    </row>
    <row r="59">
      <c r="A59" s="31" t="s">
        <v>678</v>
      </c>
      <c r="D59" s="31" t="s">
        <v>682</v>
      </c>
      <c r="E59" s="31" t="s">
        <v>678</v>
      </c>
    </row>
    <row r="60">
      <c r="A60" s="31" t="s">
        <v>1554</v>
      </c>
      <c r="D60" s="31" t="s">
        <v>1573</v>
      </c>
      <c r="E60" s="31" t="s">
        <v>2490</v>
      </c>
    </row>
    <row r="61">
      <c r="A61" s="31" t="s">
        <v>2491</v>
      </c>
      <c r="D61" s="31" t="s">
        <v>680</v>
      </c>
      <c r="E61" s="31" t="s">
        <v>1559</v>
      </c>
    </row>
    <row r="62">
      <c r="A62" s="31" t="s">
        <v>2492</v>
      </c>
      <c r="D62" s="31" t="s">
        <v>2493</v>
      </c>
      <c r="E62" s="267" t="s">
        <v>2494</v>
      </c>
    </row>
    <row r="63">
      <c r="A63" s="31" t="s">
        <v>718</v>
      </c>
      <c r="D63" s="31" t="s">
        <v>671</v>
      </c>
      <c r="E63" s="267" t="s">
        <v>677</v>
      </c>
    </row>
    <row r="64">
      <c r="A64" s="31" t="s">
        <v>2495</v>
      </c>
      <c r="D64" s="31" t="s">
        <v>680</v>
      </c>
    </row>
    <row r="65">
      <c r="A65" s="31" t="s">
        <v>685</v>
      </c>
      <c r="D65" s="31" t="s">
        <v>2496</v>
      </c>
    </row>
    <row r="66">
      <c r="A66" s="31" t="s">
        <v>1545</v>
      </c>
      <c r="D66" s="31" t="s">
        <v>677</v>
      </c>
    </row>
    <row r="67">
      <c r="D67" s="31" t="s">
        <v>2490</v>
      </c>
    </row>
    <row r="68">
      <c r="D68" s="31" t="s">
        <v>678</v>
      </c>
    </row>
    <row r="69">
      <c r="D69" s="31" t="s">
        <v>2497</v>
      </c>
    </row>
    <row r="70">
      <c r="D70" s="31" t="s">
        <v>680</v>
      </c>
    </row>
    <row r="71">
      <c r="D71" s="31" t="s">
        <v>2498</v>
      </c>
    </row>
    <row r="72">
      <c r="D72" s="31" t="s">
        <v>1759</v>
      </c>
    </row>
    <row r="73">
      <c r="D73" s="31" t="s">
        <v>680</v>
      </c>
    </row>
    <row r="74">
      <c r="A74" s="85"/>
    </row>
    <row r="75">
      <c r="A75" s="86" t="s">
        <v>686</v>
      </c>
    </row>
    <row r="76">
      <c r="A76" s="86">
        <v>42660.0</v>
      </c>
    </row>
    <row r="77">
      <c r="A77" s="87">
        <v>2026.0</v>
      </c>
    </row>
    <row r="78">
      <c r="A78" s="50" t="s">
        <v>687</v>
      </c>
      <c r="B78" s="50" t="s">
        <v>688</v>
      </c>
      <c r="C78" s="50" t="s">
        <v>689</v>
      </c>
      <c r="D78" s="50" t="s">
        <v>690</v>
      </c>
      <c r="E78" s="50" t="s">
        <v>691</v>
      </c>
      <c r="F78" s="50" t="s">
        <v>692</v>
      </c>
    </row>
    <row r="79">
      <c r="A79" s="84" t="s">
        <v>1127</v>
      </c>
      <c r="B79" s="84" t="s">
        <v>2499</v>
      </c>
      <c r="C79" s="84" t="s">
        <v>2037</v>
      </c>
      <c r="D79" s="84" t="s">
        <v>2500</v>
      </c>
      <c r="E79" s="84" t="s">
        <v>2501</v>
      </c>
      <c r="F79" s="84" t="s">
        <v>2502</v>
      </c>
    </row>
    <row r="80">
      <c r="A80" s="31" t="s">
        <v>1596</v>
      </c>
      <c r="B80" s="31" t="s">
        <v>2489</v>
      </c>
      <c r="C80" s="31" t="s">
        <v>2488</v>
      </c>
      <c r="D80" s="31" t="s">
        <v>2486</v>
      </c>
      <c r="E80" s="31" t="s">
        <v>2503</v>
      </c>
      <c r="F80" s="31" t="s">
        <v>2504</v>
      </c>
    </row>
    <row r="81">
      <c r="A81" s="31" t="s">
        <v>703</v>
      </c>
      <c r="B81" s="31" t="s">
        <v>2505</v>
      </c>
      <c r="C81" s="31" t="s">
        <v>2506</v>
      </c>
      <c r="D81" s="31" t="s">
        <v>2507</v>
      </c>
      <c r="E81" s="31" t="s">
        <v>703</v>
      </c>
      <c r="F81" s="31" t="s">
        <v>2508</v>
      </c>
    </row>
    <row r="82">
      <c r="A82" s="31" t="s">
        <v>1133</v>
      </c>
      <c r="B82" s="31" t="s">
        <v>2492</v>
      </c>
      <c r="C82" s="31" t="s">
        <v>2509</v>
      </c>
      <c r="D82" s="31" t="s">
        <v>2490</v>
      </c>
      <c r="E82" s="31" t="s">
        <v>1769</v>
      </c>
      <c r="F82" s="31" t="s">
        <v>2510</v>
      </c>
    </row>
    <row r="83">
      <c r="B83" s="31" t="s">
        <v>1784</v>
      </c>
      <c r="C83" s="31" t="s">
        <v>703</v>
      </c>
      <c r="D83" s="31" t="s">
        <v>1134</v>
      </c>
      <c r="E83" s="31" t="s">
        <v>2511</v>
      </c>
      <c r="F83" s="31" t="s">
        <v>676</v>
      </c>
    </row>
    <row r="84">
      <c r="B84" s="31" t="s">
        <v>2512</v>
      </c>
      <c r="C84" s="31" t="s">
        <v>2513</v>
      </c>
      <c r="E84" s="31" t="s">
        <v>703</v>
      </c>
      <c r="F84" s="31" t="s">
        <v>713</v>
      </c>
    </row>
    <row r="85">
      <c r="B85" s="31" t="s">
        <v>703</v>
      </c>
      <c r="C85" s="31" t="s">
        <v>703</v>
      </c>
      <c r="E85" s="31" t="s">
        <v>1556</v>
      </c>
      <c r="F85" s="31" t="s">
        <v>2514</v>
      </c>
    </row>
    <row r="86">
      <c r="B86" s="31" t="s">
        <v>2510</v>
      </c>
      <c r="C86" s="31" t="s">
        <v>676</v>
      </c>
      <c r="E86" s="31" t="s">
        <v>1137</v>
      </c>
      <c r="F86" s="31" t="s">
        <v>2515</v>
      </c>
    </row>
    <row r="87">
      <c r="B87" s="31" t="s">
        <v>676</v>
      </c>
      <c r="C87" s="31" t="s">
        <v>2516</v>
      </c>
      <c r="E87" s="31" t="s">
        <v>1769</v>
      </c>
      <c r="F87" s="31" t="s">
        <v>713</v>
      </c>
    </row>
    <row r="88">
      <c r="C88" s="31" t="s">
        <v>379</v>
      </c>
    </row>
    <row r="89">
      <c r="C89" s="31" t="s">
        <v>676</v>
      </c>
    </row>
    <row r="90">
      <c r="A90" s="85"/>
    </row>
    <row r="91">
      <c r="A91" s="22" t="s">
        <v>1148</v>
      </c>
    </row>
    <row r="92">
      <c r="A92" s="22">
        <v>118800.0</v>
      </c>
    </row>
    <row r="93">
      <c r="A93" s="19">
        <v>2026.0</v>
      </c>
    </row>
    <row r="94">
      <c r="A94" s="88" t="s">
        <v>2517</v>
      </c>
    </row>
    <row r="95">
      <c r="A95" s="50" t="s">
        <v>733</v>
      </c>
      <c r="B95" s="50" t="s">
        <v>191</v>
      </c>
      <c r="C95" s="50" t="s">
        <v>734</v>
      </c>
      <c r="D95" s="50" t="s">
        <v>735</v>
      </c>
      <c r="E95" s="50" t="s">
        <v>187</v>
      </c>
      <c r="F95" s="50" t="s">
        <v>736</v>
      </c>
      <c r="G95" s="50" t="s">
        <v>179</v>
      </c>
      <c r="H95" s="50" t="s">
        <v>737</v>
      </c>
    </row>
    <row r="96">
      <c r="A96" s="76" t="s">
        <v>2518</v>
      </c>
      <c r="B96" s="76" t="s">
        <v>2519</v>
      </c>
      <c r="C96" s="76" t="s">
        <v>2520</v>
      </c>
      <c r="D96" s="76" t="s">
        <v>2521</v>
      </c>
      <c r="E96" s="76" t="s">
        <v>2522</v>
      </c>
      <c r="F96" s="76" t="s">
        <v>1776</v>
      </c>
      <c r="G96" s="76" t="s">
        <v>377</v>
      </c>
      <c r="H96" s="76" t="s">
        <v>2523</v>
      </c>
    </row>
    <row r="97">
      <c r="A97" s="31" t="s">
        <v>2524</v>
      </c>
      <c r="B97" s="31" t="s">
        <v>2525</v>
      </c>
      <c r="C97" s="31" t="s">
        <v>2526</v>
      </c>
      <c r="D97" s="31" t="s">
        <v>2382</v>
      </c>
      <c r="E97" s="31" t="s">
        <v>2527</v>
      </c>
      <c r="F97" s="31" t="s">
        <v>2528</v>
      </c>
      <c r="H97" s="31" t="s">
        <v>2387</v>
      </c>
    </row>
    <row r="98">
      <c r="A98" s="31" t="s">
        <v>673</v>
      </c>
      <c r="B98" s="31" t="s">
        <v>704</v>
      </c>
      <c r="C98" s="31" t="s">
        <v>673</v>
      </c>
      <c r="D98" s="31" t="s">
        <v>702</v>
      </c>
      <c r="E98" s="31" t="s">
        <v>855</v>
      </c>
      <c r="F98" s="31" t="s">
        <v>767</v>
      </c>
      <c r="H98" s="31" t="s">
        <v>1813</v>
      </c>
    </row>
    <row r="99">
      <c r="A99" s="31" t="s">
        <v>2529</v>
      </c>
      <c r="B99" s="31" t="s">
        <v>1586</v>
      </c>
      <c r="C99" s="31" t="s">
        <v>2530</v>
      </c>
      <c r="D99" s="31" t="s">
        <v>2531</v>
      </c>
      <c r="E99" s="31" t="s">
        <v>644</v>
      </c>
      <c r="H99" s="31" t="s">
        <v>2532</v>
      </c>
    </row>
    <row r="100">
      <c r="A100" s="31" t="s">
        <v>673</v>
      </c>
      <c r="B100" s="31" t="s">
        <v>773</v>
      </c>
      <c r="C100" s="31" t="s">
        <v>907</v>
      </c>
      <c r="D100" s="31" t="s">
        <v>2533</v>
      </c>
      <c r="E100" s="31" t="s">
        <v>782</v>
      </c>
      <c r="H100" s="31" t="s">
        <v>2534</v>
      </c>
    </row>
    <row r="101">
      <c r="C101" s="31" t="s">
        <v>2535</v>
      </c>
      <c r="D101" s="31" t="s">
        <v>2536</v>
      </c>
      <c r="H101" s="31" t="s">
        <v>765</v>
      </c>
    </row>
    <row r="102">
      <c r="C102" s="31" t="s">
        <v>1586</v>
      </c>
      <c r="D102" s="31" t="s">
        <v>1606</v>
      </c>
      <c r="H102" s="31" t="s">
        <v>2531</v>
      </c>
    </row>
    <row r="103">
      <c r="C103" s="31" t="s">
        <v>1456</v>
      </c>
      <c r="D103" s="31" t="s">
        <v>2531</v>
      </c>
      <c r="H103" s="31" t="s">
        <v>769</v>
      </c>
    </row>
    <row r="104">
      <c r="C104" s="31" t="s">
        <v>767</v>
      </c>
      <c r="D104" s="31" t="s">
        <v>1586</v>
      </c>
      <c r="H104" s="31" t="s">
        <v>2537</v>
      </c>
    </row>
    <row r="105">
      <c r="C105" s="31" t="s">
        <v>1164</v>
      </c>
      <c r="H105" s="31" t="s">
        <v>703</v>
      </c>
    </row>
    <row r="106">
      <c r="C106" s="31" t="s">
        <v>2538</v>
      </c>
      <c r="H106" s="31" t="s">
        <v>2539</v>
      </c>
    </row>
    <row r="107">
      <c r="C107" s="31" t="s">
        <v>779</v>
      </c>
      <c r="H107" s="31" t="s">
        <v>703</v>
      </c>
    </row>
    <row r="110">
      <c r="A110" s="90" t="s">
        <v>2540</v>
      </c>
    </row>
    <row r="111">
      <c r="A111" s="90">
        <f>-160000+A115+45000</f>
        <v>583275</v>
      </c>
    </row>
    <row r="112">
      <c r="A112" s="90">
        <v>2026.0</v>
      </c>
    </row>
    <row r="113">
      <c r="A113" s="268" t="s">
        <v>2541</v>
      </c>
    </row>
    <row r="114">
      <c r="A114" s="90" t="s">
        <v>2542</v>
      </c>
    </row>
    <row r="115">
      <c r="A115" s="90">
        <f>A118+B118+C118+D118+E118+F118+G118+H118</f>
        <v>698275</v>
      </c>
    </row>
    <row r="116">
      <c r="A116" s="50" t="s">
        <v>789</v>
      </c>
      <c r="B116" s="50" t="s">
        <v>790</v>
      </c>
      <c r="C116" s="50" t="s">
        <v>215</v>
      </c>
      <c r="D116" s="50" t="s">
        <v>791</v>
      </c>
      <c r="E116" s="50" t="s">
        <v>202</v>
      </c>
      <c r="F116" s="50" t="s">
        <v>792</v>
      </c>
      <c r="G116" s="50" t="s">
        <v>793</v>
      </c>
      <c r="H116" s="50" t="s">
        <v>205</v>
      </c>
    </row>
    <row r="117">
      <c r="A117" s="33" t="s">
        <v>377</v>
      </c>
      <c r="B117" s="33" t="s">
        <v>693</v>
      </c>
      <c r="C117" s="33" t="s">
        <v>693</v>
      </c>
      <c r="D117" s="33" t="s">
        <v>693</v>
      </c>
      <c r="E117" s="33" t="s">
        <v>693</v>
      </c>
      <c r="F117" s="33" t="s">
        <v>693</v>
      </c>
      <c r="G117" s="33" t="s">
        <v>377</v>
      </c>
      <c r="H117" s="33" t="s">
        <v>693</v>
      </c>
    </row>
    <row r="118">
      <c r="A118" s="50">
        <v>92000.0</v>
      </c>
      <c r="B118" s="50">
        <v>78000.0</v>
      </c>
      <c r="C118" s="50">
        <v>96675.0</v>
      </c>
      <c r="D118" s="50">
        <v>71500.0</v>
      </c>
      <c r="E118" s="50">
        <v>112150.0</v>
      </c>
      <c r="F118" s="50">
        <v>73750.0</v>
      </c>
      <c r="G118" s="50">
        <v>82750.0</v>
      </c>
      <c r="H118" s="50">
        <v>91450.0</v>
      </c>
    </row>
    <row r="119">
      <c r="A119" s="31" t="s">
        <v>2489</v>
      </c>
      <c r="B119" s="31" t="s">
        <v>1806</v>
      </c>
      <c r="C119" s="31" t="s">
        <v>2503</v>
      </c>
      <c r="D119" s="31" t="s">
        <v>1539</v>
      </c>
      <c r="E119" s="31" t="s">
        <v>2543</v>
      </c>
      <c r="F119" s="31" t="s">
        <v>2544</v>
      </c>
      <c r="G119" s="31" t="s">
        <v>2545</v>
      </c>
      <c r="H119" s="31" t="s">
        <v>2546</v>
      </c>
    </row>
    <row r="120">
      <c r="A120" s="31" t="s">
        <v>2547</v>
      </c>
      <c r="B120" s="31" t="s">
        <v>2547</v>
      </c>
      <c r="C120" s="31" t="s">
        <v>2547</v>
      </c>
      <c r="D120" s="31" t="s">
        <v>2547</v>
      </c>
      <c r="E120" s="31" t="s">
        <v>2547</v>
      </c>
      <c r="F120" s="31" t="s">
        <v>2547</v>
      </c>
      <c r="G120" s="31" t="s">
        <v>2547</v>
      </c>
      <c r="H120" s="31" t="s">
        <v>2547</v>
      </c>
    </row>
    <row r="121">
      <c r="A121" s="31" t="s">
        <v>2548</v>
      </c>
      <c r="B121" s="31" t="s">
        <v>2549</v>
      </c>
      <c r="C121" s="31" t="s">
        <v>2550</v>
      </c>
      <c r="D121" s="31" t="s">
        <v>2551</v>
      </c>
      <c r="E121" s="31" t="s">
        <v>2552</v>
      </c>
      <c r="F121" s="31" t="s">
        <v>805</v>
      </c>
      <c r="G121" s="31" t="s">
        <v>806</v>
      </c>
      <c r="H121" s="31" t="s">
        <v>807</v>
      </c>
    </row>
    <row r="122">
      <c r="A122" s="31" t="s">
        <v>1202</v>
      </c>
      <c r="B122" s="31" t="s">
        <v>1202</v>
      </c>
      <c r="C122" s="31" t="s">
        <v>2492</v>
      </c>
      <c r="D122" s="31" t="s">
        <v>1202</v>
      </c>
      <c r="E122" s="31" t="s">
        <v>2511</v>
      </c>
      <c r="F122" s="31" t="s">
        <v>806</v>
      </c>
      <c r="G122" s="31" t="s">
        <v>2553</v>
      </c>
      <c r="H122" s="31" t="s">
        <v>2554</v>
      </c>
    </row>
    <row r="123">
      <c r="A123" s="31" t="s">
        <v>2555</v>
      </c>
      <c r="B123" s="31" t="s">
        <v>2556</v>
      </c>
      <c r="C123" s="31" t="s">
        <v>1202</v>
      </c>
      <c r="D123" s="31" t="s">
        <v>2557</v>
      </c>
      <c r="E123" s="31" t="s">
        <v>1202</v>
      </c>
      <c r="F123" s="31" t="s">
        <v>2558</v>
      </c>
      <c r="G123" s="31" t="s">
        <v>1202</v>
      </c>
      <c r="H123" s="31" t="s">
        <v>2470</v>
      </c>
    </row>
    <row r="124">
      <c r="A124" s="31" t="s">
        <v>2559</v>
      </c>
      <c r="B124" s="31" t="s">
        <v>826</v>
      </c>
      <c r="C124" s="31" t="s">
        <v>811</v>
      </c>
      <c r="D124" s="31" t="s">
        <v>677</v>
      </c>
      <c r="E124" s="31" t="s">
        <v>806</v>
      </c>
      <c r="F124" s="31" t="s">
        <v>1202</v>
      </c>
      <c r="G124" s="31" t="s">
        <v>2560</v>
      </c>
      <c r="H124" s="31" t="s">
        <v>1202</v>
      </c>
    </row>
    <row r="125">
      <c r="A125" s="31" t="s">
        <v>677</v>
      </c>
      <c r="B125" s="31" t="s">
        <v>2561</v>
      </c>
      <c r="C125" s="31" t="s">
        <v>2562</v>
      </c>
      <c r="D125" s="31" t="s">
        <v>2563</v>
      </c>
      <c r="E125" s="31" t="s">
        <v>813</v>
      </c>
      <c r="G125" s="31" t="s">
        <v>886</v>
      </c>
      <c r="H125" s="31" t="s">
        <v>817</v>
      </c>
    </row>
    <row r="126">
      <c r="A126" s="31" t="s">
        <v>2564</v>
      </c>
      <c r="B126" s="31" t="s">
        <v>910</v>
      </c>
      <c r="C126" s="31" t="s">
        <v>820</v>
      </c>
      <c r="D126" s="31" t="s">
        <v>703</v>
      </c>
      <c r="G126" s="31" t="s">
        <v>2565</v>
      </c>
    </row>
    <row r="127">
      <c r="A127" s="31" t="s">
        <v>677</v>
      </c>
      <c r="B127" s="31" t="s">
        <v>2566</v>
      </c>
      <c r="C127" s="31" t="s">
        <v>811</v>
      </c>
      <c r="G127" s="31" t="s">
        <v>718</v>
      </c>
    </row>
    <row r="128">
      <c r="B128" s="31" t="s">
        <v>703</v>
      </c>
    </row>
    <row r="129">
      <c r="A129" s="89" t="s">
        <v>2567</v>
      </c>
    </row>
    <row r="130">
      <c r="A130" s="92" t="s">
        <v>828</v>
      </c>
    </row>
    <row r="131">
      <c r="A131" s="92">
        <f>A134</f>
        <v>184800</v>
      </c>
    </row>
    <row r="132">
      <c r="A132" s="92">
        <v>2026.0</v>
      </c>
    </row>
    <row r="133">
      <c r="A133" s="92" t="s">
        <v>368</v>
      </c>
    </row>
    <row r="134">
      <c r="A134" s="93">
        <f>A137+B137+C137+D137+E137+F137+G137+H137+I137+J137</f>
        <v>184800</v>
      </c>
    </row>
    <row r="135">
      <c r="A135" s="94" t="s">
        <v>829</v>
      </c>
      <c r="B135" s="94" t="s">
        <v>830</v>
      </c>
      <c r="C135" s="94" t="s">
        <v>831</v>
      </c>
      <c r="D135" s="94" t="s">
        <v>832</v>
      </c>
      <c r="E135" s="94" t="s">
        <v>833</v>
      </c>
      <c r="F135" s="94" t="s">
        <v>834</v>
      </c>
      <c r="G135" s="94" t="s">
        <v>835</v>
      </c>
      <c r="H135" s="94" t="s">
        <v>836</v>
      </c>
      <c r="I135" s="95" t="s">
        <v>837</v>
      </c>
      <c r="J135" s="95" t="s">
        <v>838</v>
      </c>
    </row>
    <row r="136">
      <c r="A136" s="33" t="s">
        <v>377</v>
      </c>
      <c r="B136" s="33" t="s">
        <v>377</v>
      </c>
      <c r="C136" s="33" t="s">
        <v>377</v>
      </c>
      <c r="D136" s="33" t="s">
        <v>377</v>
      </c>
      <c r="E136" s="33" t="s">
        <v>377</v>
      </c>
      <c r="F136" s="33" t="s">
        <v>377</v>
      </c>
      <c r="G136" s="33" t="s">
        <v>377</v>
      </c>
      <c r="H136" s="33" t="s">
        <v>377</v>
      </c>
      <c r="I136" s="33" t="s">
        <v>377</v>
      </c>
      <c r="J136" s="33" t="s">
        <v>377</v>
      </c>
    </row>
    <row r="137">
      <c r="A137" s="50">
        <v>63000.0</v>
      </c>
      <c r="B137" s="50">
        <v>36000.0</v>
      </c>
      <c r="C137" s="50">
        <v>17700.0</v>
      </c>
      <c r="D137" s="50">
        <v>10100.0</v>
      </c>
      <c r="E137" s="50">
        <v>28500.0</v>
      </c>
      <c r="F137" s="50">
        <v>0.0</v>
      </c>
      <c r="G137" s="50">
        <v>15500.0</v>
      </c>
      <c r="H137" s="50">
        <v>13500.0</v>
      </c>
      <c r="I137" s="50">
        <v>0.0</v>
      </c>
      <c r="J137" s="50">
        <v>500.0</v>
      </c>
    </row>
    <row r="138">
      <c r="A138" s="31" t="s">
        <v>2486</v>
      </c>
      <c r="B138" s="31" t="s">
        <v>2568</v>
      </c>
      <c r="C138" s="269" t="s">
        <v>2569</v>
      </c>
      <c r="D138" s="269" t="s">
        <v>2570</v>
      </c>
      <c r="E138" s="269" t="s">
        <v>2571</v>
      </c>
      <c r="G138" s="269" t="s">
        <v>2528</v>
      </c>
      <c r="H138" s="269" t="s">
        <v>2572</v>
      </c>
      <c r="J138" s="31" t="s">
        <v>2573</v>
      </c>
    </row>
    <row r="139">
      <c r="A139" s="31" t="s">
        <v>845</v>
      </c>
      <c r="B139" s="31" t="s">
        <v>1826</v>
      </c>
      <c r="C139" s="31" t="s">
        <v>1606</v>
      </c>
      <c r="D139" s="31" t="s">
        <v>859</v>
      </c>
      <c r="E139" s="31" t="s">
        <v>848</v>
      </c>
      <c r="G139" s="31" t="s">
        <v>1316</v>
      </c>
      <c r="H139" s="31" t="s">
        <v>703</v>
      </c>
      <c r="J139" s="31" t="s">
        <v>703</v>
      </c>
    </row>
    <row r="140">
      <c r="A140" s="269" t="s">
        <v>2493</v>
      </c>
      <c r="B140" s="31" t="s">
        <v>2574</v>
      </c>
      <c r="C140" s="269" t="s">
        <v>2575</v>
      </c>
      <c r="D140" s="269" t="s">
        <v>2576</v>
      </c>
      <c r="E140" s="269" t="s">
        <v>2577</v>
      </c>
      <c r="G140" s="269" t="s">
        <v>2578</v>
      </c>
      <c r="H140" s="269" t="s">
        <v>2579</v>
      </c>
    </row>
    <row r="141">
      <c r="A141" s="31" t="s">
        <v>1813</v>
      </c>
      <c r="B141" s="31" t="s">
        <v>1606</v>
      </c>
      <c r="C141" s="31" t="s">
        <v>728</v>
      </c>
      <c r="D141" s="31" t="s">
        <v>1232</v>
      </c>
      <c r="E141" s="31" t="s">
        <v>703</v>
      </c>
      <c r="G141" s="31" t="s">
        <v>703</v>
      </c>
      <c r="H141" s="31" t="s">
        <v>963</v>
      </c>
    </row>
    <row r="142">
      <c r="A142" s="269" t="s">
        <v>2580</v>
      </c>
      <c r="B142" s="31" t="s">
        <v>1195</v>
      </c>
      <c r="C142" s="269" t="s">
        <v>2581</v>
      </c>
      <c r="D142" s="31" t="s">
        <v>854</v>
      </c>
      <c r="E142" s="269" t="s">
        <v>2582</v>
      </c>
    </row>
    <row r="143">
      <c r="A143" s="31" t="s">
        <v>1606</v>
      </c>
      <c r="B143" s="31" t="s">
        <v>854</v>
      </c>
      <c r="C143" s="31" t="s">
        <v>859</v>
      </c>
      <c r="E143" s="31" t="s">
        <v>779</v>
      </c>
    </row>
    <row r="144">
      <c r="A144" s="269" t="s">
        <v>2583</v>
      </c>
    </row>
    <row r="145">
      <c r="A145" s="31" t="s">
        <v>703</v>
      </c>
    </row>
    <row r="146">
      <c r="A146" s="269" t="s">
        <v>2584</v>
      </c>
    </row>
    <row r="147">
      <c r="A147" s="31" t="s">
        <v>703</v>
      </c>
    </row>
    <row r="148">
      <c r="A148" s="96" t="s">
        <v>871</v>
      </c>
    </row>
    <row r="149">
      <c r="A149" s="97" t="s">
        <v>872</v>
      </c>
    </row>
    <row r="150">
      <c r="A150" s="97">
        <f>A153</f>
        <v>682000</v>
      </c>
    </row>
    <row r="151">
      <c r="A151" s="97">
        <v>2026.0</v>
      </c>
    </row>
    <row r="152">
      <c r="A152" s="97" t="s">
        <v>368</v>
      </c>
    </row>
    <row r="153">
      <c r="A153" s="98">
        <f>A156+B156+C156+D156+E156+F156+G156+H156+I156+J156</f>
        <v>682000</v>
      </c>
    </row>
    <row r="154">
      <c r="A154" s="50" t="s">
        <v>873</v>
      </c>
      <c r="B154" s="50" t="s">
        <v>874</v>
      </c>
      <c r="C154" s="50" t="s">
        <v>875</v>
      </c>
      <c r="D154" s="50" t="s">
        <v>876</v>
      </c>
      <c r="E154" s="50" t="s">
        <v>877</v>
      </c>
      <c r="F154" s="50" t="s">
        <v>878</v>
      </c>
      <c r="G154" s="94" t="s">
        <v>879</v>
      </c>
      <c r="H154" s="99" t="s">
        <v>880</v>
      </c>
      <c r="I154" s="99" t="s">
        <v>881</v>
      </c>
      <c r="J154" s="99" t="s">
        <v>882</v>
      </c>
    </row>
    <row r="155">
      <c r="A155" s="33" t="s">
        <v>377</v>
      </c>
      <c r="B155" s="33" t="s">
        <v>377</v>
      </c>
      <c r="C155" s="33" t="s">
        <v>377</v>
      </c>
      <c r="D155" s="33" t="s">
        <v>377</v>
      </c>
      <c r="E155" s="33" t="s">
        <v>377</v>
      </c>
      <c r="F155" s="33" t="s">
        <v>377</v>
      </c>
      <c r="G155" s="33" t="s">
        <v>377</v>
      </c>
      <c r="H155" s="64" t="s">
        <v>377</v>
      </c>
      <c r="I155" s="64" t="s">
        <v>377</v>
      </c>
      <c r="J155" s="64" t="s">
        <v>377</v>
      </c>
    </row>
    <row r="156">
      <c r="A156" s="50">
        <v>210000.0</v>
      </c>
      <c r="B156" s="50">
        <v>1000.0</v>
      </c>
      <c r="C156" s="50">
        <v>54500.0</v>
      </c>
      <c r="D156" s="50"/>
      <c r="E156" s="50">
        <v>144500.0</v>
      </c>
      <c r="F156" s="50"/>
      <c r="G156" s="50">
        <v>168000.0</v>
      </c>
      <c r="H156" s="50"/>
      <c r="I156" s="50"/>
      <c r="J156" s="50">
        <v>104000.0</v>
      </c>
    </row>
    <row r="157">
      <c r="A157" s="31" t="s">
        <v>2489</v>
      </c>
      <c r="B157" s="31" t="s">
        <v>2585</v>
      </c>
      <c r="C157" s="31" t="s">
        <v>1539</v>
      </c>
      <c r="E157" s="31" t="s">
        <v>2486</v>
      </c>
      <c r="G157" s="31" t="s">
        <v>2586</v>
      </c>
      <c r="J157" s="31" t="s">
        <v>1342</v>
      </c>
    </row>
    <row r="158">
      <c r="A158" s="31" t="s">
        <v>887</v>
      </c>
      <c r="B158" s="31" t="s">
        <v>677</v>
      </c>
      <c r="C158" s="31" t="s">
        <v>887</v>
      </c>
      <c r="E158" s="31" t="s">
        <v>1808</v>
      </c>
      <c r="G158" s="31" t="s">
        <v>887</v>
      </c>
      <c r="J158" s="31" t="s">
        <v>887</v>
      </c>
    </row>
    <row r="159">
      <c r="A159" s="31" t="s">
        <v>2587</v>
      </c>
      <c r="C159" s="31" t="s">
        <v>890</v>
      </c>
      <c r="E159" s="31" t="s">
        <v>2493</v>
      </c>
      <c r="G159" s="31" t="s">
        <v>890</v>
      </c>
      <c r="J159" s="31" t="s">
        <v>890</v>
      </c>
    </row>
    <row r="160">
      <c r="A160" s="31" t="s">
        <v>2588</v>
      </c>
      <c r="C160" s="31" t="s">
        <v>898</v>
      </c>
      <c r="E160" s="31" t="s">
        <v>887</v>
      </c>
      <c r="G160" s="31" t="s">
        <v>2589</v>
      </c>
      <c r="J160" s="31" t="s">
        <v>896</v>
      </c>
    </row>
    <row r="161">
      <c r="A161" s="31" t="s">
        <v>888</v>
      </c>
      <c r="E161" s="31" t="s">
        <v>2590</v>
      </c>
      <c r="G161" s="31" t="s">
        <v>2551</v>
      </c>
      <c r="J161" s="31" t="s">
        <v>2591</v>
      </c>
    </row>
    <row r="162">
      <c r="A162" s="31" t="s">
        <v>2592</v>
      </c>
      <c r="E162" s="31" t="s">
        <v>379</v>
      </c>
      <c r="G162" s="31" t="s">
        <v>1223</v>
      </c>
      <c r="J162" s="31" t="s">
        <v>848</v>
      </c>
    </row>
    <row r="163">
      <c r="A163" s="31" t="s">
        <v>1223</v>
      </c>
      <c r="E163" s="31" t="s">
        <v>890</v>
      </c>
      <c r="G163" s="31" t="s">
        <v>890</v>
      </c>
      <c r="J163" s="31" t="s">
        <v>2593</v>
      </c>
    </row>
    <row r="164">
      <c r="A164" s="31" t="s">
        <v>898</v>
      </c>
      <c r="E164" s="31" t="s">
        <v>898</v>
      </c>
      <c r="G164" s="31" t="s">
        <v>2594</v>
      </c>
      <c r="J164" s="31" t="s">
        <v>886</v>
      </c>
    </row>
    <row r="165">
      <c r="A165" s="31" t="s">
        <v>888</v>
      </c>
      <c r="G165" s="31" t="s">
        <v>2595</v>
      </c>
      <c r="J165" s="31" t="s">
        <v>898</v>
      </c>
    </row>
    <row r="166">
      <c r="A166" s="31" t="s">
        <v>2596</v>
      </c>
      <c r="G166" s="31" t="s">
        <v>2597</v>
      </c>
      <c r="J166" s="31" t="s">
        <v>2598</v>
      </c>
    </row>
    <row r="167">
      <c r="A167" s="31" t="s">
        <v>2599</v>
      </c>
      <c r="G167" s="31" t="s">
        <v>906</v>
      </c>
      <c r="J167" s="31" t="s">
        <v>868</v>
      </c>
    </row>
    <row r="168">
      <c r="A168" s="31" t="s">
        <v>888</v>
      </c>
    </row>
    <row r="169">
      <c r="A169" s="31" t="s">
        <v>2600</v>
      </c>
    </row>
    <row r="170">
      <c r="A170" s="31" t="s">
        <v>677</v>
      </c>
    </row>
    <row r="171">
      <c r="A171" s="31" t="s">
        <v>900</v>
      </c>
    </row>
    <row r="172">
      <c r="A172" s="31" t="s">
        <v>898</v>
      </c>
    </row>
    <row r="173">
      <c r="A173" s="31" t="s">
        <v>888</v>
      </c>
    </row>
    <row r="174">
      <c r="A174" s="31" t="s">
        <v>2601</v>
      </c>
    </row>
    <row r="175">
      <c r="A175" s="31" t="s">
        <v>677</v>
      </c>
    </row>
    <row r="176">
      <c r="A176" s="31" t="s">
        <v>890</v>
      </c>
    </row>
    <row r="177">
      <c r="A177" s="31" t="s">
        <v>2602</v>
      </c>
    </row>
    <row r="178">
      <c r="A178" s="31" t="s">
        <v>888</v>
      </c>
    </row>
    <row r="181">
      <c r="A181" s="100" t="s">
        <v>913</v>
      </c>
    </row>
    <row r="182">
      <c r="A182" s="100">
        <f>A185</f>
        <v>251250</v>
      </c>
    </row>
    <row r="183">
      <c r="A183" s="100">
        <v>2026.0</v>
      </c>
    </row>
    <row r="184">
      <c r="A184" s="100" t="s">
        <v>368</v>
      </c>
    </row>
    <row r="185">
      <c r="A185" s="100">
        <f>A188+B188+C188+D188+E188+F188+G188+H188</f>
        <v>251250</v>
      </c>
    </row>
    <row r="186">
      <c r="A186" s="50" t="s">
        <v>914</v>
      </c>
      <c r="B186" s="50" t="s">
        <v>246</v>
      </c>
      <c r="C186" s="50" t="s">
        <v>247</v>
      </c>
      <c r="D186" s="50" t="s">
        <v>249</v>
      </c>
      <c r="E186" s="50" t="s">
        <v>915</v>
      </c>
      <c r="F186" s="50" t="s">
        <v>916</v>
      </c>
      <c r="G186" s="50" t="s">
        <v>253</v>
      </c>
      <c r="H186" s="50" t="s">
        <v>252</v>
      </c>
    </row>
    <row r="187">
      <c r="A187" s="33" t="s">
        <v>377</v>
      </c>
      <c r="B187" s="33" t="s">
        <v>377</v>
      </c>
      <c r="C187" s="33" t="s">
        <v>377</v>
      </c>
      <c r="D187" s="33" t="s">
        <v>377</v>
      </c>
      <c r="E187" s="33" t="s">
        <v>377</v>
      </c>
      <c r="F187" s="33" t="s">
        <v>377</v>
      </c>
      <c r="G187" s="33" t="s">
        <v>377</v>
      </c>
      <c r="H187" s="33" t="s">
        <v>377</v>
      </c>
    </row>
    <row r="188">
      <c r="A188" s="50">
        <v>0.0</v>
      </c>
      <c r="B188" s="50">
        <v>4500.0</v>
      </c>
      <c r="C188" s="50">
        <v>0.0</v>
      </c>
      <c r="D188" s="50">
        <v>0.0</v>
      </c>
      <c r="E188" s="50">
        <v>31000.0</v>
      </c>
      <c r="F188" s="50">
        <v>12000.0</v>
      </c>
      <c r="G188" s="50">
        <v>146750.0</v>
      </c>
      <c r="H188" s="50">
        <f>35000+22000</f>
        <v>57000</v>
      </c>
    </row>
    <row r="189">
      <c r="B189" s="31" t="s">
        <v>2585</v>
      </c>
      <c r="E189" s="31" t="s">
        <v>2603</v>
      </c>
      <c r="F189" s="31" t="s">
        <v>2604</v>
      </c>
      <c r="G189" s="31" t="s">
        <v>2503</v>
      </c>
      <c r="H189" s="31" t="s">
        <v>2486</v>
      </c>
    </row>
    <row r="190">
      <c r="B190" s="31" t="s">
        <v>677</v>
      </c>
      <c r="E190" s="31" t="s">
        <v>951</v>
      </c>
      <c r="F190" s="31" t="s">
        <v>1247</v>
      </c>
      <c r="G190" s="31" t="s">
        <v>1850</v>
      </c>
      <c r="H190" s="31" t="s">
        <v>864</v>
      </c>
    </row>
    <row r="191">
      <c r="B191" s="31" t="s">
        <v>920</v>
      </c>
      <c r="E191" s="31" t="s">
        <v>2605</v>
      </c>
      <c r="G191" s="31" t="s">
        <v>1834</v>
      </c>
      <c r="H191" s="31" t="s">
        <v>921</v>
      </c>
    </row>
    <row r="192">
      <c r="E192" s="31" t="s">
        <v>677</v>
      </c>
      <c r="G192" s="31" t="s">
        <v>2514</v>
      </c>
    </row>
    <row r="193">
      <c r="G193" s="31" t="s">
        <v>926</v>
      </c>
    </row>
    <row r="194">
      <c r="G194" s="31" t="s">
        <v>2606</v>
      </c>
    </row>
    <row r="195">
      <c r="G195" s="31" t="s">
        <v>815</v>
      </c>
    </row>
    <row r="196">
      <c r="G196" s="31" t="s">
        <v>2598</v>
      </c>
    </row>
    <row r="197">
      <c r="G197" s="31" t="s">
        <v>677</v>
      </c>
    </row>
    <row r="198">
      <c r="G198" s="31" t="s">
        <v>2607</v>
      </c>
    </row>
    <row r="199">
      <c r="G199" s="31" t="s">
        <v>779</v>
      </c>
    </row>
    <row r="200">
      <c r="G200" s="31" t="s">
        <v>920</v>
      </c>
    </row>
    <row r="201">
      <c r="G201" s="31" t="s">
        <v>1834</v>
      </c>
    </row>
    <row r="202">
      <c r="G202" s="31" t="s">
        <v>2608</v>
      </c>
    </row>
    <row r="203">
      <c r="G203" s="31" t="s">
        <v>677</v>
      </c>
    </row>
    <row r="204">
      <c r="G204" s="31" t="s">
        <v>1612</v>
      </c>
    </row>
    <row r="205">
      <c r="G205" s="31" t="s">
        <v>2609</v>
      </c>
    </row>
    <row r="206">
      <c r="G206" s="31" t="s">
        <v>677</v>
      </c>
    </row>
    <row r="207">
      <c r="G207" s="31" t="s">
        <v>2610</v>
      </c>
    </row>
    <row r="208">
      <c r="G208" s="31" t="s">
        <v>718</v>
      </c>
    </row>
    <row r="210">
      <c r="A210" s="205" t="s">
        <v>928</v>
      </c>
    </row>
    <row r="211">
      <c r="A211" s="205">
        <f>A214</f>
        <v>1103000</v>
      </c>
    </row>
    <row r="212">
      <c r="A212" s="205">
        <v>2026.0</v>
      </c>
    </row>
    <row r="213">
      <c r="A213" s="205" t="s">
        <v>368</v>
      </c>
    </row>
    <row r="214">
      <c r="A214" s="206">
        <f>A217+B217+C217+D217+E217+F217+G217+H217+I217+J217</f>
        <v>1103000</v>
      </c>
    </row>
    <row r="215">
      <c r="A215" s="103" t="s">
        <v>929</v>
      </c>
      <c r="B215" s="103" t="s">
        <v>930</v>
      </c>
      <c r="C215" s="103" t="s">
        <v>931</v>
      </c>
      <c r="D215" s="103" t="s">
        <v>932</v>
      </c>
      <c r="E215" s="103" t="s">
        <v>933</v>
      </c>
      <c r="F215" s="103" t="s">
        <v>934</v>
      </c>
      <c r="G215" s="103" t="s">
        <v>935</v>
      </c>
      <c r="H215" s="103" t="s">
        <v>936</v>
      </c>
      <c r="I215" s="103" t="s">
        <v>937</v>
      </c>
      <c r="J215" s="103" t="s">
        <v>938</v>
      </c>
    </row>
    <row r="216">
      <c r="A216" s="64" t="s">
        <v>377</v>
      </c>
      <c r="B216" s="64" t="s">
        <v>377</v>
      </c>
      <c r="C216" s="64" t="s">
        <v>377</v>
      </c>
      <c r="D216" s="64" t="s">
        <v>377</v>
      </c>
      <c r="E216" s="64" t="s">
        <v>377</v>
      </c>
      <c r="F216" s="64" t="s">
        <v>377</v>
      </c>
      <c r="G216" s="64" t="s">
        <v>377</v>
      </c>
      <c r="H216" s="64" t="s">
        <v>377</v>
      </c>
      <c r="I216" s="64" t="s">
        <v>377</v>
      </c>
      <c r="J216" s="64" t="s">
        <v>377</v>
      </c>
    </row>
    <row r="217">
      <c r="A217" s="103">
        <v>0.0</v>
      </c>
      <c r="B217" s="103">
        <v>0.0</v>
      </c>
      <c r="C217" s="99">
        <v>2000.0</v>
      </c>
      <c r="D217" s="99">
        <f>75000+150000+300000+(3*114000)</f>
        <v>867000</v>
      </c>
      <c r="E217" s="99">
        <f>2000+32000</f>
        <v>34000</v>
      </c>
      <c r="F217" s="99">
        <v>27000.0</v>
      </c>
      <c r="G217" s="99">
        <v>35000.0</v>
      </c>
      <c r="H217" s="99">
        <v>32000.0</v>
      </c>
      <c r="I217" s="103">
        <v>0.0</v>
      </c>
      <c r="J217" s="99">
        <f>49000+57000</f>
        <v>106000</v>
      </c>
    </row>
    <row r="218">
      <c r="C218" s="31" t="s">
        <v>2611</v>
      </c>
      <c r="D218" s="31" t="s">
        <v>2543</v>
      </c>
      <c r="E218" s="31" t="s">
        <v>2612</v>
      </c>
      <c r="F218" s="31" t="s">
        <v>2488</v>
      </c>
      <c r="G218" s="31" t="s">
        <v>2486</v>
      </c>
      <c r="H218" s="31" t="s">
        <v>2489</v>
      </c>
      <c r="J218" s="31" t="s">
        <v>1342</v>
      </c>
    </row>
    <row r="219">
      <c r="C219" s="31" t="s">
        <v>826</v>
      </c>
      <c r="D219" s="31" t="s">
        <v>866</v>
      </c>
      <c r="E219" s="31" t="s">
        <v>826</v>
      </c>
      <c r="F219" s="31" t="s">
        <v>901</v>
      </c>
      <c r="G219" s="31" t="s">
        <v>951</v>
      </c>
      <c r="H219" s="31" t="s">
        <v>844</v>
      </c>
      <c r="J219" s="31" t="s">
        <v>1795</v>
      </c>
    </row>
    <row r="220">
      <c r="D220" s="31" t="s">
        <v>944</v>
      </c>
      <c r="E220" s="76" t="s">
        <v>1617</v>
      </c>
      <c r="G220" s="31" t="s">
        <v>381</v>
      </c>
      <c r="H220" s="31" t="s">
        <v>2613</v>
      </c>
      <c r="J220" s="31" t="s">
        <v>944</v>
      </c>
    </row>
    <row r="221">
      <c r="D221" s="31" t="s">
        <v>381</v>
      </c>
      <c r="H221" s="31" t="s">
        <v>901</v>
      </c>
      <c r="J221" s="31" t="s">
        <v>1616</v>
      </c>
    </row>
    <row r="222">
      <c r="D222" s="76" t="s">
        <v>1853</v>
      </c>
      <c r="J222" s="31" t="s">
        <v>1240</v>
      </c>
    </row>
    <row r="223">
      <c r="D223" s="31" t="s">
        <v>2558</v>
      </c>
      <c r="J223" s="76" t="s">
        <v>946</v>
      </c>
    </row>
    <row r="224">
      <c r="D224" s="31" t="s">
        <v>886</v>
      </c>
    </row>
    <row r="225">
      <c r="D225" s="76" t="s">
        <v>1853</v>
      </c>
    </row>
    <row r="226">
      <c r="D226" s="31" t="s">
        <v>2495</v>
      </c>
    </row>
    <row r="227">
      <c r="D227" s="31" t="s">
        <v>848</v>
      </c>
    </row>
    <row r="228">
      <c r="D228" s="31" t="s">
        <v>1616</v>
      </c>
    </row>
    <row r="229">
      <c r="D229" s="76" t="s">
        <v>2614</v>
      </c>
    </row>
    <row r="230">
      <c r="D230" s="76" t="s">
        <v>2615</v>
      </c>
    </row>
    <row r="231">
      <c r="D231" s="76" t="s">
        <v>1853</v>
      </c>
    </row>
    <row r="235">
      <c r="A235" s="48" t="s">
        <v>367</v>
      </c>
    </row>
    <row r="236">
      <c r="A236" s="49">
        <f>A239</f>
        <v>358900</v>
      </c>
    </row>
    <row r="237">
      <c r="A237" s="49">
        <v>2026.0</v>
      </c>
    </row>
    <row r="238">
      <c r="A238" s="49" t="s">
        <v>368</v>
      </c>
    </row>
    <row r="239">
      <c r="A239" s="49">
        <f>A242+B242+C242+D242+E242+F242+G242+H242</f>
        <v>358900</v>
      </c>
    </row>
    <row r="240">
      <c r="A240" s="33" t="s">
        <v>369</v>
      </c>
      <c r="B240" s="33" t="s">
        <v>370</v>
      </c>
      <c r="C240" s="33" t="s">
        <v>371</v>
      </c>
      <c r="D240" s="33" t="s">
        <v>372</v>
      </c>
      <c r="E240" s="33" t="s">
        <v>373</v>
      </c>
      <c r="F240" s="33" t="s">
        <v>374</v>
      </c>
      <c r="G240" s="33" t="s">
        <v>375</v>
      </c>
      <c r="H240" s="33" t="s">
        <v>376</v>
      </c>
      <c r="I240" s="103"/>
      <c r="J240" s="103"/>
    </row>
    <row r="241">
      <c r="A241" s="33" t="s">
        <v>377</v>
      </c>
      <c r="B241" s="33" t="s">
        <v>377</v>
      </c>
      <c r="C241" s="33" t="s">
        <v>377</v>
      </c>
      <c r="D241" s="33" t="s">
        <v>377</v>
      </c>
      <c r="E241" s="33" t="s">
        <v>377</v>
      </c>
      <c r="F241" s="33" t="s">
        <v>377</v>
      </c>
      <c r="G241" s="33" t="s">
        <v>377</v>
      </c>
      <c r="H241" s="33" t="s">
        <v>377</v>
      </c>
    </row>
    <row r="242">
      <c r="A242" s="50">
        <v>0.0</v>
      </c>
      <c r="B242" s="50">
        <f>21000+33725</f>
        <v>54725</v>
      </c>
      <c r="C242" s="50">
        <v>0.0</v>
      </c>
      <c r="D242" s="50">
        <v>0.0</v>
      </c>
      <c r="E242" s="50">
        <v>0.0</v>
      </c>
      <c r="F242" s="50">
        <v>65000.0</v>
      </c>
      <c r="G242" s="50">
        <f>120000+119175</f>
        <v>239175</v>
      </c>
      <c r="H242" s="50">
        <v>0.0</v>
      </c>
    </row>
    <row r="243">
      <c r="B243" s="31" t="s">
        <v>2616</v>
      </c>
      <c r="F243" s="31" t="s">
        <v>2489</v>
      </c>
      <c r="G243" s="31" t="s">
        <v>1342</v>
      </c>
    </row>
    <row r="244">
      <c r="B244" s="31" t="s">
        <v>1813</v>
      </c>
      <c r="F244" s="31" t="s">
        <v>2617</v>
      </c>
      <c r="G244" s="31" t="s">
        <v>1850</v>
      </c>
    </row>
    <row r="245">
      <c r="B245" s="76" t="s">
        <v>955</v>
      </c>
      <c r="G245" s="31" t="s">
        <v>944</v>
      </c>
    </row>
    <row r="246">
      <c r="G246" s="31" t="s">
        <v>381</v>
      </c>
    </row>
    <row r="247">
      <c r="G247" s="31" t="s">
        <v>945</v>
      </c>
    </row>
    <row r="248">
      <c r="G248" s="76" t="s">
        <v>958</v>
      </c>
    </row>
  </sheetData>
  <mergeCells count="119">
    <mergeCell ref="A1:W1"/>
    <mergeCell ref="A2:W2"/>
    <mergeCell ref="A3:W3"/>
    <mergeCell ref="A4:W4"/>
    <mergeCell ref="A5:W5"/>
    <mergeCell ref="H6:J6"/>
    <mergeCell ref="K6:L6"/>
    <mergeCell ref="S6:W6"/>
    <mergeCell ref="M6:O6"/>
    <mergeCell ref="P6:R6"/>
    <mergeCell ref="H7:J7"/>
    <mergeCell ref="K7:L7"/>
    <mergeCell ref="M7:O7"/>
    <mergeCell ref="P7:R7"/>
    <mergeCell ref="S7:W7"/>
    <mergeCell ref="R12:R13"/>
    <mergeCell ref="T12:W12"/>
    <mergeCell ref="T14:U14"/>
    <mergeCell ref="X15:Z15"/>
    <mergeCell ref="O10:O12"/>
    <mergeCell ref="O13:O16"/>
    <mergeCell ref="M8:O8"/>
    <mergeCell ref="P8:R8"/>
    <mergeCell ref="P9:R9"/>
    <mergeCell ref="S9:S14"/>
    <mergeCell ref="M10:M12"/>
    <mergeCell ref="P12:P13"/>
    <mergeCell ref="M13:M16"/>
    <mergeCell ref="M17:M19"/>
    <mergeCell ref="O17:O19"/>
    <mergeCell ref="M20:M21"/>
    <mergeCell ref="O20:O21"/>
    <mergeCell ref="M22:M23"/>
    <mergeCell ref="O22:O23"/>
    <mergeCell ref="H25:J25"/>
    <mergeCell ref="T28:W28"/>
    <mergeCell ref="T33:U33"/>
    <mergeCell ref="T34:W34"/>
    <mergeCell ref="P15:P16"/>
    <mergeCell ref="R15:R16"/>
    <mergeCell ref="S15:S23"/>
    <mergeCell ref="P17:Q17"/>
    <mergeCell ref="T21:W21"/>
    <mergeCell ref="T23:U23"/>
    <mergeCell ref="S24:S33"/>
    <mergeCell ref="A93:H93"/>
    <mergeCell ref="A94:H94"/>
    <mergeCell ref="A110:H110"/>
    <mergeCell ref="A111:H111"/>
    <mergeCell ref="A112:H112"/>
    <mergeCell ref="A113:H113"/>
    <mergeCell ref="A114:H114"/>
    <mergeCell ref="A115:H115"/>
    <mergeCell ref="A129:H129"/>
    <mergeCell ref="A130:J130"/>
    <mergeCell ref="A131:J131"/>
    <mergeCell ref="A132:J132"/>
    <mergeCell ref="A133:J133"/>
    <mergeCell ref="A134:J134"/>
    <mergeCell ref="A148:J148"/>
    <mergeCell ref="A149:J149"/>
    <mergeCell ref="A150:J150"/>
    <mergeCell ref="A151:J151"/>
    <mergeCell ref="A152:J152"/>
    <mergeCell ref="A153:J153"/>
    <mergeCell ref="A181:H181"/>
    <mergeCell ref="A213:J213"/>
    <mergeCell ref="A214:J214"/>
    <mergeCell ref="A235:H235"/>
    <mergeCell ref="A236:H236"/>
    <mergeCell ref="A237:H237"/>
    <mergeCell ref="A238:H238"/>
    <mergeCell ref="A239:H239"/>
    <mergeCell ref="A182:H182"/>
    <mergeCell ref="A183:H183"/>
    <mergeCell ref="A184:H184"/>
    <mergeCell ref="A185:H185"/>
    <mergeCell ref="A210:J210"/>
    <mergeCell ref="A211:J211"/>
    <mergeCell ref="A212:J212"/>
    <mergeCell ref="J30:J32"/>
    <mergeCell ref="J33:J35"/>
    <mergeCell ref="S34:S36"/>
    <mergeCell ref="T36:U36"/>
    <mergeCell ref="S37:S38"/>
    <mergeCell ref="T38:U38"/>
    <mergeCell ref="M25:N25"/>
    <mergeCell ref="M26:N26"/>
    <mergeCell ref="H27:H29"/>
    <mergeCell ref="J27:J29"/>
    <mergeCell ref="M27:N27"/>
    <mergeCell ref="H30:H32"/>
    <mergeCell ref="H33:H35"/>
    <mergeCell ref="H42:H44"/>
    <mergeCell ref="H51:H53"/>
    <mergeCell ref="H54:H56"/>
    <mergeCell ref="J51:J53"/>
    <mergeCell ref="J54:J56"/>
    <mergeCell ref="H36:H38"/>
    <mergeCell ref="J36:J38"/>
    <mergeCell ref="H39:H41"/>
    <mergeCell ref="J39:J41"/>
    <mergeCell ref="J42:J44"/>
    <mergeCell ref="J45:J47"/>
    <mergeCell ref="J48:J50"/>
    <mergeCell ref="H45:H47"/>
    <mergeCell ref="H48:H50"/>
    <mergeCell ref="A50:E50"/>
    <mergeCell ref="A51:E51"/>
    <mergeCell ref="A52:E52"/>
    <mergeCell ref="A53:E53"/>
    <mergeCell ref="A54:E54"/>
    <mergeCell ref="A74:F74"/>
    <mergeCell ref="A75:F75"/>
    <mergeCell ref="A76:F76"/>
    <mergeCell ref="A77:F77"/>
    <mergeCell ref="A90:H90"/>
    <mergeCell ref="A91:H91"/>
    <mergeCell ref="A92:H92"/>
  </mergeCells>
  <hyperlinks>
    <hyperlink r:id="rId1" ref="A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44.75"/>
    <col customWidth="1" min="3" max="3" width="29.38"/>
    <col customWidth="1" min="4" max="4" width="36.63"/>
    <col customWidth="1" min="5" max="5" width="37.25"/>
    <col customWidth="1" min="6" max="6" width="39.75"/>
    <col customWidth="1" min="7" max="7" width="34.13"/>
    <col customWidth="1" min="8" max="8" width="28.13"/>
    <col customWidth="1" min="9" max="9" width="30.0"/>
    <col customWidth="1" min="10" max="10" width="25.88"/>
    <col customWidth="1" min="11" max="12" width="21.38"/>
    <col customWidth="1" min="15" max="15" width="15.5"/>
    <col customWidth="1" min="17" max="17" width="19.13"/>
    <col customWidth="1" min="18" max="18" width="38.63"/>
    <col customWidth="1" min="20" max="20" width="19.5"/>
    <col customWidth="1" min="21" max="21" width="16.75"/>
    <col customWidth="1" min="26" max="26" width="35.25"/>
  </cols>
  <sheetData>
    <row r="1">
      <c r="A1" s="270" t="s">
        <v>2618</v>
      </c>
    </row>
    <row r="2">
      <c r="A2" s="109" t="s">
        <v>2619</v>
      </c>
    </row>
    <row r="3">
      <c r="A3" s="111" t="s">
        <v>413</v>
      </c>
    </row>
    <row r="4">
      <c r="A4" s="200">
        <f>100000+B6+C6+E6+E12+F6+G6+H6+A69+F13+D17+K6+T6+Q6+N6</f>
        <v>6798500</v>
      </c>
    </row>
    <row r="5">
      <c r="A5" s="33" t="s">
        <v>339</v>
      </c>
      <c r="B5" s="33" t="s">
        <v>341</v>
      </c>
      <c r="C5" s="33" t="s">
        <v>384</v>
      </c>
      <c r="D5" s="33" t="s">
        <v>385</v>
      </c>
      <c r="E5" s="33" t="s">
        <v>2620</v>
      </c>
      <c r="F5" s="33" t="s">
        <v>2621</v>
      </c>
      <c r="G5" s="33" t="s">
        <v>417</v>
      </c>
      <c r="H5" s="33" t="s">
        <v>419</v>
      </c>
      <c r="K5" s="33" t="s">
        <v>2622</v>
      </c>
      <c r="N5" s="25" t="s">
        <v>978</v>
      </c>
      <c r="Q5" s="33" t="s">
        <v>2623</v>
      </c>
      <c r="T5" s="271" t="s">
        <v>422</v>
      </c>
      <c r="Z5" s="33"/>
    </row>
    <row r="6">
      <c r="A6" s="31" t="s">
        <v>2624</v>
      </c>
      <c r="B6" s="133">
        <v>-230000.0</v>
      </c>
      <c r="C6" s="133">
        <v>2000.0</v>
      </c>
      <c r="D6" s="31" t="s">
        <v>2625</v>
      </c>
      <c r="E6" s="133">
        <v>3000.0</v>
      </c>
      <c r="F6" s="133">
        <v>-40000.0</v>
      </c>
      <c r="G6" s="133">
        <v>17000.0</v>
      </c>
      <c r="H6" s="133">
        <f>H8+I8+J8</f>
        <v>-3500</v>
      </c>
      <c r="K6" s="201">
        <f>K8</f>
        <v>8000</v>
      </c>
      <c r="N6" s="201">
        <f>N8</f>
        <v>70000</v>
      </c>
      <c r="Q6" s="272">
        <f>-1200000+Q9</f>
        <v>1892000</v>
      </c>
      <c r="T6" s="201">
        <f>W24+W29+W45+W53+W65+W69+W71</f>
        <v>1171500</v>
      </c>
      <c r="Z6" s="121"/>
    </row>
    <row r="7">
      <c r="A7" s="31" t="s">
        <v>2626</v>
      </c>
      <c r="B7" s="55" t="s">
        <v>349</v>
      </c>
      <c r="C7" s="31" t="s">
        <v>2627</v>
      </c>
      <c r="D7" s="31" t="s">
        <v>2628</v>
      </c>
      <c r="E7" s="31" t="s">
        <v>2629</v>
      </c>
      <c r="F7" s="31" t="s">
        <v>431</v>
      </c>
      <c r="G7" s="31" t="s">
        <v>445</v>
      </c>
      <c r="H7" s="44" t="s">
        <v>432</v>
      </c>
      <c r="I7" s="44" t="s">
        <v>433</v>
      </c>
      <c r="J7" s="44" t="s">
        <v>434</v>
      </c>
      <c r="K7" s="33" t="s">
        <v>435</v>
      </c>
      <c r="N7" s="33" t="s">
        <v>435</v>
      </c>
      <c r="Q7" s="33" t="s">
        <v>2630</v>
      </c>
      <c r="T7" s="87" t="s">
        <v>436</v>
      </c>
      <c r="U7" s="87" t="s">
        <v>437</v>
      </c>
      <c r="V7" s="87" t="s">
        <v>438</v>
      </c>
      <c r="W7" s="87" t="s">
        <v>0</v>
      </c>
      <c r="X7" s="87" t="s">
        <v>439</v>
      </c>
    </row>
    <row r="8">
      <c r="A8" s="31" t="s">
        <v>2631</v>
      </c>
      <c r="B8" s="4" t="s">
        <v>27</v>
      </c>
      <c r="C8" s="31" t="s">
        <v>2632</v>
      </c>
      <c r="D8" s="31" t="s">
        <v>2633</v>
      </c>
      <c r="E8" s="31" t="s">
        <v>2634</v>
      </c>
      <c r="F8" s="31" t="s">
        <v>2218</v>
      </c>
      <c r="G8" s="31" t="s">
        <v>2635</v>
      </c>
      <c r="H8" s="273">
        <f>J24+J27+J30+J33+J36+J39+J42</f>
        <v>6500</v>
      </c>
      <c r="I8" s="273">
        <v>-5000.0</v>
      </c>
      <c r="J8" s="273">
        <v>-5000.0</v>
      </c>
      <c r="K8" s="123">
        <f>M9+M10+M11+M12+M13</f>
        <v>8000</v>
      </c>
      <c r="N8" s="123">
        <f>P10+P11</f>
        <v>70000</v>
      </c>
      <c r="Q8" s="33" t="s">
        <v>435</v>
      </c>
      <c r="T8" s="125" t="s">
        <v>2636</v>
      </c>
      <c r="U8" s="122" t="s">
        <v>447</v>
      </c>
      <c r="V8" s="122">
        <v>14.0</v>
      </c>
      <c r="W8" s="122">
        <f>V8*1000</f>
        <v>14000</v>
      </c>
      <c r="X8" s="126">
        <f>V8*20</f>
        <v>280</v>
      </c>
    </row>
    <row r="9">
      <c r="A9" s="31" t="s">
        <v>2637</v>
      </c>
      <c r="B9" s="4" t="s">
        <v>43</v>
      </c>
      <c r="C9" s="31" t="s">
        <v>2638</v>
      </c>
      <c r="D9" s="31" t="s">
        <v>2639</v>
      </c>
      <c r="E9" s="31" t="s">
        <v>2640</v>
      </c>
      <c r="F9" s="76" t="s">
        <v>2641</v>
      </c>
      <c r="G9" s="31" t="s">
        <v>1157</v>
      </c>
      <c r="H9" s="25"/>
      <c r="I9" s="31" t="s">
        <v>1689</v>
      </c>
      <c r="J9" s="252" t="s">
        <v>455</v>
      </c>
      <c r="K9" s="4" t="s">
        <v>2642</v>
      </c>
      <c r="L9" s="4" t="s">
        <v>1040</v>
      </c>
      <c r="M9" s="4">
        <v>2000.0</v>
      </c>
      <c r="N9" s="127" t="s">
        <v>456</v>
      </c>
      <c r="O9" s="127" t="s">
        <v>457</v>
      </c>
      <c r="P9" s="127" t="s">
        <v>0</v>
      </c>
      <c r="Q9" s="124">
        <f>S11+S12+S14+S17+S21+S22+S26+S29+S30+S31+S32+S33+S34+S35</f>
        <v>3092000</v>
      </c>
      <c r="U9" s="122" t="s">
        <v>523</v>
      </c>
      <c r="V9" s="122">
        <v>5.0</v>
      </c>
      <c r="W9" s="126">
        <f>V9*2000</f>
        <v>10000</v>
      </c>
      <c r="X9" s="126">
        <f t="shared" ref="X9:X10" si="1">V9*40</f>
        <v>200</v>
      </c>
    </row>
    <row r="10">
      <c r="A10" s="31" t="s">
        <v>2643</v>
      </c>
      <c r="B10" s="4" t="s">
        <v>57</v>
      </c>
      <c r="C10" s="31" t="s">
        <v>2644</v>
      </c>
      <c r="D10" s="31" t="s">
        <v>2645</v>
      </c>
      <c r="F10" s="31" t="s">
        <v>2646</v>
      </c>
      <c r="G10" s="31" t="s">
        <v>495</v>
      </c>
      <c r="I10" s="31" t="s">
        <v>2647</v>
      </c>
      <c r="J10" s="31" t="s">
        <v>2648</v>
      </c>
      <c r="K10" s="4" t="s">
        <v>2649</v>
      </c>
      <c r="L10" s="4" t="s">
        <v>1990</v>
      </c>
      <c r="M10" s="4">
        <v>2000.0</v>
      </c>
      <c r="N10" s="26" t="s">
        <v>272</v>
      </c>
      <c r="P10" s="25">
        <v>20000.0</v>
      </c>
      <c r="Q10" s="87" t="s">
        <v>456</v>
      </c>
      <c r="R10" s="87" t="s">
        <v>457</v>
      </c>
      <c r="S10" s="87" t="s">
        <v>0</v>
      </c>
      <c r="U10" s="122" t="s">
        <v>500</v>
      </c>
      <c r="V10" s="122">
        <v>4.5</v>
      </c>
      <c r="W10" s="126">
        <f>V10*3000</f>
        <v>13500</v>
      </c>
      <c r="X10" s="126">
        <f t="shared" si="1"/>
        <v>180</v>
      </c>
    </row>
    <row r="11">
      <c r="A11" s="31" t="s">
        <v>2650</v>
      </c>
      <c r="B11" s="4" t="s">
        <v>67</v>
      </c>
      <c r="C11" s="31" t="s">
        <v>2651</v>
      </c>
      <c r="D11" s="31" t="s">
        <v>2652</v>
      </c>
      <c r="E11" s="33" t="s">
        <v>359</v>
      </c>
      <c r="G11" s="31" t="s">
        <v>2653</v>
      </c>
      <c r="I11" s="31" t="s">
        <v>2654</v>
      </c>
      <c r="J11" s="31" t="s">
        <v>2655</v>
      </c>
      <c r="K11" s="4" t="s">
        <v>2656</v>
      </c>
      <c r="L11" s="4" t="s">
        <v>2246</v>
      </c>
      <c r="M11" s="4">
        <v>1000.0</v>
      </c>
      <c r="N11" s="4" t="s">
        <v>212</v>
      </c>
      <c r="P11" s="4">
        <v>50000.0</v>
      </c>
      <c r="Q11" s="4" t="s">
        <v>2657</v>
      </c>
      <c r="R11" s="4" t="s">
        <v>469</v>
      </c>
      <c r="S11" s="4">
        <v>5000.0</v>
      </c>
      <c r="U11" s="122" t="s">
        <v>1488</v>
      </c>
      <c r="V11" s="122">
        <v>3.0</v>
      </c>
      <c r="W11" s="126">
        <f>V11*4000</f>
        <v>12000</v>
      </c>
      <c r="X11" s="126">
        <f>V11*80</f>
        <v>240</v>
      </c>
    </row>
    <row r="12">
      <c r="A12" s="31" t="s">
        <v>2658</v>
      </c>
      <c r="B12" s="4" t="s">
        <v>76</v>
      </c>
      <c r="C12" s="31" t="s">
        <v>2659</v>
      </c>
      <c r="D12" s="31" t="s">
        <v>2660</v>
      </c>
      <c r="E12" s="133">
        <v>-500.0</v>
      </c>
      <c r="F12" s="33" t="s">
        <v>2661</v>
      </c>
      <c r="G12" s="31" t="s">
        <v>2662</v>
      </c>
      <c r="I12" s="31" t="s">
        <v>2663</v>
      </c>
      <c r="J12" s="31" t="s">
        <v>2664</v>
      </c>
      <c r="K12" s="4" t="s">
        <v>2665</v>
      </c>
      <c r="L12" s="4" t="s">
        <v>1040</v>
      </c>
      <c r="M12" s="4">
        <v>2000.0</v>
      </c>
      <c r="N12" s="4"/>
      <c r="O12" s="4"/>
      <c r="P12" s="4"/>
      <c r="Q12" s="71" t="s">
        <v>2666</v>
      </c>
      <c r="R12" s="71" t="s">
        <v>1963</v>
      </c>
      <c r="S12" s="71">
        <v>3000.0</v>
      </c>
      <c r="U12" s="122" t="s">
        <v>458</v>
      </c>
      <c r="V12" s="122">
        <v>8.0</v>
      </c>
      <c r="W12" s="122">
        <f>V12*6000</f>
        <v>48000</v>
      </c>
      <c r="X12" s="126">
        <f>V12*40</f>
        <v>320</v>
      </c>
    </row>
    <row r="13">
      <c r="A13" s="31" t="s">
        <v>2667</v>
      </c>
      <c r="B13" s="4" t="s">
        <v>82</v>
      </c>
      <c r="C13" s="31" t="s">
        <v>2668</v>
      </c>
      <c r="D13" s="31" t="s">
        <v>2669</v>
      </c>
      <c r="E13" s="31" t="s">
        <v>2670</v>
      </c>
      <c r="F13" s="133">
        <f>28000</f>
        <v>28000</v>
      </c>
      <c r="G13" s="31" t="s">
        <v>1706</v>
      </c>
      <c r="I13" s="31" t="s">
        <v>2297</v>
      </c>
      <c r="K13" s="4" t="s">
        <v>2671</v>
      </c>
      <c r="L13" s="4" t="s">
        <v>2246</v>
      </c>
      <c r="M13" s="4">
        <v>1000.0</v>
      </c>
      <c r="N13" s="4"/>
      <c r="O13" s="4"/>
      <c r="P13" s="4"/>
      <c r="R13" s="71" t="s">
        <v>1025</v>
      </c>
      <c r="U13" s="122" t="s">
        <v>654</v>
      </c>
      <c r="V13" s="122">
        <v>6.0</v>
      </c>
      <c r="W13" s="126">
        <f>V13*8000</f>
        <v>48000</v>
      </c>
      <c r="X13" s="126">
        <f>V13*80</f>
        <v>480</v>
      </c>
    </row>
    <row r="14">
      <c r="A14" s="31" t="s">
        <v>2672</v>
      </c>
      <c r="B14" s="4" t="s">
        <v>89</v>
      </c>
      <c r="C14" s="31" t="s">
        <v>2673</v>
      </c>
      <c r="D14" s="31" t="s">
        <v>2674</v>
      </c>
      <c r="F14" s="31" t="s">
        <v>2675</v>
      </c>
      <c r="G14" s="31" t="s">
        <v>2676</v>
      </c>
      <c r="I14" s="31" t="s">
        <v>1292</v>
      </c>
      <c r="K14" s="8"/>
      <c r="L14" s="8"/>
      <c r="M14" s="8"/>
      <c r="N14" s="8"/>
      <c r="O14" s="8"/>
      <c r="P14" s="8"/>
      <c r="Q14" s="71" t="s">
        <v>2677</v>
      </c>
      <c r="R14" s="4" t="s">
        <v>469</v>
      </c>
      <c r="S14" s="71">
        <v>307000.0</v>
      </c>
      <c r="U14" s="122" t="s">
        <v>590</v>
      </c>
      <c r="V14" s="122">
        <v>1.0</v>
      </c>
      <c r="W14" s="126">
        <f>V14*5000</f>
        <v>5000</v>
      </c>
      <c r="X14" s="126">
        <f t="shared" ref="X14:X15" si="2">V14*100</f>
        <v>100</v>
      </c>
    </row>
    <row r="15">
      <c r="A15" s="31" t="s">
        <v>2678</v>
      </c>
      <c r="B15" s="4" t="s">
        <v>96</v>
      </c>
      <c r="C15" s="31" t="s">
        <v>525</v>
      </c>
      <c r="F15" s="31" t="s">
        <v>2679</v>
      </c>
      <c r="G15" s="31" t="s">
        <v>569</v>
      </c>
      <c r="I15" s="31" t="s">
        <v>2680</v>
      </c>
      <c r="K15" s="8"/>
      <c r="L15" s="8"/>
      <c r="M15" s="8"/>
      <c r="N15" s="8"/>
      <c r="O15" s="8"/>
      <c r="P15" s="8"/>
      <c r="R15" s="71" t="s">
        <v>510</v>
      </c>
      <c r="U15" s="122" t="s">
        <v>511</v>
      </c>
      <c r="V15" s="122">
        <v>13.5</v>
      </c>
      <c r="W15" s="126">
        <f>V15*10000</f>
        <v>135000</v>
      </c>
      <c r="X15" s="126">
        <f t="shared" si="2"/>
        <v>1350</v>
      </c>
    </row>
    <row r="16">
      <c r="A16" s="31" t="s">
        <v>2681</v>
      </c>
      <c r="B16" s="55" t="s">
        <v>48</v>
      </c>
      <c r="C16" s="31" t="s">
        <v>2682</v>
      </c>
      <c r="D16" s="33" t="s">
        <v>1477</v>
      </c>
      <c r="F16" s="31" t="s">
        <v>2683</v>
      </c>
      <c r="G16" s="31" t="s">
        <v>1480</v>
      </c>
      <c r="I16" s="31" t="s">
        <v>646</v>
      </c>
      <c r="K16" s="8"/>
      <c r="L16" s="8"/>
      <c r="M16" s="8"/>
      <c r="N16" s="8"/>
      <c r="O16" s="8"/>
      <c r="P16" s="8"/>
      <c r="R16" s="33" t="s">
        <v>1986</v>
      </c>
      <c r="U16" s="122" t="s">
        <v>533</v>
      </c>
    </row>
    <row r="17">
      <c r="A17" s="31" t="s">
        <v>2684</v>
      </c>
      <c r="B17" s="4" t="s">
        <v>60</v>
      </c>
      <c r="C17" s="31" t="s">
        <v>2685</v>
      </c>
      <c r="D17" s="135">
        <v>20000.0</v>
      </c>
      <c r="F17" s="31" t="s">
        <v>2686</v>
      </c>
      <c r="G17" s="31" t="s">
        <v>2687</v>
      </c>
      <c r="I17" s="31" t="s">
        <v>577</v>
      </c>
      <c r="K17" s="8"/>
      <c r="L17" s="8"/>
      <c r="M17" s="8"/>
      <c r="N17" s="8"/>
      <c r="O17" s="8"/>
      <c r="P17" s="8"/>
      <c r="Q17" s="71" t="s">
        <v>2688</v>
      </c>
      <c r="R17" s="71" t="s">
        <v>469</v>
      </c>
      <c r="S17" s="71">
        <v>110000.0</v>
      </c>
      <c r="U17" s="122" t="s">
        <v>1101</v>
      </c>
      <c r="V17" s="122">
        <v>10.0</v>
      </c>
      <c r="W17" s="126">
        <f t="shared" ref="W17:W23" si="3">V17*1500</f>
        <v>15000</v>
      </c>
      <c r="X17" s="126">
        <f t="shared" ref="X17:X23" si="4">V17*40</f>
        <v>400</v>
      </c>
    </row>
    <row r="18">
      <c r="A18" s="31" t="s">
        <v>2689</v>
      </c>
      <c r="B18" s="55" t="s">
        <v>69</v>
      </c>
      <c r="C18" s="31" t="s">
        <v>2690</v>
      </c>
      <c r="D18" s="4" t="s">
        <v>2691</v>
      </c>
      <c r="F18" s="31" t="s">
        <v>2692</v>
      </c>
      <c r="G18" s="31" t="s">
        <v>495</v>
      </c>
      <c r="K18" s="8"/>
      <c r="L18" s="8"/>
      <c r="M18" s="8"/>
      <c r="N18" s="8"/>
      <c r="O18" s="8"/>
      <c r="P18" s="8"/>
      <c r="R18" s="71" t="s">
        <v>543</v>
      </c>
      <c r="U18" s="122" t="s">
        <v>2693</v>
      </c>
      <c r="V18" s="122">
        <v>1.0</v>
      </c>
      <c r="W18" s="126">
        <f t="shared" si="3"/>
        <v>1500</v>
      </c>
      <c r="X18" s="126">
        <f t="shared" si="4"/>
        <v>40</v>
      </c>
    </row>
    <row r="19">
      <c r="A19" s="31" t="s">
        <v>2694</v>
      </c>
      <c r="B19" s="4" t="s">
        <v>60</v>
      </c>
      <c r="C19" s="31" t="s">
        <v>2695</v>
      </c>
      <c r="F19" s="31" t="s">
        <v>2696</v>
      </c>
      <c r="G19" s="31" t="s">
        <v>1412</v>
      </c>
      <c r="K19" s="8"/>
      <c r="L19" s="8"/>
      <c r="M19" s="8"/>
      <c r="N19" s="8"/>
      <c r="O19" s="8"/>
      <c r="P19" s="8"/>
      <c r="R19" s="71" t="s">
        <v>510</v>
      </c>
      <c r="U19" s="122" t="s">
        <v>552</v>
      </c>
      <c r="V19" s="122">
        <v>1.0</v>
      </c>
      <c r="W19" s="126">
        <f t="shared" si="3"/>
        <v>1500</v>
      </c>
      <c r="X19" s="126">
        <f t="shared" si="4"/>
        <v>40</v>
      </c>
    </row>
    <row r="20">
      <c r="A20" s="31" t="s">
        <v>2697</v>
      </c>
      <c r="C20" s="31" t="s">
        <v>2698</v>
      </c>
      <c r="G20" s="31" t="s">
        <v>2699</v>
      </c>
      <c r="L20" s="8"/>
      <c r="M20" s="8"/>
      <c r="N20" s="8"/>
      <c r="O20" s="8"/>
      <c r="P20" s="8"/>
      <c r="R20" s="33" t="s">
        <v>2700</v>
      </c>
      <c r="U20" s="122" t="s">
        <v>657</v>
      </c>
      <c r="V20" s="122">
        <v>1.0</v>
      </c>
      <c r="W20" s="126">
        <f t="shared" si="3"/>
        <v>1500</v>
      </c>
      <c r="X20" s="126">
        <f t="shared" si="4"/>
        <v>40</v>
      </c>
    </row>
    <row r="21">
      <c r="A21" s="31" t="s">
        <v>2701</v>
      </c>
      <c r="C21" s="31" t="s">
        <v>2702</v>
      </c>
      <c r="G21" s="31" t="s">
        <v>569</v>
      </c>
      <c r="L21" s="8"/>
      <c r="M21" s="8"/>
      <c r="N21" s="8"/>
      <c r="O21" s="8"/>
      <c r="P21" s="8"/>
      <c r="Q21" s="4" t="s">
        <v>2703</v>
      </c>
      <c r="R21" s="71" t="s">
        <v>543</v>
      </c>
      <c r="S21" s="4">
        <v>3000.0</v>
      </c>
      <c r="U21" s="122" t="s">
        <v>609</v>
      </c>
      <c r="V21" s="122">
        <v>2.0</v>
      </c>
      <c r="W21" s="126">
        <f t="shared" si="3"/>
        <v>3000</v>
      </c>
      <c r="X21" s="126">
        <f t="shared" si="4"/>
        <v>80</v>
      </c>
    </row>
    <row r="22">
      <c r="A22" s="31" t="s">
        <v>2704</v>
      </c>
      <c r="C22" s="31" t="s">
        <v>2258</v>
      </c>
      <c r="G22" s="31" t="s">
        <v>1412</v>
      </c>
      <c r="H22" s="273" t="s">
        <v>594</v>
      </c>
      <c r="L22" s="8"/>
      <c r="M22" s="8"/>
      <c r="N22" s="8"/>
      <c r="O22" s="8"/>
      <c r="P22" s="8"/>
      <c r="Q22" s="71" t="s">
        <v>2705</v>
      </c>
      <c r="R22" s="71" t="s">
        <v>469</v>
      </c>
      <c r="S22" s="71">
        <v>309000.0</v>
      </c>
      <c r="U22" s="122" t="s">
        <v>614</v>
      </c>
      <c r="V22" s="122">
        <v>1.0</v>
      </c>
      <c r="W22" s="126">
        <f t="shared" si="3"/>
        <v>1500</v>
      </c>
      <c r="X22" s="126">
        <f t="shared" si="4"/>
        <v>40</v>
      </c>
    </row>
    <row r="23">
      <c r="A23" s="31" t="s">
        <v>2706</v>
      </c>
      <c r="C23" s="31" t="s">
        <v>1445</v>
      </c>
      <c r="G23" s="31" t="s">
        <v>2707</v>
      </c>
      <c r="H23" s="264" t="s">
        <v>456</v>
      </c>
      <c r="I23" s="264" t="s">
        <v>457</v>
      </c>
      <c r="J23" s="264" t="s">
        <v>0</v>
      </c>
      <c r="R23" s="71" t="s">
        <v>543</v>
      </c>
      <c r="U23" s="122" t="s">
        <v>2708</v>
      </c>
      <c r="V23" s="122">
        <v>2.0</v>
      </c>
      <c r="W23" s="126">
        <f t="shared" si="3"/>
        <v>3000</v>
      </c>
      <c r="X23" s="126">
        <f t="shared" si="4"/>
        <v>80</v>
      </c>
    </row>
    <row r="24">
      <c r="A24" s="31" t="s">
        <v>2709</v>
      </c>
      <c r="C24" s="31" t="s">
        <v>2710</v>
      </c>
      <c r="G24" s="31" t="s">
        <v>569</v>
      </c>
      <c r="H24" s="71" t="s">
        <v>2636</v>
      </c>
      <c r="I24" s="71" t="s">
        <v>631</v>
      </c>
      <c r="J24" s="71">
        <v>1500.0</v>
      </c>
      <c r="R24" s="71" t="s">
        <v>572</v>
      </c>
      <c r="U24" s="128" t="s">
        <v>470</v>
      </c>
      <c r="W24" s="129">
        <f t="shared" ref="W24:X24" si="5">W8+W9+W10+W11+W12+W13+W17+W18+W19+W20+W21+W22+W14+W15+W23</f>
        <v>312500</v>
      </c>
      <c r="X24" s="129">
        <f t="shared" si="5"/>
        <v>3870</v>
      </c>
    </row>
    <row r="25">
      <c r="A25" s="31" t="s">
        <v>2711</v>
      </c>
      <c r="C25" s="31" t="s">
        <v>1490</v>
      </c>
      <c r="G25" s="31" t="s">
        <v>1732</v>
      </c>
      <c r="I25" s="71" t="s">
        <v>644</v>
      </c>
      <c r="R25" s="33" t="s">
        <v>2712</v>
      </c>
      <c r="T25" s="125" t="s">
        <v>2666</v>
      </c>
      <c r="U25" s="122" t="s">
        <v>447</v>
      </c>
      <c r="V25" s="122">
        <v>2.0</v>
      </c>
      <c r="W25" s="122">
        <f>V25*1000</f>
        <v>2000</v>
      </c>
      <c r="X25" s="126">
        <f>V25*20</f>
        <v>40</v>
      </c>
    </row>
    <row r="26">
      <c r="A26" s="31" t="s">
        <v>2713</v>
      </c>
      <c r="C26" s="31" t="s">
        <v>2714</v>
      </c>
      <c r="G26" s="31" t="s">
        <v>2715</v>
      </c>
      <c r="I26" s="71" t="s">
        <v>652</v>
      </c>
      <c r="Q26" s="71" t="s">
        <v>2716</v>
      </c>
      <c r="R26" s="71" t="s">
        <v>1963</v>
      </c>
      <c r="S26" s="71">
        <v>204000.0</v>
      </c>
      <c r="U26" s="122" t="s">
        <v>500</v>
      </c>
      <c r="V26" s="122">
        <v>0.5</v>
      </c>
      <c r="W26" s="126">
        <f>V26*3000</f>
        <v>1500</v>
      </c>
      <c r="X26" s="126">
        <f>V26*40</f>
        <v>20</v>
      </c>
    </row>
    <row r="27">
      <c r="A27" s="31" t="s">
        <v>2717</v>
      </c>
      <c r="C27" s="31" t="s">
        <v>2718</v>
      </c>
      <c r="H27" s="71" t="s">
        <v>2719</v>
      </c>
      <c r="I27" s="71" t="s">
        <v>631</v>
      </c>
      <c r="J27" s="71">
        <v>1500.0</v>
      </c>
      <c r="R27" s="71" t="s">
        <v>1025</v>
      </c>
      <c r="U27" s="122" t="s">
        <v>533</v>
      </c>
    </row>
    <row r="28">
      <c r="A28" s="31" t="s">
        <v>2720</v>
      </c>
      <c r="G28" s="84" t="s">
        <v>2721</v>
      </c>
      <c r="I28" s="71" t="s">
        <v>644</v>
      </c>
      <c r="R28" s="33" t="s">
        <v>2722</v>
      </c>
      <c r="U28" s="122" t="s">
        <v>1101</v>
      </c>
      <c r="V28" s="122">
        <v>0.5</v>
      </c>
      <c r="W28" s="126">
        <f>V28*1500</f>
        <v>750</v>
      </c>
      <c r="X28" s="126">
        <f>V28*40</f>
        <v>20</v>
      </c>
    </row>
    <row r="29">
      <c r="A29" s="31" t="s">
        <v>2723</v>
      </c>
      <c r="G29" s="31" t="s">
        <v>2724</v>
      </c>
      <c r="I29" s="71" t="s">
        <v>652</v>
      </c>
      <c r="Q29" s="4" t="s">
        <v>2725</v>
      </c>
      <c r="R29" s="71" t="s">
        <v>1025</v>
      </c>
      <c r="S29" s="4">
        <v>1000.0</v>
      </c>
      <c r="U29" s="128" t="s">
        <v>470</v>
      </c>
      <c r="W29" s="129">
        <f t="shared" ref="W29:X29" si="6">W25+W26+W28</f>
        <v>4250</v>
      </c>
      <c r="X29" s="129">
        <f t="shared" si="6"/>
        <v>80</v>
      </c>
    </row>
    <row r="30">
      <c r="A30" s="31" t="s">
        <v>2726</v>
      </c>
      <c r="G30" s="31" t="s">
        <v>2727</v>
      </c>
      <c r="H30" s="71" t="s">
        <v>2728</v>
      </c>
      <c r="I30" s="71" t="s">
        <v>650</v>
      </c>
      <c r="J30" s="71">
        <v>500.0</v>
      </c>
      <c r="Q30" s="4" t="s">
        <v>2729</v>
      </c>
      <c r="R30" s="33" t="s">
        <v>2700</v>
      </c>
      <c r="S30" s="4">
        <v>100000.0</v>
      </c>
      <c r="T30" s="125" t="s">
        <v>2730</v>
      </c>
      <c r="U30" s="122" t="s">
        <v>447</v>
      </c>
      <c r="V30" s="122">
        <v>14.0</v>
      </c>
      <c r="W30" s="122">
        <f>V30*1000</f>
        <v>14000</v>
      </c>
      <c r="X30" s="126">
        <f>V30*20</f>
        <v>280</v>
      </c>
    </row>
    <row r="31">
      <c r="A31" s="31" t="s">
        <v>2731</v>
      </c>
      <c r="G31" s="31" t="s">
        <v>2732</v>
      </c>
      <c r="I31" s="71" t="s">
        <v>644</v>
      </c>
      <c r="Q31" s="4" t="s">
        <v>2733</v>
      </c>
      <c r="R31" s="33" t="s">
        <v>2734</v>
      </c>
      <c r="S31" s="4">
        <v>100000.0</v>
      </c>
      <c r="U31" s="122" t="s">
        <v>523</v>
      </c>
      <c r="V31" s="122">
        <v>6.0</v>
      </c>
      <c r="W31" s="126">
        <f>V31*2000</f>
        <v>12000</v>
      </c>
      <c r="X31" s="126">
        <f t="shared" ref="X31:X32" si="7">V31*40</f>
        <v>240</v>
      </c>
    </row>
    <row r="32">
      <c r="A32" s="31" t="s">
        <v>2735</v>
      </c>
      <c r="G32" s="31" t="s">
        <v>2736</v>
      </c>
      <c r="I32" s="71" t="s">
        <v>652</v>
      </c>
      <c r="Q32" s="33" t="s">
        <v>2737</v>
      </c>
      <c r="S32" s="4">
        <v>1000000.0</v>
      </c>
      <c r="U32" s="122" t="s">
        <v>500</v>
      </c>
      <c r="V32" s="122">
        <v>6.0</v>
      </c>
      <c r="W32" s="126">
        <f>V32*3000</f>
        <v>18000</v>
      </c>
      <c r="X32" s="126">
        <f t="shared" si="7"/>
        <v>240</v>
      </c>
    </row>
    <row r="33">
      <c r="A33" s="31" t="s">
        <v>2738</v>
      </c>
      <c r="H33" s="71" t="s">
        <v>2739</v>
      </c>
      <c r="I33" s="71" t="s">
        <v>650</v>
      </c>
      <c r="J33" s="71">
        <v>500.0</v>
      </c>
      <c r="Q33" s="33" t="s">
        <v>1720</v>
      </c>
      <c r="S33" s="4">
        <v>500000.0</v>
      </c>
      <c r="U33" s="122" t="s">
        <v>590</v>
      </c>
      <c r="V33" s="122">
        <v>9.5</v>
      </c>
      <c r="W33" s="126">
        <f>V33*5000</f>
        <v>47500</v>
      </c>
      <c r="X33" s="126">
        <f>V33*100</f>
        <v>950</v>
      </c>
    </row>
    <row r="34">
      <c r="A34" s="31" t="s">
        <v>2740</v>
      </c>
      <c r="I34" s="71" t="s">
        <v>635</v>
      </c>
      <c r="Q34" s="33" t="s">
        <v>2741</v>
      </c>
      <c r="S34" s="78">
        <v>250000.0</v>
      </c>
      <c r="U34" s="122" t="s">
        <v>655</v>
      </c>
      <c r="V34" s="122">
        <v>2.0</v>
      </c>
      <c r="W34" s="122">
        <f>V34*2000</f>
        <v>4000</v>
      </c>
      <c r="X34" s="126">
        <f>V34*20</f>
        <v>40</v>
      </c>
    </row>
    <row r="35">
      <c r="A35" s="31" t="s">
        <v>2742</v>
      </c>
      <c r="I35" s="71" t="s">
        <v>613</v>
      </c>
      <c r="Q35" s="33" t="s">
        <v>2743</v>
      </c>
      <c r="S35" s="78">
        <v>200000.0</v>
      </c>
      <c r="U35" s="122" t="s">
        <v>654</v>
      </c>
      <c r="V35" s="122">
        <v>12.0</v>
      </c>
      <c r="W35" s="126">
        <f>V35*8000</f>
        <v>96000</v>
      </c>
      <c r="X35" s="126">
        <f>V35*80</f>
        <v>960</v>
      </c>
    </row>
    <row r="36">
      <c r="A36" s="31" t="s">
        <v>2744</v>
      </c>
      <c r="H36" s="71" t="s">
        <v>2745</v>
      </c>
      <c r="I36" s="71" t="s">
        <v>631</v>
      </c>
      <c r="J36" s="71">
        <v>1500.0</v>
      </c>
      <c r="U36" s="122" t="s">
        <v>511</v>
      </c>
      <c r="V36" s="122">
        <v>27.0</v>
      </c>
      <c r="W36" s="126">
        <f>V36*10000</f>
        <v>270000</v>
      </c>
      <c r="X36" s="126">
        <f>V36*100</f>
        <v>2700</v>
      </c>
    </row>
    <row r="37">
      <c r="A37" s="31" t="s">
        <v>2746</v>
      </c>
      <c r="I37" s="71" t="s">
        <v>635</v>
      </c>
      <c r="U37" s="122" t="s">
        <v>533</v>
      </c>
    </row>
    <row r="38">
      <c r="A38" s="31" t="s">
        <v>2747</v>
      </c>
      <c r="I38" s="71" t="s">
        <v>613</v>
      </c>
      <c r="U38" s="122">
        <v>100.0</v>
      </c>
      <c r="V38" s="122">
        <v>1.0</v>
      </c>
      <c r="W38" s="126">
        <f t="shared" ref="W38:W44" si="8">V38*1500</f>
        <v>1500</v>
      </c>
      <c r="X38" s="126">
        <f t="shared" ref="X38:X44" si="9">V38*40</f>
        <v>40</v>
      </c>
    </row>
    <row r="39">
      <c r="A39" s="31" t="s">
        <v>2748</v>
      </c>
      <c r="H39" s="71" t="s">
        <v>2749</v>
      </c>
      <c r="I39" s="71" t="s">
        <v>650</v>
      </c>
      <c r="J39" s="71">
        <v>500.0</v>
      </c>
      <c r="U39" s="122" t="s">
        <v>1101</v>
      </c>
      <c r="V39" s="122">
        <v>12.0</v>
      </c>
      <c r="W39" s="126">
        <f t="shared" si="8"/>
        <v>18000</v>
      </c>
      <c r="X39" s="126">
        <f t="shared" si="9"/>
        <v>480</v>
      </c>
    </row>
    <row r="40">
      <c r="A40" s="31" t="s">
        <v>2750</v>
      </c>
      <c r="I40" s="71" t="s">
        <v>644</v>
      </c>
      <c r="U40" s="122" t="s">
        <v>657</v>
      </c>
      <c r="V40" s="122">
        <v>1.0</v>
      </c>
      <c r="W40" s="126">
        <f t="shared" si="8"/>
        <v>1500</v>
      </c>
      <c r="X40" s="126">
        <f t="shared" si="9"/>
        <v>40</v>
      </c>
    </row>
    <row r="41">
      <c r="A41" s="31" t="s">
        <v>2751</v>
      </c>
      <c r="I41" s="71" t="s">
        <v>652</v>
      </c>
      <c r="U41" s="122" t="s">
        <v>609</v>
      </c>
      <c r="V41" s="122">
        <v>1.5</v>
      </c>
      <c r="W41" s="126">
        <f t="shared" si="8"/>
        <v>2250</v>
      </c>
      <c r="X41" s="126">
        <f t="shared" si="9"/>
        <v>60</v>
      </c>
    </row>
    <row r="42">
      <c r="H42" s="71" t="s">
        <v>2752</v>
      </c>
      <c r="I42" s="71" t="s">
        <v>650</v>
      </c>
      <c r="J42" s="71">
        <v>500.0</v>
      </c>
      <c r="U42" s="122" t="s">
        <v>614</v>
      </c>
      <c r="V42" s="122">
        <v>4.0</v>
      </c>
      <c r="W42" s="126">
        <f t="shared" si="8"/>
        <v>6000</v>
      </c>
      <c r="X42" s="126">
        <f t="shared" si="9"/>
        <v>160</v>
      </c>
    </row>
    <row r="43">
      <c r="I43" s="71" t="s">
        <v>644</v>
      </c>
      <c r="U43" s="122" t="s">
        <v>661</v>
      </c>
      <c r="V43" s="122">
        <v>1.0</v>
      </c>
      <c r="W43" s="126">
        <f t="shared" si="8"/>
        <v>1500</v>
      </c>
      <c r="X43" s="126">
        <f t="shared" si="9"/>
        <v>40</v>
      </c>
    </row>
    <row r="44">
      <c r="I44" s="71" t="s">
        <v>652</v>
      </c>
      <c r="U44" s="122" t="s">
        <v>2708</v>
      </c>
      <c r="V44" s="122">
        <v>4.0</v>
      </c>
      <c r="W44" s="126">
        <f t="shared" si="8"/>
        <v>6000</v>
      </c>
      <c r="X44" s="126">
        <f t="shared" si="9"/>
        <v>160</v>
      </c>
    </row>
    <row r="45">
      <c r="U45" s="128" t="s">
        <v>470</v>
      </c>
      <c r="W45" s="129">
        <f t="shared" ref="W45:X45" si="10">W30+W31+W32+W33+W34+W35+W38+W39+W40+W41+W42+W43+W36+W44</f>
        <v>498250</v>
      </c>
      <c r="X45" s="129">
        <f t="shared" si="10"/>
        <v>6390</v>
      </c>
    </row>
    <row r="46">
      <c r="H46" s="71"/>
      <c r="I46" s="71"/>
      <c r="J46" s="71"/>
      <c r="T46" s="125" t="s">
        <v>2739</v>
      </c>
      <c r="U46" s="122" t="s">
        <v>447</v>
      </c>
      <c r="V46" s="122">
        <v>5.0</v>
      </c>
      <c r="W46" s="122">
        <f>V46*1000</f>
        <v>5000</v>
      </c>
      <c r="X46" s="126">
        <f>V46*20</f>
        <v>100</v>
      </c>
    </row>
    <row r="47">
      <c r="H47" s="71"/>
      <c r="I47" s="71"/>
      <c r="J47" s="71"/>
      <c r="U47" s="122" t="s">
        <v>523</v>
      </c>
      <c r="V47" s="122">
        <v>2.0</v>
      </c>
      <c r="W47" s="126">
        <f>V47*2000</f>
        <v>4000</v>
      </c>
      <c r="X47" s="126">
        <f>V47*40</f>
        <v>80</v>
      </c>
    </row>
    <row r="48">
      <c r="H48" s="71"/>
      <c r="I48" s="71"/>
      <c r="J48" s="71"/>
      <c r="U48" s="122" t="s">
        <v>654</v>
      </c>
      <c r="V48" s="122">
        <v>1.0</v>
      </c>
      <c r="W48" s="126">
        <f>V48*8000</f>
        <v>8000</v>
      </c>
      <c r="X48" s="126">
        <f>V48*80</f>
        <v>80</v>
      </c>
    </row>
    <row r="49">
      <c r="H49" s="71"/>
      <c r="I49" s="71"/>
      <c r="J49" s="71"/>
      <c r="U49" s="122" t="s">
        <v>511</v>
      </c>
      <c r="V49" s="122">
        <v>3.0</v>
      </c>
      <c r="W49" s="126">
        <f>V49*10000</f>
        <v>30000</v>
      </c>
      <c r="X49" s="126">
        <f>V49*100</f>
        <v>300</v>
      </c>
    </row>
    <row r="50">
      <c r="U50" s="122" t="s">
        <v>533</v>
      </c>
    </row>
    <row r="51">
      <c r="U51" s="122" t="s">
        <v>1101</v>
      </c>
      <c r="V51" s="122">
        <v>2.0</v>
      </c>
      <c r="W51" s="126">
        <f t="shared" ref="W51:W52" si="11">V51*1500</f>
        <v>3000</v>
      </c>
      <c r="X51" s="126">
        <f t="shared" ref="X51:X52" si="12">V51*40</f>
        <v>80</v>
      </c>
    </row>
    <row r="52">
      <c r="U52" s="122" t="s">
        <v>2693</v>
      </c>
      <c r="V52" s="122">
        <v>1.0</v>
      </c>
      <c r="W52" s="126">
        <f t="shared" si="11"/>
        <v>1500</v>
      </c>
      <c r="X52" s="126">
        <f t="shared" si="12"/>
        <v>40</v>
      </c>
    </row>
    <row r="53">
      <c r="U53" s="128" t="s">
        <v>470</v>
      </c>
      <c r="W53" s="129">
        <f t="shared" ref="W53:X53" si="13">W46+W47+W48+W51+W52+W49</f>
        <v>51500</v>
      </c>
      <c r="X53" s="129">
        <f t="shared" si="13"/>
        <v>680</v>
      </c>
    </row>
    <row r="54">
      <c r="T54" s="125" t="s">
        <v>2745</v>
      </c>
      <c r="U54" s="122" t="s">
        <v>447</v>
      </c>
      <c r="V54" s="122">
        <v>5.0</v>
      </c>
      <c r="W54" s="122">
        <f>V54*1000</f>
        <v>5000</v>
      </c>
      <c r="X54" s="126">
        <f>V54*20</f>
        <v>100</v>
      </c>
    </row>
    <row r="55">
      <c r="U55" s="122" t="s">
        <v>500</v>
      </c>
      <c r="V55" s="122">
        <v>7.0</v>
      </c>
      <c r="W55" s="126">
        <f>V55*3000</f>
        <v>21000</v>
      </c>
      <c r="X55" s="126">
        <f>V55*40</f>
        <v>280</v>
      </c>
    </row>
    <row r="56">
      <c r="U56" s="122" t="s">
        <v>655</v>
      </c>
      <c r="V56" s="122">
        <v>2.0</v>
      </c>
      <c r="W56" s="122">
        <f>V56*2000</f>
        <v>4000</v>
      </c>
      <c r="X56" s="126">
        <f>V56*20</f>
        <v>40</v>
      </c>
    </row>
    <row r="57">
      <c r="U57" s="122" t="s">
        <v>654</v>
      </c>
      <c r="V57" s="122">
        <v>6.5</v>
      </c>
      <c r="W57" s="126">
        <f>V57*8000</f>
        <v>52000</v>
      </c>
      <c r="X57" s="126">
        <f>V57*80</f>
        <v>520</v>
      </c>
    </row>
    <row r="58">
      <c r="U58" s="122" t="s">
        <v>590</v>
      </c>
      <c r="V58" s="122">
        <v>2.5</v>
      </c>
      <c r="W58" s="126">
        <f>V58*5000</f>
        <v>12500</v>
      </c>
      <c r="X58" s="126">
        <f t="shared" ref="X58:X59" si="14">V58*100</f>
        <v>250</v>
      </c>
    </row>
    <row r="59">
      <c r="U59" s="122" t="s">
        <v>511</v>
      </c>
      <c r="V59" s="122">
        <v>8.0</v>
      </c>
      <c r="W59" s="126">
        <f>V59*10000</f>
        <v>80000</v>
      </c>
      <c r="X59" s="126">
        <f t="shared" si="14"/>
        <v>800</v>
      </c>
    </row>
    <row r="60">
      <c r="U60" s="122" t="s">
        <v>523</v>
      </c>
      <c r="V60" s="122">
        <v>1.0</v>
      </c>
      <c r="W60" s="126">
        <f>V60*2000</f>
        <v>2000</v>
      </c>
      <c r="X60" s="126">
        <f>V60*40</f>
        <v>40</v>
      </c>
    </row>
    <row r="61">
      <c r="U61" s="122" t="s">
        <v>533</v>
      </c>
    </row>
    <row r="62">
      <c r="U62" s="122" t="s">
        <v>609</v>
      </c>
      <c r="V62" s="122">
        <v>2.0</v>
      </c>
      <c r="W62" s="126">
        <f t="shared" ref="W62:W64" si="15">V62*1500</f>
        <v>3000</v>
      </c>
      <c r="X62" s="126">
        <f t="shared" ref="X62:X64" si="16">V62*40</f>
        <v>80</v>
      </c>
    </row>
    <row r="63">
      <c r="U63" s="122" t="s">
        <v>614</v>
      </c>
      <c r="V63" s="122">
        <v>2.0</v>
      </c>
      <c r="W63" s="126">
        <f t="shared" si="15"/>
        <v>3000</v>
      </c>
      <c r="X63" s="126">
        <f t="shared" si="16"/>
        <v>80</v>
      </c>
    </row>
    <row r="64">
      <c r="U64" s="122" t="s">
        <v>2708</v>
      </c>
      <c r="V64" s="122">
        <v>4.0</v>
      </c>
      <c r="W64" s="126">
        <f t="shared" si="15"/>
        <v>6000</v>
      </c>
      <c r="X64" s="126">
        <f t="shared" si="16"/>
        <v>160</v>
      </c>
    </row>
    <row r="65">
      <c r="U65" s="128" t="s">
        <v>470</v>
      </c>
      <c r="W65" s="129">
        <f t="shared" ref="W65:X65" si="17">W55+W56+W57+W62+W63+W58+W54+W59+W60+W64</f>
        <v>188500</v>
      </c>
      <c r="X65" s="129">
        <f t="shared" si="17"/>
        <v>2350</v>
      </c>
    </row>
    <row r="66">
      <c r="T66" s="274" t="s">
        <v>2753</v>
      </c>
      <c r="U66" s="122" t="s">
        <v>511</v>
      </c>
      <c r="V66" s="122">
        <v>11.0</v>
      </c>
      <c r="W66" s="126">
        <f>V66*10000</f>
        <v>110000</v>
      </c>
      <c r="X66" s="126">
        <f>V66*100</f>
        <v>1100</v>
      </c>
    </row>
    <row r="67">
      <c r="U67" s="122" t="s">
        <v>533</v>
      </c>
    </row>
    <row r="68">
      <c r="A68" s="47" t="s">
        <v>366</v>
      </c>
      <c r="U68" s="122" t="s">
        <v>2708</v>
      </c>
      <c r="V68" s="122">
        <v>1.0</v>
      </c>
      <c r="W68" s="126">
        <f>V68*1500</f>
        <v>1500</v>
      </c>
      <c r="X68" s="126">
        <f>V68*40</f>
        <v>40</v>
      </c>
    </row>
    <row r="69">
      <c r="A69" s="47">
        <f>A72+A84+A117+A152+A179+A200+A240+A260+A300</f>
        <v>3761000</v>
      </c>
      <c r="U69" s="128" t="s">
        <v>470</v>
      </c>
      <c r="W69" s="129">
        <f t="shared" ref="W69:X69" si="18">W66+W68</f>
        <v>111500</v>
      </c>
      <c r="X69" s="129">
        <f t="shared" si="18"/>
        <v>1140</v>
      </c>
    </row>
    <row r="70">
      <c r="A70" s="85"/>
      <c r="B70" s="85"/>
      <c r="C70" s="85"/>
      <c r="D70" s="85"/>
      <c r="E70" s="85"/>
      <c r="T70" s="274" t="s">
        <v>2705</v>
      </c>
      <c r="U70" s="122" t="s">
        <v>511</v>
      </c>
      <c r="V70" s="122">
        <v>0.5</v>
      </c>
      <c r="W70" s="126">
        <f>V70*10000</f>
        <v>5000</v>
      </c>
      <c r="X70" s="126">
        <f>V70*100</f>
        <v>50</v>
      </c>
    </row>
    <row r="71">
      <c r="A71" s="82" t="s">
        <v>1123</v>
      </c>
      <c r="U71" s="128" t="s">
        <v>470</v>
      </c>
      <c r="W71" s="129">
        <f t="shared" ref="W71:X71" si="19">W70</f>
        <v>5000</v>
      </c>
      <c r="X71" s="129">
        <f t="shared" si="19"/>
        <v>50</v>
      </c>
    </row>
    <row r="72">
      <c r="A72" s="82">
        <v>22300.0</v>
      </c>
    </row>
    <row r="73">
      <c r="A73" s="82">
        <v>2026.0</v>
      </c>
    </row>
    <row r="74">
      <c r="A74" s="50" t="s">
        <v>665</v>
      </c>
      <c r="B74" s="50" t="s">
        <v>119</v>
      </c>
      <c r="C74" s="50" t="s">
        <v>142</v>
      </c>
      <c r="D74" s="50" t="s">
        <v>126</v>
      </c>
      <c r="E74" s="50" t="s">
        <v>130</v>
      </c>
    </row>
    <row r="75">
      <c r="A75" s="84" t="s">
        <v>2754</v>
      </c>
      <c r="D75" s="84" t="s">
        <v>2038</v>
      </c>
      <c r="E75" s="84" t="s">
        <v>2755</v>
      </c>
    </row>
    <row r="76">
      <c r="A76" s="31" t="s">
        <v>2756</v>
      </c>
      <c r="D76" s="31" t="s">
        <v>2757</v>
      </c>
      <c r="E76" s="31" t="s">
        <v>2758</v>
      </c>
    </row>
    <row r="77">
      <c r="A77" s="31" t="s">
        <v>1762</v>
      </c>
      <c r="D77" s="31" t="s">
        <v>2759</v>
      </c>
      <c r="E77" s="31" t="s">
        <v>718</v>
      </c>
    </row>
    <row r="78">
      <c r="A78" s="31" t="s">
        <v>1179</v>
      </c>
      <c r="D78" s="31" t="s">
        <v>680</v>
      </c>
      <c r="E78" s="31" t="s">
        <v>2760</v>
      </c>
    </row>
    <row r="79">
      <c r="A79" s="31" t="s">
        <v>826</v>
      </c>
      <c r="E79" s="31" t="s">
        <v>2732</v>
      </c>
    </row>
    <row r="80">
      <c r="A80" s="31" t="s">
        <v>678</v>
      </c>
      <c r="E80" s="31" t="s">
        <v>1762</v>
      </c>
    </row>
    <row r="81">
      <c r="A81" s="31" t="s">
        <v>676</v>
      </c>
      <c r="E81" s="31" t="s">
        <v>2760</v>
      </c>
    </row>
    <row r="82">
      <c r="A82" s="85"/>
    </row>
    <row r="83">
      <c r="A83" s="86" t="s">
        <v>2761</v>
      </c>
    </row>
    <row r="84">
      <c r="A84" s="86">
        <v>137880.0</v>
      </c>
    </row>
    <row r="85">
      <c r="A85" s="87">
        <v>2026.0</v>
      </c>
    </row>
    <row r="86">
      <c r="A86" s="275" t="s">
        <v>2762</v>
      </c>
    </row>
    <row r="87">
      <c r="A87" s="87" t="s">
        <v>2763</v>
      </c>
    </row>
    <row r="88">
      <c r="A88" s="50" t="s">
        <v>687</v>
      </c>
      <c r="B88" s="50" t="s">
        <v>688</v>
      </c>
      <c r="C88" s="50" t="s">
        <v>689</v>
      </c>
      <c r="D88" s="50" t="s">
        <v>690</v>
      </c>
      <c r="E88" s="50" t="s">
        <v>691</v>
      </c>
      <c r="F88" s="50" t="s">
        <v>692</v>
      </c>
    </row>
    <row r="89">
      <c r="A89" s="84" t="s">
        <v>2764</v>
      </c>
      <c r="B89" s="84" t="s">
        <v>2765</v>
      </c>
      <c r="C89" s="84" t="s">
        <v>2766</v>
      </c>
      <c r="D89" s="84" t="s">
        <v>2767</v>
      </c>
      <c r="E89" s="84" t="s">
        <v>2768</v>
      </c>
      <c r="F89" s="84" t="s">
        <v>2769</v>
      </c>
    </row>
    <row r="90">
      <c r="A90" s="31" t="s">
        <v>2770</v>
      </c>
      <c r="B90" s="31" t="s">
        <v>2771</v>
      </c>
      <c r="C90" s="31" t="s">
        <v>2772</v>
      </c>
      <c r="D90" s="31" t="s">
        <v>2636</v>
      </c>
      <c r="E90" s="31" t="s">
        <v>2756</v>
      </c>
      <c r="F90" s="31" t="s">
        <v>2724</v>
      </c>
    </row>
    <row r="91">
      <c r="A91" s="31" t="s">
        <v>2773</v>
      </c>
      <c r="B91" s="31" t="s">
        <v>2773</v>
      </c>
      <c r="C91" s="31" t="s">
        <v>2773</v>
      </c>
      <c r="D91" s="31" t="s">
        <v>2773</v>
      </c>
      <c r="E91" s="31" t="s">
        <v>2773</v>
      </c>
      <c r="F91" s="31" t="s">
        <v>2773</v>
      </c>
    </row>
    <row r="92">
      <c r="A92" s="31" t="s">
        <v>1556</v>
      </c>
      <c r="B92" s="31" t="s">
        <v>1545</v>
      </c>
      <c r="C92" s="31" t="s">
        <v>1573</v>
      </c>
      <c r="D92" s="31" t="s">
        <v>1545</v>
      </c>
      <c r="E92" s="31" t="s">
        <v>1545</v>
      </c>
      <c r="F92" s="31" t="s">
        <v>2774</v>
      </c>
    </row>
    <row r="93">
      <c r="A93" s="31" t="s">
        <v>676</v>
      </c>
      <c r="B93" s="31" t="s">
        <v>2775</v>
      </c>
      <c r="C93" s="31" t="s">
        <v>682</v>
      </c>
      <c r="D93" s="31" t="s">
        <v>2776</v>
      </c>
      <c r="E93" s="31" t="s">
        <v>2777</v>
      </c>
      <c r="F93" s="31" t="s">
        <v>676</v>
      </c>
    </row>
    <row r="94">
      <c r="A94" s="31" t="s">
        <v>1545</v>
      </c>
      <c r="B94" s="31" t="s">
        <v>2778</v>
      </c>
      <c r="C94" s="31" t="s">
        <v>2779</v>
      </c>
      <c r="D94" s="31" t="s">
        <v>2778</v>
      </c>
      <c r="E94" s="31" t="s">
        <v>2666</v>
      </c>
      <c r="F94" s="31" t="s">
        <v>682</v>
      </c>
    </row>
    <row r="95">
      <c r="A95" s="31" t="s">
        <v>2780</v>
      </c>
      <c r="B95" s="31" t="s">
        <v>705</v>
      </c>
      <c r="C95" s="31" t="s">
        <v>2778</v>
      </c>
      <c r="D95" s="31" t="s">
        <v>678</v>
      </c>
      <c r="E95" s="31" t="s">
        <v>2778</v>
      </c>
      <c r="F95" s="31" t="s">
        <v>2781</v>
      </c>
    </row>
    <row r="96">
      <c r="A96" s="31" t="s">
        <v>2782</v>
      </c>
      <c r="B96" s="31" t="s">
        <v>719</v>
      </c>
      <c r="C96" s="31" t="s">
        <v>2783</v>
      </c>
      <c r="D96" s="31" t="s">
        <v>676</v>
      </c>
      <c r="E96" s="31" t="s">
        <v>1769</v>
      </c>
      <c r="F96" s="31" t="s">
        <v>2784</v>
      </c>
    </row>
    <row r="97">
      <c r="A97" s="31" t="s">
        <v>2649</v>
      </c>
      <c r="B97" s="31" t="s">
        <v>2785</v>
      </c>
      <c r="C97" s="31" t="s">
        <v>826</v>
      </c>
      <c r="D97" s="31" t="s">
        <v>2786</v>
      </c>
      <c r="E97" s="31" t="s">
        <v>2787</v>
      </c>
      <c r="F97" s="31" t="s">
        <v>2778</v>
      </c>
    </row>
    <row r="98">
      <c r="A98" s="31" t="s">
        <v>2778</v>
      </c>
      <c r="B98" s="31" t="s">
        <v>826</v>
      </c>
      <c r="D98" s="31" t="s">
        <v>718</v>
      </c>
      <c r="E98" s="31" t="s">
        <v>718</v>
      </c>
      <c r="F98" s="31" t="s">
        <v>713</v>
      </c>
    </row>
    <row r="99">
      <c r="A99" s="31" t="s">
        <v>1133</v>
      </c>
      <c r="D99" s="31" t="s">
        <v>2788</v>
      </c>
      <c r="E99" s="31" t="s">
        <v>1769</v>
      </c>
      <c r="F99" s="31" t="s">
        <v>2789</v>
      </c>
    </row>
    <row r="100">
      <c r="A100" s="31" t="s">
        <v>2790</v>
      </c>
      <c r="D100" s="31" t="s">
        <v>826</v>
      </c>
      <c r="E100" s="31" t="s">
        <v>2791</v>
      </c>
      <c r="F100" s="31" t="s">
        <v>673</v>
      </c>
    </row>
    <row r="101">
      <c r="A101" s="31" t="s">
        <v>718</v>
      </c>
      <c r="D101" s="31" t="s">
        <v>2637</v>
      </c>
      <c r="E101" s="31" t="s">
        <v>703</v>
      </c>
      <c r="F101" s="31" t="s">
        <v>713</v>
      </c>
    </row>
    <row r="102">
      <c r="A102" s="31" t="s">
        <v>1133</v>
      </c>
      <c r="D102" s="31" t="s">
        <v>826</v>
      </c>
      <c r="E102" s="31" t="s">
        <v>678</v>
      </c>
    </row>
    <row r="103">
      <c r="A103" s="31" t="s">
        <v>2792</v>
      </c>
      <c r="E103" s="31" t="s">
        <v>676</v>
      </c>
    </row>
    <row r="104">
      <c r="A104" s="31" t="s">
        <v>718</v>
      </c>
      <c r="E104" s="31" t="s">
        <v>1769</v>
      </c>
    </row>
    <row r="105">
      <c r="A105" s="31" t="s">
        <v>729</v>
      </c>
    </row>
    <row r="106">
      <c r="A106" s="31" t="s">
        <v>1133</v>
      </c>
    </row>
    <row r="107">
      <c r="A107" s="31" t="s">
        <v>2793</v>
      </c>
    </row>
    <row r="108">
      <c r="A108" s="31" t="s">
        <v>826</v>
      </c>
    </row>
    <row r="109">
      <c r="A109" s="31" t="s">
        <v>1133</v>
      </c>
    </row>
    <row r="110">
      <c r="A110" s="31" t="s">
        <v>2794</v>
      </c>
    </row>
    <row r="111">
      <c r="A111" s="31" t="s">
        <v>703</v>
      </c>
    </row>
    <row r="112">
      <c r="A112" s="31" t="s">
        <v>2795</v>
      </c>
    </row>
    <row r="113">
      <c r="A113" s="31" t="s">
        <v>1133</v>
      </c>
    </row>
    <row r="114">
      <c r="A114" s="89" t="s">
        <v>2796</v>
      </c>
    </row>
    <row r="115">
      <c r="A115" s="85"/>
    </row>
    <row r="116">
      <c r="A116" s="22" t="s">
        <v>1148</v>
      </c>
    </row>
    <row r="117">
      <c r="A117" s="22">
        <v>185700.0</v>
      </c>
    </row>
    <row r="118">
      <c r="A118" s="19">
        <v>2026.0</v>
      </c>
    </row>
    <row r="119">
      <c r="A119" s="88" t="s">
        <v>2797</v>
      </c>
    </row>
    <row r="120">
      <c r="A120" s="50" t="s">
        <v>733</v>
      </c>
      <c r="B120" s="50" t="s">
        <v>191</v>
      </c>
      <c r="C120" s="50" t="s">
        <v>734</v>
      </c>
      <c r="D120" s="50" t="s">
        <v>735</v>
      </c>
      <c r="E120" s="50" t="s">
        <v>187</v>
      </c>
      <c r="F120" s="50" t="s">
        <v>736</v>
      </c>
      <c r="G120" s="50" t="s">
        <v>179</v>
      </c>
      <c r="H120" s="50" t="s">
        <v>737</v>
      </c>
    </row>
    <row r="121">
      <c r="A121" s="76" t="s">
        <v>377</v>
      </c>
      <c r="B121" s="76" t="s">
        <v>1754</v>
      </c>
      <c r="C121" s="76" t="s">
        <v>2798</v>
      </c>
      <c r="D121" s="76" t="s">
        <v>2040</v>
      </c>
      <c r="E121" s="76" t="s">
        <v>2799</v>
      </c>
      <c r="F121" s="76" t="s">
        <v>377</v>
      </c>
      <c r="G121" s="76" t="s">
        <v>2800</v>
      </c>
      <c r="H121" s="76" t="s">
        <v>2801</v>
      </c>
    </row>
    <row r="122">
      <c r="B122" s="31" t="s">
        <v>2802</v>
      </c>
      <c r="C122" s="31" t="s">
        <v>2803</v>
      </c>
      <c r="D122" s="31" t="s">
        <v>2804</v>
      </c>
      <c r="E122" s="31" t="s">
        <v>2756</v>
      </c>
      <c r="G122" s="31" t="s">
        <v>2805</v>
      </c>
      <c r="H122" s="31" t="s">
        <v>2806</v>
      </c>
    </row>
    <row r="123">
      <c r="B123" s="31" t="s">
        <v>926</v>
      </c>
      <c r="C123" s="31" t="s">
        <v>1784</v>
      </c>
      <c r="D123" s="31" t="s">
        <v>677</v>
      </c>
      <c r="E123" s="31" t="s">
        <v>702</v>
      </c>
      <c r="G123" s="31" t="s">
        <v>855</v>
      </c>
      <c r="H123" s="31" t="s">
        <v>704</v>
      </c>
    </row>
    <row r="124">
      <c r="B124" s="31" t="s">
        <v>773</v>
      </c>
      <c r="C124" s="31" t="s">
        <v>644</v>
      </c>
      <c r="D124" s="31" t="s">
        <v>613</v>
      </c>
      <c r="E124" s="31" t="s">
        <v>2807</v>
      </c>
      <c r="G124" s="31" t="s">
        <v>631</v>
      </c>
    </row>
    <row r="125">
      <c r="B125" s="31" t="s">
        <v>2808</v>
      </c>
      <c r="E125" s="31" t="s">
        <v>2809</v>
      </c>
      <c r="G125" s="31" t="s">
        <v>644</v>
      </c>
    </row>
    <row r="126">
      <c r="B126" s="31" t="s">
        <v>677</v>
      </c>
      <c r="E126" s="31" t="s">
        <v>782</v>
      </c>
      <c r="G126" s="31" t="s">
        <v>2810</v>
      </c>
    </row>
    <row r="127">
      <c r="B127" s="31" t="s">
        <v>773</v>
      </c>
      <c r="E127" s="31" t="s">
        <v>2666</v>
      </c>
      <c r="G127" s="31" t="s">
        <v>786</v>
      </c>
    </row>
    <row r="128">
      <c r="B128" s="31" t="s">
        <v>2811</v>
      </c>
      <c r="E128" s="31" t="s">
        <v>1247</v>
      </c>
      <c r="G128" s="31" t="s">
        <v>2812</v>
      </c>
    </row>
    <row r="129">
      <c r="B129" s="31" t="s">
        <v>671</v>
      </c>
      <c r="E129" s="31" t="s">
        <v>782</v>
      </c>
      <c r="G129" s="31" t="s">
        <v>677</v>
      </c>
    </row>
    <row r="130">
      <c r="B130" s="31" t="s">
        <v>1586</v>
      </c>
      <c r="E130" s="31" t="s">
        <v>2813</v>
      </c>
      <c r="G130" s="31" t="s">
        <v>786</v>
      </c>
    </row>
    <row r="131">
      <c r="B131" s="31" t="s">
        <v>773</v>
      </c>
      <c r="E131" s="31" t="s">
        <v>855</v>
      </c>
    </row>
    <row r="132">
      <c r="B132" s="31" t="s">
        <v>2814</v>
      </c>
      <c r="E132" s="31" t="s">
        <v>1586</v>
      </c>
    </row>
    <row r="133">
      <c r="B133" s="31" t="s">
        <v>677</v>
      </c>
      <c r="E133" s="31" t="s">
        <v>782</v>
      </c>
    </row>
    <row r="134">
      <c r="B134" s="31" t="s">
        <v>773</v>
      </c>
      <c r="E134" s="31" t="s">
        <v>2815</v>
      </c>
    </row>
    <row r="135">
      <c r="E135" s="31" t="s">
        <v>726</v>
      </c>
    </row>
    <row r="136">
      <c r="E136" s="31" t="s">
        <v>1159</v>
      </c>
    </row>
    <row r="137">
      <c r="E137" s="31" t="s">
        <v>644</v>
      </c>
    </row>
    <row r="138">
      <c r="E138" s="31" t="s">
        <v>782</v>
      </c>
    </row>
    <row r="139">
      <c r="E139" s="31" t="s">
        <v>2816</v>
      </c>
    </row>
    <row r="140">
      <c r="E140" s="31" t="s">
        <v>703</v>
      </c>
    </row>
    <row r="141">
      <c r="E141" s="31" t="s">
        <v>782</v>
      </c>
    </row>
    <row r="151">
      <c r="A151" s="90" t="s">
        <v>1172</v>
      </c>
    </row>
    <row r="152">
      <c r="A152" s="90">
        <f>A155</f>
        <v>124620</v>
      </c>
    </row>
    <row r="153">
      <c r="A153" s="90">
        <v>2026.0</v>
      </c>
    </row>
    <row r="154">
      <c r="A154" s="90" t="s">
        <v>368</v>
      </c>
    </row>
    <row r="155">
      <c r="A155" s="90">
        <f>A158+B158+C158+D158+E158+F158+G158+H158</f>
        <v>124620</v>
      </c>
    </row>
    <row r="156">
      <c r="A156" s="50" t="s">
        <v>789</v>
      </c>
      <c r="B156" s="50" t="s">
        <v>790</v>
      </c>
      <c r="C156" s="50" t="s">
        <v>215</v>
      </c>
      <c r="D156" s="50" t="s">
        <v>791</v>
      </c>
      <c r="E156" s="50" t="s">
        <v>202</v>
      </c>
      <c r="F156" s="50" t="s">
        <v>792</v>
      </c>
      <c r="G156" s="50" t="s">
        <v>793</v>
      </c>
      <c r="H156" s="50" t="s">
        <v>205</v>
      </c>
    </row>
    <row r="157">
      <c r="A157" s="33" t="s">
        <v>377</v>
      </c>
      <c r="B157" s="33" t="s">
        <v>377</v>
      </c>
      <c r="C157" s="33" t="s">
        <v>377</v>
      </c>
      <c r="D157" s="33" t="s">
        <v>377</v>
      </c>
      <c r="E157" s="33" t="s">
        <v>377</v>
      </c>
      <c r="F157" s="33" t="s">
        <v>377</v>
      </c>
      <c r="G157" s="33" t="s">
        <v>377</v>
      </c>
      <c r="H157" s="33" t="s">
        <v>377</v>
      </c>
    </row>
    <row r="158">
      <c r="A158" s="50">
        <v>15750.0</v>
      </c>
      <c r="B158" s="50">
        <v>11750.0</v>
      </c>
      <c r="C158" s="50">
        <v>36220.0</v>
      </c>
      <c r="D158" s="50">
        <v>4750.0</v>
      </c>
      <c r="E158" s="50">
        <v>0.0</v>
      </c>
      <c r="F158" s="50">
        <v>2000.0</v>
      </c>
      <c r="G158" s="50">
        <v>12000.0</v>
      </c>
      <c r="H158" s="50">
        <v>42150.0</v>
      </c>
    </row>
    <row r="159">
      <c r="A159" s="31" t="s">
        <v>2758</v>
      </c>
      <c r="B159" s="31" t="s">
        <v>2757</v>
      </c>
      <c r="C159" s="31" t="s">
        <v>2817</v>
      </c>
      <c r="D159" s="31" t="s">
        <v>2818</v>
      </c>
      <c r="F159" s="31" t="s">
        <v>2624</v>
      </c>
      <c r="G159" s="31" t="s">
        <v>2636</v>
      </c>
      <c r="H159" s="31" t="s">
        <v>2756</v>
      </c>
    </row>
    <row r="160">
      <c r="A160" s="31" t="s">
        <v>1316</v>
      </c>
      <c r="B160" s="31" t="s">
        <v>820</v>
      </c>
      <c r="C160" s="31" t="s">
        <v>844</v>
      </c>
      <c r="D160" s="31" t="s">
        <v>826</v>
      </c>
      <c r="F160" s="31" t="s">
        <v>826</v>
      </c>
      <c r="G160" s="31" t="s">
        <v>1247</v>
      </c>
      <c r="H160" s="31" t="s">
        <v>1606</v>
      </c>
    </row>
    <row r="161">
      <c r="A161" s="31" t="s">
        <v>806</v>
      </c>
      <c r="B161" s="31" t="s">
        <v>807</v>
      </c>
      <c r="C161" s="31" t="s">
        <v>803</v>
      </c>
      <c r="D161" s="31" t="s">
        <v>1800</v>
      </c>
      <c r="H161" s="31" t="s">
        <v>802</v>
      </c>
    </row>
    <row r="162">
      <c r="B162" s="31" t="s">
        <v>2819</v>
      </c>
      <c r="C162" s="31" t="s">
        <v>811</v>
      </c>
      <c r="D162" s="31" t="s">
        <v>826</v>
      </c>
      <c r="H162" s="31" t="s">
        <v>807</v>
      </c>
    </row>
    <row r="163">
      <c r="B163" s="31" t="s">
        <v>677</v>
      </c>
      <c r="C163" s="31" t="s">
        <v>2820</v>
      </c>
      <c r="D163" s="31" t="s">
        <v>807</v>
      </c>
      <c r="H163" s="31" t="s">
        <v>817</v>
      </c>
    </row>
    <row r="164">
      <c r="C164" s="31" t="s">
        <v>718</v>
      </c>
      <c r="H164" s="31" t="s">
        <v>2776</v>
      </c>
    </row>
    <row r="165">
      <c r="C165" s="31" t="s">
        <v>803</v>
      </c>
      <c r="H165" s="31" t="s">
        <v>704</v>
      </c>
    </row>
    <row r="166">
      <c r="C166" s="31" t="s">
        <v>807</v>
      </c>
      <c r="H166" s="31" t="s">
        <v>817</v>
      </c>
    </row>
    <row r="167">
      <c r="C167" s="31" t="s">
        <v>811</v>
      </c>
    </row>
    <row r="168">
      <c r="C168" s="31" t="s">
        <v>2821</v>
      </c>
    </row>
    <row r="169">
      <c r="C169" s="31" t="s">
        <v>677</v>
      </c>
    </row>
    <row r="170">
      <c r="C170" s="31" t="s">
        <v>811</v>
      </c>
    </row>
    <row r="171">
      <c r="C171" s="31" t="s">
        <v>2822</v>
      </c>
    </row>
    <row r="172">
      <c r="C172" s="31" t="s">
        <v>703</v>
      </c>
    </row>
    <row r="173">
      <c r="C173" s="31" t="s">
        <v>807</v>
      </c>
    </row>
    <row r="174">
      <c r="C174" s="31" t="s">
        <v>811</v>
      </c>
    </row>
    <row r="178">
      <c r="A178" s="92" t="s">
        <v>828</v>
      </c>
    </row>
    <row r="179">
      <c r="A179" s="92">
        <f>A182</f>
        <v>208900</v>
      </c>
    </row>
    <row r="180">
      <c r="A180" s="92">
        <v>2026.0</v>
      </c>
    </row>
    <row r="181">
      <c r="A181" s="92" t="s">
        <v>368</v>
      </c>
    </row>
    <row r="182">
      <c r="A182" s="93">
        <f>A185+B185+C185+D185+E185+F185+G185+H185+I185+J185</f>
        <v>208900</v>
      </c>
    </row>
    <row r="183">
      <c r="A183" s="94" t="s">
        <v>829</v>
      </c>
      <c r="B183" s="94" t="s">
        <v>830</v>
      </c>
      <c r="C183" s="94" t="s">
        <v>831</v>
      </c>
      <c r="D183" s="94" t="s">
        <v>832</v>
      </c>
      <c r="E183" s="94" t="s">
        <v>833</v>
      </c>
      <c r="F183" s="94" t="s">
        <v>834</v>
      </c>
      <c r="G183" s="94" t="s">
        <v>835</v>
      </c>
      <c r="H183" s="94" t="s">
        <v>836</v>
      </c>
      <c r="I183" s="95" t="s">
        <v>837</v>
      </c>
      <c r="J183" s="95" t="s">
        <v>838</v>
      </c>
    </row>
    <row r="184">
      <c r="A184" s="33" t="s">
        <v>377</v>
      </c>
      <c r="B184" s="33" t="s">
        <v>377</v>
      </c>
      <c r="C184" s="33" t="s">
        <v>377</v>
      </c>
      <c r="D184" s="33" t="s">
        <v>377</v>
      </c>
      <c r="E184" s="33" t="s">
        <v>377</v>
      </c>
      <c r="F184" s="33" t="s">
        <v>377</v>
      </c>
      <c r="G184" s="33" t="s">
        <v>377</v>
      </c>
      <c r="H184" s="33" t="s">
        <v>377</v>
      </c>
      <c r="I184" s="33" t="s">
        <v>377</v>
      </c>
      <c r="J184" s="33" t="s">
        <v>377</v>
      </c>
    </row>
    <row r="185">
      <c r="A185" s="50">
        <v>0.0</v>
      </c>
      <c r="B185" s="50">
        <v>0.0</v>
      </c>
      <c r="C185" s="50">
        <v>29500.0</v>
      </c>
      <c r="D185" s="50">
        <v>32000.0</v>
      </c>
      <c r="E185" s="50">
        <v>37900.0</v>
      </c>
      <c r="F185" s="50">
        <v>46000.0</v>
      </c>
      <c r="G185" s="50">
        <v>30000.0</v>
      </c>
      <c r="H185" s="50">
        <v>33500.0</v>
      </c>
      <c r="I185" s="50">
        <v>0.0</v>
      </c>
      <c r="J185" s="50">
        <v>0.0</v>
      </c>
    </row>
    <row r="186">
      <c r="C186" s="91" t="s">
        <v>2757</v>
      </c>
      <c r="D186" s="31" t="s">
        <v>2823</v>
      </c>
      <c r="E186" s="31" t="s">
        <v>2806</v>
      </c>
      <c r="F186" s="31" t="s">
        <v>2824</v>
      </c>
      <c r="G186" s="31" t="s">
        <v>2758</v>
      </c>
      <c r="H186" s="31" t="s">
        <v>2756</v>
      </c>
    </row>
    <row r="187">
      <c r="C187" s="91" t="s">
        <v>845</v>
      </c>
      <c r="D187" s="31" t="s">
        <v>868</v>
      </c>
      <c r="E187" s="31" t="s">
        <v>820</v>
      </c>
      <c r="F187" s="31" t="s">
        <v>868</v>
      </c>
      <c r="G187" s="31" t="s">
        <v>951</v>
      </c>
      <c r="H187" s="31" t="s">
        <v>845</v>
      </c>
    </row>
    <row r="188">
      <c r="C188" s="91" t="s">
        <v>1800</v>
      </c>
      <c r="D188" s="31" t="s">
        <v>1195</v>
      </c>
      <c r="E188" s="31" t="s">
        <v>2820</v>
      </c>
      <c r="F188" s="31" t="s">
        <v>2732</v>
      </c>
      <c r="H188" s="31" t="s">
        <v>2649</v>
      </c>
    </row>
    <row r="189">
      <c r="C189" s="91" t="s">
        <v>673</v>
      </c>
      <c r="D189" s="31" t="s">
        <v>854</v>
      </c>
      <c r="E189" s="31" t="s">
        <v>671</v>
      </c>
      <c r="F189" s="31" t="s">
        <v>866</v>
      </c>
      <c r="H189" s="31" t="s">
        <v>1232</v>
      </c>
    </row>
    <row r="190">
      <c r="C190" s="91" t="s">
        <v>2825</v>
      </c>
      <c r="D190" s="31" t="s">
        <v>2826</v>
      </c>
      <c r="E190" s="31" t="s">
        <v>2827</v>
      </c>
      <c r="F190" s="31" t="s">
        <v>2828</v>
      </c>
    </row>
    <row r="191">
      <c r="D191" s="31" t="s">
        <v>779</v>
      </c>
      <c r="E191" s="31" t="s">
        <v>885</v>
      </c>
      <c r="F191" s="31" t="s">
        <v>703</v>
      </c>
    </row>
    <row r="192">
      <c r="D192" s="31" t="s">
        <v>2829</v>
      </c>
      <c r="E192" s="31" t="s">
        <v>2822</v>
      </c>
      <c r="F192" s="31" t="s">
        <v>2830</v>
      </c>
    </row>
    <row r="193">
      <c r="D193" s="31" t="s">
        <v>826</v>
      </c>
      <c r="E193" s="31" t="s">
        <v>703</v>
      </c>
      <c r="F193" s="31" t="s">
        <v>703</v>
      </c>
    </row>
    <row r="194">
      <c r="E194" s="31" t="s">
        <v>2831</v>
      </c>
    </row>
    <row r="195">
      <c r="E195" s="31" t="s">
        <v>767</v>
      </c>
    </row>
    <row r="196">
      <c r="E196" s="31" t="s">
        <v>2832</v>
      </c>
    </row>
    <row r="197">
      <c r="E197" s="31" t="s">
        <v>1212</v>
      </c>
    </row>
    <row r="198">
      <c r="A198" s="96" t="s">
        <v>871</v>
      </c>
    </row>
    <row r="199">
      <c r="A199" s="97" t="s">
        <v>872</v>
      </c>
    </row>
    <row r="200">
      <c r="A200" s="97">
        <f>A203</f>
        <v>455500</v>
      </c>
    </row>
    <row r="201">
      <c r="A201" s="97">
        <v>2026.0</v>
      </c>
    </row>
    <row r="202">
      <c r="A202" s="97" t="s">
        <v>368</v>
      </c>
    </row>
    <row r="203">
      <c r="A203" s="98">
        <f>A206+B206+C206+D206+E206+F206+G206+H206+I206+J206</f>
        <v>455500</v>
      </c>
    </row>
    <row r="204">
      <c r="A204" s="50" t="s">
        <v>873</v>
      </c>
      <c r="B204" s="50" t="s">
        <v>874</v>
      </c>
      <c r="C204" s="50" t="s">
        <v>875</v>
      </c>
      <c r="D204" s="50" t="s">
        <v>876</v>
      </c>
      <c r="E204" s="50" t="s">
        <v>877</v>
      </c>
      <c r="F204" s="50" t="s">
        <v>878</v>
      </c>
      <c r="G204" s="94" t="s">
        <v>879</v>
      </c>
      <c r="H204" s="99" t="s">
        <v>880</v>
      </c>
      <c r="I204" s="99" t="s">
        <v>881</v>
      </c>
      <c r="J204" s="99" t="s">
        <v>882</v>
      </c>
    </row>
    <row r="205">
      <c r="A205" s="33" t="s">
        <v>377</v>
      </c>
      <c r="B205" s="33" t="s">
        <v>377</v>
      </c>
      <c r="C205" s="33" t="s">
        <v>377</v>
      </c>
      <c r="D205" s="33" t="s">
        <v>377</v>
      </c>
      <c r="E205" s="33" t="s">
        <v>377</v>
      </c>
      <c r="F205" s="33" t="s">
        <v>377</v>
      </c>
      <c r="G205" s="33" t="s">
        <v>377</v>
      </c>
      <c r="H205" s="64" t="s">
        <v>377</v>
      </c>
      <c r="I205" s="64" t="s">
        <v>377</v>
      </c>
      <c r="J205" s="64" t="s">
        <v>377</v>
      </c>
    </row>
    <row r="206">
      <c r="A206" s="50">
        <v>12000.0</v>
      </c>
      <c r="B206" s="50"/>
      <c r="C206" s="50">
        <v>35000.0</v>
      </c>
      <c r="D206" s="50">
        <f>177500+116400</f>
        <v>293900</v>
      </c>
      <c r="E206" s="50"/>
      <c r="F206" s="50"/>
      <c r="G206" s="50"/>
      <c r="H206" s="50">
        <f>31500+77600</f>
        <v>109100</v>
      </c>
      <c r="I206" s="50">
        <v>5500.0</v>
      </c>
      <c r="J206" s="50"/>
    </row>
    <row r="207">
      <c r="A207" s="31" t="s">
        <v>2804</v>
      </c>
      <c r="C207" s="31" t="s">
        <v>2833</v>
      </c>
      <c r="D207" s="31" t="s">
        <v>2756</v>
      </c>
      <c r="H207" s="31" t="s">
        <v>2806</v>
      </c>
      <c r="I207" s="31" t="s">
        <v>2824</v>
      </c>
    </row>
    <row r="208">
      <c r="A208" s="31" t="s">
        <v>677</v>
      </c>
      <c r="C208" s="31" t="s">
        <v>677</v>
      </c>
      <c r="D208" s="31" t="s">
        <v>887</v>
      </c>
      <c r="H208" s="31" t="s">
        <v>942</v>
      </c>
      <c r="I208" s="31" t="s">
        <v>718</v>
      </c>
    </row>
    <row r="209">
      <c r="A209" s="31" t="s">
        <v>888</v>
      </c>
      <c r="C209" s="31" t="s">
        <v>2834</v>
      </c>
      <c r="D209" s="31" t="s">
        <v>1821</v>
      </c>
      <c r="H209" s="31" t="s">
        <v>890</v>
      </c>
      <c r="I209" s="31" t="s">
        <v>896</v>
      </c>
    </row>
    <row r="210">
      <c r="C210" s="31" t="s">
        <v>1813</v>
      </c>
      <c r="D210" s="31" t="s">
        <v>2666</v>
      </c>
      <c r="H210" s="31" t="s">
        <v>898</v>
      </c>
      <c r="I210" s="31" t="s">
        <v>2835</v>
      </c>
    </row>
    <row r="211">
      <c r="C211" s="31" t="s">
        <v>2836</v>
      </c>
      <c r="D211" s="31" t="s">
        <v>1223</v>
      </c>
      <c r="H211" s="31" t="s">
        <v>897</v>
      </c>
      <c r="I211" s="31" t="s">
        <v>677</v>
      </c>
    </row>
    <row r="212">
      <c r="C212" s="31" t="s">
        <v>963</v>
      </c>
      <c r="D212" s="31" t="s">
        <v>890</v>
      </c>
      <c r="H212" s="31" t="s">
        <v>2837</v>
      </c>
    </row>
    <row r="213">
      <c r="D213" s="31" t="s">
        <v>2838</v>
      </c>
      <c r="H213" s="31" t="s">
        <v>826</v>
      </c>
    </row>
    <row r="214">
      <c r="D214" s="31" t="s">
        <v>2839</v>
      </c>
      <c r="H214" s="31" t="s">
        <v>897</v>
      </c>
    </row>
    <row r="215">
      <c r="D215" s="31" t="s">
        <v>1821</v>
      </c>
    </row>
    <row r="216">
      <c r="D216" s="31" t="s">
        <v>2728</v>
      </c>
    </row>
    <row r="217">
      <c r="D217" s="31" t="s">
        <v>677</v>
      </c>
    </row>
    <row r="218">
      <c r="D218" s="31" t="s">
        <v>1821</v>
      </c>
    </row>
    <row r="219">
      <c r="D219" s="31" t="s">
        <v>2840</v>
      </c>
    </row>
    <row r="220">
      <c r="D220" s="31" t="s">
        <v>685</v>
      </c>
    </row>
    <row r="221">
      <c r="D221" s="31" t="s">
        <v>1821</v>
      </c>
    </row>
    <row r="222">
      <c r="D222" s="31" t="s">
        <v>2841</v>
      </c>
    </row>
    <row r="223">
      <c r="D223" s="31" t="s">
        <v>677</v>
      </c>
    </row>
    <row r="224">
      <c r="D224" s="31" t="s">
        <v>1821</v>
      </c>
    </row>
    <row r="225">
      <c r="D225" s="31" t="s">
        <v>2842</v>
      </c>
    </row>
    <row r="226">
      <c r="D226" s="31" t="s">
        <v>677</v>
      </c>
    </row>
    <row r="227">
      <c r="D227" s="31" t="s">
        <v>1821</v>
      </c>
    </row>
    <row r="239">
      <c r="A239" s="100" t="s">
        <v>913</v>
      </c>
    </row>
    <row r="240">
      <c r="A240" s="100">
        <f>A243</f>
        <v>118650</v>
      </c>
    </row>
    <row r="241">
      <c r="A241" s="100">
        <v>2026.0</v>
      </c>
    </row>
    <row r="242">
      <c r="A242" s="100" t="s">
        <v>368</v>
      </c>
    </row>
    <row r="243">
      <c r="A243" s="100">
        <f>A246+B246+C246+D246+E246+F246+G246+H246</f>
        <v>118650</v>
      </c>
    </row>
    <row r="244">
      <c r="A244" s="50" t="s">
        <v>914</v>
      </c>
      <c r="B244" s="50" t="s">
        <v>246</v>
      </c>
      <c r="C244" s="50" t="s">
        <v>247</v>
      </c>
      <c r="D244" s="50" t="s">
        <v>249</v>
      </c>
      <c r="E244" s="50" t="s">
        <v>915</v>
      </c>
      <c r="F244" s="50" t="s">
        <v>916</v>
      </c>
      <c r="G244" s="50" t="s">
        <v>253</v>
      </c>
      <c r="H244" s="50" t="s">
        <v>252</v>
      </c>
    </row>
    <row r="245">
      <c r="A245" s="33" t="s">
        <v>377</v>
      </c>
      <c r="B245" s="33" t="s">
        <v>377</v>
      </c>
      <c r="C245" s="33" t="s">
        <v>377</v>
      </c>
      <c r="D245" s="33" t="s">
        <v>377</v>
      </c>
      <c r="E245" s="33" t="s">
        <v>377</v>
      </c>
      <c r="F245" s="33" t="s">
        <v>377</v>
      </c>
      <c r="G245" s="33" t="s">
        <v>377</v>
      </c>
      <c r="H245" s="33" t="s">
        <v>377</v>
      </c>
    </row>
    <row r="246">
      <c r="A246" s="50">
        <v>17750.0</v>
      </c>
      <c r="B246" s="50">
        <v>0.0</v>
      </c>
      <c r="C246" s="50">
        <v>0.0</v>
      </c>
      <c r="D246" s="50">
        <f>9000+44400</f>
        <v>53400</v>
      </c>
      <c r="E246" s="50">
        <v>6500.0</v>
      </c>
      <c r="F246" s="50">
        <v>0.0</v>
      </c>
      <c r="G246" s="50">
        <v>41000.0</v>
      </c>
      <c r="H246" s="50">
        <v>0.0</v>
      </c>
    </row>
    <row r="247">
      <c r="A247" s="31" t="s">
        <v>2805</v>
      </c>
      <c r="D247" s="31" t="s">
        <v>2817</v>
      </c>
      <c r="E247" s="31" t="s">
        <v>2624</v>
      </c>
      <c r="G247" s="31" t="s">
        <v>2806</v>
      </c>
    </row>
    <row r="248">
      <c r="A248" s="31" t="s">
        <v>1606</v>
      </c>
      <c r="D248" s="31" t="s">
        <v>886</v>
      </c>
      <c r="E248" s="31" t="s">
        <v>677</v>
      </c>
      <c r="G248" s="31" t="s">
        <v>677</v>
      </c>
    </row>
    <row r="249">
      <c r="A249" s="31" t="s">
        <v>1612</v>
      </c>
      <c r="D249" s="31" t="s">
        <v>1613</v>
      </c>
      <c r="E249" s="31" t="s">
        <v>1612</v>
      </c>
      <c r="G249" s="31" t="s">
        <v>2719</v>
      </c>
    </row>
    <row r="250">
      <c r="E250" s="31" t="s">
        <v>1834</v>
      </c>
      <c r="G250" s="31" t="s">
        <v>891</v>
      </c>
    </row>
    <row r="251">
      <c r="E251" s="31" t="s">
        <v>2666</v>
      </c>
    </row>
    <row r="252">
      <c r="E252" s="31" t="s">
        <v>826</v>
      </c>
    </row>
    <row r="253">
      <c r="E253" s="31" t="s">
        <v>2728</v>
      </c>
    </row>
    <row r="254">
      <c r="E254" s="31" t="s">
        <v>677</v>
      </c>
    </row>
    <row r="259">
      <c r="A259" s="205" t="s">
        <v>928</v>
      </c>
    </row>
    <row r="260">
      <c r="A260" s="205">
        <f>A263</f>
        <v>1163000</v>
      </c>
    </row>
    <row r="261">
      <c r="A261" s="205">
        <v>2026.0</v>
      </c>
    </row>
    <row r="262">
      <c r="A262" s="205" t="s">
        <v>368</v>
      </c>
    </row>
    <row r="263">
      <c r="A263" s="206">
        <f>A266+B266+C266+D266+E266+F266+G266+H266+I266+J266</f>
        <v>1163000</v>
      </c>
    </row>
    <row r="264">
      <c r="A264" s="103" t="s">
        <v>929</v>
      </c>
      <c r="B264" s="103" t="s">
        <v>930</v>
      </c>
      <c r="C264" s="103" t="s">
        <v>931</v>
      </c>
      <c r="D264" s="103" t="s">
        <v>932</v>
      </c>
      <c r="E264" s="103" t="s">
        <v>933</v>
      </c>
      <c r="F264" s="103" t="s">
        <v>934</v>
      </c>
      <c r="G264" s="103" t="s">
        <v>935</v>
      </c>
      <c r="H264" s="103" t="s">
        <v>936</v>
      </c>
      <c r="I264" s="103" t="s">
        <v>937</v>
      </c>
      <c r="J264" s="103" t="s">
        <v>938</v>
      </c>
    </row>
    <row r="265">
      <c r="A265" s="64" t="s">
        <v>377</v>
      </c>
      <c r="B265" s="64" t="s">
        <v>377</v>
      </c>
      <c r="C265" s="64" t="s">
        <v>377</v>
      </c>
      <c r="D265" s="64" t="s">
        <v>377</v>
      </c>
      <c r="E265" s="64" t="s">
        <v>377</v>
      </c>
      <c r="F265" s="64" t="s">
        <v>377</v>
      </c>
      <c r="G265" s="64" t="s">
        <v>377</v>
      </c>
      <c r="H265" s="64" t="s">
        <v>377</v>
      </c>
      <c r="I265" s="64" t="s">
        <v>377</v>
      </c>
      <c r="J265" s="64" t="s">
        <v>377</v>
      </c>
    </row>
    <row r="266">
      <c r="A266" s="99">
        <v>7000.0</v>
      </c>
      <c r="B266" s="99">
        <v>22000.0</v>
      </c>
      <c r="C266" s="103">
        <v>0.0</v>
      </c>
      <c r="D266" s="99">
        <f>55000+(2*114000)</f>
        <v>283000</v>
      </c>
      <c r="E266" s="99">
        <f>316000+300000+(7*32000)</f>
        <v>840000</v>
      </c>
      <c r="F266" s="103">
        <v>0.0</v>
      </c>
      <c r="G266" s="99">
        <v>11000.0</v>
      </c>
      <c r="H266" s="103">
        <v>0.0</v>
      </c>
      <c r="I266" s="103">
        <v>0.0</v>
      </c>
      <c r="J266" s="103">
        <v>0.0</v>
      </c>
    </row>
    <row r="267">
      <c r="A267" s="31" t="s">
        <v>2843</v>
      </c>
      <c r="B267" s="31" t="s">
        <v>2844</v>
      </c>
      <c r="D267" s="31" t="s">
        <v>2817</v>
      </c>
      <c r="E267" s="31" t="s">
        <v>2636</v>
      </c>
      <c r="G267" s="31" t="s">
        <v>2845</v>
      </c>
    </row>
    <row r="268">
      <c r="A268" s="31" t="s">
        <v>826</v>
      </c>
      <c r="B268" s="31" t="s">
        <v>826</v>
      </c>
      <c r="D268" s="31" t="s">
        <v>2846</v>
      </c>
      <c r="E268" s="31" t="s">
        <v>1236</v>
      </c>
      <c r="G268" s="31" t="s">
        <v>826</v>
      </c>
    </row>
    <row r="269">
      <c r="A269" s="31" t="s">
        <v>2847</v>
      </c>
      <c r="B269" s="31" t="s">
        <v>1619</v>
      </c>
      <c r="D269" s="31" t="s">
        <v>945</v>
      </c>
      <c r="E269" s="76" t="s">
        <v>1617</v>
      </c>
      <c r="G269" s="31" t="s">
        <v>381</v>
      </c>
    </row>
    <row r="270">
      <c r="B270" s="31" t="s">
        <v>2847</v>
      </c>
      <c r="D270" s="76" t="s">
        <v>1853</v>
      </c>
      <c r="E270" s="31" t="s">
        <v>2666</v>
      </c>
      <c r="G270" s="31" t="s">
        <v>2835</v>
      </c>
    </row>
    <row r="271">
      <c r="B271" s="31" t="s">
        <v>381</v>
      </c>
      <c r="D271" s="31" t="s">
        <v>2776</v>
      </c>
      <c r="E271" s="31" t="s">
        <v>942</v>
      </c>
      <c r="G271" s="31" t="s">
        <v>826</v>
      </c>
    </row>
    <row r="272">
      <c r="D272" s="31" t="s">
        <v>1605</v>
      </c>
      <c r="E272" s="31" t="s">
        <v>381</v>
      </c>
      <c r="G272" s="31" t="s">
        <v>2848</v>
      </c>
    </row>
    <row r="273">
      <c r="D273" s="76" t="s">
        <v>1853</v>
      </c>
      <c r="E273" s="76" t="s">
        <v>1617</v>
      </c>
      <c r="G273" s="31" t="s">
        <v>826</v>
      </c>
    </row>
    <row r="274">
      <c r="E274" s="31" t="s">
        <v>2677</v>
      </c>
    </row>
    <row r="275">
      <c r="E275" s="31" t="s">
        <v>848</v>
      </c>
    </row>
    <row r="276">
      <c r="E276" s="31" t="s">
        <v>1619</v>
      </c>
    </row>
    <row r="277">
      <c r="E277" s="31" t="s">
        <v>381</v>
      </c>
    </row>
    <row r="278">
      <c r="E278" s="76" t="s">
        <v>1617</v>
      </c>
    </row>
    <row r="279">
      <c r="E279" s="31" t="s">
        <v>2849</v>
      </c>
    </row>
    <row r="280">
      <c r="E280" s="31" t="s">
        <v>891</v>
      </c>
    </row>
    <row r="281">
      <c r="E281" s="31" t="s">
        <v>2850</v>
      </c>
    </row>
    <row r="282">
      <c r="E282" s="31" t="s">
        <v>2851</v>
      </c>
    </row>
    <row r="283">
      <c r="E283" s="76" t="s">
        <v>2852</v>
      </c>
    </row>
    <row r="284">
      <c r="E284" s="76" t="s">
        <v>1617</v>
      </c>
    </row>
    <row r="285">
      <c r="E285" s="31" t="s">
        <v>2853</v>
      </c>
    </row>
    <row r="286">
      <c r="E286" s="31" t="s">
        <v>826</v>
      </c>
    </row>
    <row r="287">
      <c r="E287" s="76" t="s">
        <v>1617</v>
      </c>
    </row>
    <row r="288">
      <c r="E288" s="31" t="s">
        <v>2854</v>
      </c>
    </row>
    <row r="289">
      <c r="E289" s="31" t="s">
        <v>918</v>
      </c>
    </row>
    <row r="290">
      <c r="E290" s="31" t="s">
        <v>945</v>
      </c>
    </row>
    <row r="291">
      <c r="E291" s="76" t="s">
        <v>1617</v>
      </c>
    </row>
    <row r="292">
      <c r="E292" s="140" t="s">
        <v>2855</v>
      </c>
    </row>
    <row r="293">
      <c r="E293" s="140" t="s">
        <v>826</v>
      </c>
    </row>
    <row r="294">
      <c r="E294" s="31" t="s">
        <v>2856</v>
      </c>
    </row>
    <row r="295">
      <c r="E295" s="31" t="s">
        <v>826</v>
      </c>
    </row>
    <row r="296">
      <c r="E296" s="76" t="s">
        <v>1617</v>
      </c>
    </row>
    <row r="299">
      <c r="A299" s="48" t="s">
        <v>367</v>
      </c>
    </row>
    <row r="300">
      <c r="A300" s="49">
        <f>A303</f>
        <v>1344450</v>
      </c>
    </row>
    <row r="301">
      <c r="A301" s="49">
        <v>2026.0</v>
      </c>
    </row>
    <row r="302">
      <c r="A302" s="49" t="s">
        <v>368</v>
      </c>
    </row>
    <row r="303">
      <c r="A303" s="49">
        <f>A306+B306+C306+D306+E306+F306+G306+H306</f>
        <v>1344450</v>
      </c>
    </row>
    <row r="304">
      <c r="A304" s="33" t="s">
        <v>369</v>
      </c>
      <c r="B304" s="33" t="s">
        <v>370</v>
      </c>
      <c r="C304" s="33" t="s">
        <v>371</v>
      </c>
      <c r="D304" s="33" t="s">
        <v>372</v>
      </c>
      <c r="E304" s="33" t="s">
        <v>373</v>
      </c>
      <c r="F304" s="33" t="s">
        <v>374</v>
      </c>
      <c r="G304" s="33" t="s">
        <v>375</v>
      </c>
      <c r="H304" s="33" t="s">
        <v>376</v>
      </c>
      <c r="I304" s="103"/>
      <c r="J304" s="103"/>
    </row>
    <row r="305">
      <c r="A305" s="33" t="s">
        <v>377</v>
      </c>
      <c r="B305" s="33" t="s">
        <v>377</v>
      </c>
      <c r="C305" s="33" t="s">
        <v>377</v>
      </c>
      <c r="D305" s="33" t="s">
        <v>377</v>
      </c>
      <c r="E305" s="33" t="s">
        <v>377</v>
      </c>
      <c r="F305" s="33" t="s">
        <v>377</v>
      </c>
      <c r="G305" s="33" t="s">
        <v>377</v>
      </c>
      <c r="H305" s="33" t="s">
        <v>377</v>
      </c>
    </row>
    <row r="306">
      <c r="A306" s="50">
        <f>150000+(59825*2)</f>
        <v>269650</v>
      </c>
      <c r="B306" s="50">
        <f>170000+(33725*2)</f>
        <v>237450</v>
      </c>
      <c r="C306" s="50">
        <v>80000.0</v>
      </c>
      <c r="D306" s="50">
        <v>223000.0</v>
      </c>
      <c r="E306" s="50">
        <v>135000.0</v>
      </c>
      <c r="F306" s="50">
        <v>70000.0</v>
      </c>
      <c r="G306" s="50">
        <f>91000+(119175*2)</f>
        <v>329350</v>
      </c>
      <c r="H306" s="50">
        <v>0.0</v>
      </c>
    </row>
    <row r="307">
      <c r="A307" s="31" t="s">
        <v>2756</v>
      </c>
      <c r="B307" s="31" t="s">
        <v>2844</v>
      </c>
      <c r="C307" s="31" t="s">
        <v>2636</v>
      </c>
      <c r="D307" s="31" t="s">
        <v>2657</v>
      </c>
      <c r="E307" s="104" t="s">
        <v>2857</v>
      </c>
      <c r="F307" s="31" t="s">
        <v>2817</v>
      </c>
      <c r="G307" s="31" t="s">
        <v>2624</v>
      </c>
    </row>
    <row r="308">
      <c r="A308" s="31" t="s">
        <v>1236</v>
      </c>
      <c r="B308" s="31" t="s">
        <v>2858</v>
      </c>
      <c r="C308" s="31" t="s">
        <v>2858</v>
      </c>
      <c r="D308" s="31" t="s">
        <v>1236</v>
      </c>
      <c r="E308" s="104" t="s">
        <v>2859</v>
      </c>
      <c r="F308" s="31" t="s">
        <v>2617</v>
      </c>
      <c r="G308" s="31" t="s">
        <v>866</v>
      </c>
    </row>
    <row r="309">
      <c r="A309" s="76" t="s">
        <v>954</v>
      </c>
      <c r="B309" s="76" t="s">
        <v>955</v>
      </c>
      <c r="D309" s="31" t="s">
        <v>381</v>
      </c>
      <c r="F309" s="31" t="s">
        <v>381</v>
      </c>
      <c r="G309" s="31" t="s">
        <v>381</v>
      </c>
    </row>
    <row r="310">
      <c r="A310" s="31" t="s">
        <v>2666</v>
      </c>
      <c r="B310" s="31" t="s">
        <v>2860</v>
      </c>
      <c r="D310" s="104" t="s">
        <v>2861</v>
      </c>
      <c r="G310" s="76" t="s">
        <v>958</v>
      </c>
    </row>
    <row r="311">
      <c r="A311" s="31" t="s">
        <v>918</v>
      </c>
      <c r="B311" s="31" t="s">
        <v>2862</v>
      </c>
      <c r="D311" s="104" t="s">
        <v>866</v>
      </c>
      <c r="G311" s="31" t="s">
        <v>2863</v>
      </c>
    </row>
    <row r="312">
      <c r="A312" s="76" t="s">
        <v>954</v>
      </c>
      <c r="B312" s="31" t="s">
        <v>945</v>
      </c>
      <c r="D312" s="31" t="s">
        <v>2677</v>
      </c>
      <c r="G312" s="31" t="s">
        <v>1841</v>
      </c>
    </row>
    <row r="313">
      <c r="B313" s="76" t="s">
        <v>955</v>
      </c>
      <c r="D313" s="31" t="s">
        <v>901</v>
      </c>
      <c r="G313" s="76" t="s">
        <v>958</v>
      </c>
    </row>
    <row r="314">
      <c r="D314" s="31" t="s">
        <v>2864</v>
      </c>
    </row>
    <row r="315">
      <c r="D315" s="31" t="s">
        <v>2617</v>
      </c>
    </row>
  </sheetData>
  <mergeCells count="120">
    <mergeCell ref="S14:S16"/>
    <mergeCell ref="U16:X16"/>
    <mergeCell ref="Q17:Q20"/>
    <mergeCell ref="Q32:R32"/>
    <mergeCell ref="Q33:R33"/>
    <mergeCell ref="Q34:R34"/>
    <mergeCell ref="Q35:R35"/>
    <mergeCell ref="U37:X37"/>
    <mergeCell ref="T30:T45"/>
    <mergeCell ref="T46:T53"/>
    <mergeCell ref="T54:T65"/>
    <mergeCell ref="T66:T69"/>
    <mergeCell ref="T70:T71"/>
    <mergeCell ref="U50:X50"/>
    <mergeCell ref="U53:V53"/>
    <mergeCell ref="U61:X61"/>
    <mergeCell ref="U65:V65"/>
    <mergeCell ref="U67:X67"/>
    <mergeCell ref="U69:V69"/>
    <mergeCell ref="U71:V71"/>
    <mergeCell ref="Q5:S5"/>
    <mergeCell ref="T5:X5"/>
    <mergeCell ref="Q9:S9"/>
    <mergeCell ref="Q12:Q13"/>
    <mergeCell ref="Q14:Q16"/>
    <mergeCell ref="U24:V24"/>
    <mergeCell ref="U45:V45"/>
    <mergeCell ref="A1:X1"/>
    <mergeCell ref="A2:X2"/>
    <mergeCell ref="A3:X3"/>
    <mergeCell ref="A4:X4"/>
    <mergeCell ref="H5:J5"/>
    <mergeCell ref="K5:M5"/>
    <mergeCell ref="N5:P5"/>
    <mergeCell ref="K7:M7"/>
    <mergeCell ref="K8:M8"/>
    <mergeCell ref="N8:P8"/>
    <mergeCell ref="Q8:S8"/>
    <mergeCell ref="N10:O10"/>
    <mergeCell ref="N11:O11"/>
    <mergeCell ref="H6:J6"/>
    <mergeCell ref="K6:M6"/>
    <mergeCell ref="N6:P6"/>
    <mergeCell ref="Q6:S6"/>
    <mergeCell ref="T6:X6"/>
    <mergeCell ref="N7:P7"/>
    <mergeCell ref="Q7:S7"/>
    <mergeCell ref="S12:S13"/>
    <mergeCell ref="S17:S20"/>
    <mergeCell ref="H22:J22"/>
    <mergeCell ref="T8:T24"/>
    <mergeCell ref="T25:T29"/>
    <mergeCell ref="U27:X27"/>
    <mergeCell ref="U29:V29"/>
    <mergeCell ref="Q22:Q25"/>
    <mergeCell ref="S22:S25"/>
    <mergeCell ref="H24:H26"/>
    <mergeCell ref="J24:J26"/>
    <mergeCell ref="Q26:Q28"/>
    <mergeCell ref="S26:S28"/>
    <mergeCell ref="J27:J29"/>
    <mergeCell ref="A261:J261"/>
    <mergeCell ref="A262:J262"/>
    <mergeCell ref="A263:J263"/>
    <mergeCell ref="A299:H299"/>
    <mergeCell ref="A300:H300"/>
    <mergeCell ref="A301:H301"/>
    <mergeCell ref="A302:H302"/>
    <mergeCell ref="A303:H303"/>
    <mergeCell ref="A239:H239"/>
    <mergeCell ref="A240:H240"/>
    <mergeCell ref="A241:H241"/>
    <mergeCell ref="A242:H242"/>
    <mergeCell ref="A243:H243"/>
    <mergeCell ref="A259:J259"/>
    <mergeCell ref="A260:J260"/>
    <mergeCell ref="J36:J38"/>
    <mergeCell ref="J39:J41"/>
    <mergeCell ref="H27:H29"/>
    <mergeCell ref="H30:H32"/>
    <mergeCell ref="J30:J32"/>
    <mergeCell ref="H33:H35"/>
    <mergeCell ref="J33:J35"/>
    <mergeCell ref="H36:H38"/>
    <mergeCell ref="H39:H41"/>
    <mergeCell ref="H42:H44"/>
    <mergeCell ref="J42:J44"/>
    <mergeCell ref="A68:E68"/>
    <mergeCell ref="A69:E69"/>
    <mergeCell ref="A71:E71"/>
    <mergeCell ref="A72:E72"/>
    <mergeCell ref="A73:E73"/>
    <mergeCell ref="A82:F82"/>
    <mergeCell ref="A83:F83"/>
    <mergeCell ref="A84:F84"/>
    <mergeCell ref="A85:F85"/>
    <mergeCell ref="A86:F86"/>
    <mergeCell ref="A87:F87"/>
    <mergeCell ref="A114:F114"/>
    <mergeCell ref="A115:H115"/>
    <mergeCell ref="A116:H116"/>
    <mergeCell ref="A117:H117"/>
    <mergeCell ref="A118:H118"/>
    <mergeCell ref="A119:H119"/>
    <mergeCell ref="A151:H151"/>
    <mergeCell ref="A152:H152"/>
    <mergeCell ref="A153:H153"/>
    <mergeCell ref="A154:H154"/>
    <mergeCell ref="A155:H155"/>
    <mergeCell ref="A178:J178"/>
    <mergeCell ref="A179:J179"/>
    <mergeCell ref="A180:J180"/>
    <mergeCell ref="A181:J181"/>
    <mergeCell ref="A182:J182"/>
    <mergeCell ref="A198:J198"/>
    <mergeCell ref="A199:J199"/>
    <mergeCell ref="A200:J200"/>
    <mergeCell ref="A201:J201"/>
    <mergeCell ref="A202:J202"/>
    <mergeCell ref="A203:J20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8.38"/>
    <col customWidth="1" min="3" max="3" width="24.0"/>
    <col customWidth="1" min="4" max="4" width="45.63"/>
    <col customWidth="1" min="5" max="5" width="33.0"/>
    <col customWidth="1" min="6" max="6" width="17.25"/>
    <col customWidth="1" min="7" max="7" width="15.63"/>
    <col customWidth="1" min="8" max="8" width="21.25"/>
  </cols>
  <sheetData>
    <row r="1">
      <c r="A1" s="127" t="s">
        <v>2865</v>
      </c>
    </row>
    <row r="2">
      <c r="A2" s="127" t="s">
        <v>2866</v>
      </c>
    </row>
    <row r="3">
      <c r="A3" s="128" t="s">
        <v>338</v>
      </c>
    </row>
    <row r="4">
      <c r="A4" s="276">
        <f>100000+D6+B6+F6+A29+C6</f>
        <v>253225</v>
      </c>
    </row>
    <row r="5">
      <c r="A5" s="33" t="s">
        <v>339</v>
      </c>
      <c r="B5" s="33" t="s">
        <v>2171</v>
      </c>
      <c r="C5" s="33" t="s">
        <v>341</v>
      </c>
      <c r="D5" s="33" t="s">
        <v>384</v>
      </c>
      <c r="E5" s="33" t="s">
        <v>385</v>
      </c>
      <c r="F5" s="92" t="s">
        <v>422</v>
      </c>
    </row>
    <row r="6">
      <c r="A6" s="31" t="s">
        <v>2867</v>
      </c>
      <c r="B6" s="277">
        <v>13000.0</v>
      </c>
      <c r="C6" s="278">
        <v>-60000.0</v>
      </c>
      <c r="D6" s="277">
        <v>19500.0</v>
      </c>
      <c r="E6" s="31" t="s">
        <v>2868</v>
      </c>
      <c r="F6" s="61">
        <f>I9</f>
        <v>3000</v>
      </c>
    </row>
    <row r="7">
      <c r="A7" s="31" t="s">
        <v>2869</v>
      </c>
      <c r="B7" s="31" t="s">
        <v>2870</v>
      </c>
      <c r="C7" s="55" t="s">
        <v>349</v>
      </c>
      <c r="D7" s="31" t="s">
        <v>2871</v>
      </c>
      <c r="E7" s="31" t="s">
        <v>2872</v>
      </c>
      <c r="F7" s="109" t="s">
        <v>436</v>
      </c>
      <c r="G7" s="109" t="s">
        <v>437</v>
      </c>
      <c r="H7" s="109" t="s">
        <v>438</v>
      </c>
      <c r="I7" s="109" t="s">
        <v>0</v>
      </c>
      <c r="J7" s="109" t="s">
        <v>439</v>
      </c>
    </row>
    <row r="8">
      <c r="A8" s="31" t="s">
        <v>2873</v>
      </c>
      <c r="B8" s="31" t="s">
        <v>2874</v>
      </c>
      <c r="C8" s="4" t="s">
        <v>2875</v>
      </c>
      <c r="D8" s="31" t="s">
        <v>2876</v>
      </c>
      <c r="E8" s="31" t="s">
        <v>2877</v>
      </c>
      <c r="F8" s="279" t="s">
        <v>2878</v>
      </c>
      <c r="G8" s="72" t="s">
        <v>500</v>
      </c>
      <c r="H8" s="72">
        <v>1.0</v>
      </c>
      <c r="I8" s="73">
        <f>H8*3000</f>
        <v>3000</v>
      </c>
      <c r="J8" s="73">
        <f>H8*40</f>
        <v>40</v>
      </c>
    </row>
    <row r="9">
      <c r="A9" s="31" t="s">
        <v>2879</v>
      </c>
      <c r="B9" s="31" t="s">
        <v>2880</v>
      </c>
      <c r="C9" s="4" t="s">
        <v>2881</v>
      </c>
      <c r="D9" s="31" t="s">
        <v>2882</v>
      </c>
      <c r="E9" s="31" t="s">
        <v>2883</v>
      </c>
      <c r="G9" s="280" t="s">
        <v>470</v>
      </c>
      <c r="I9" s="281">
        <f t="shared" ref="I9:J9" si="1">I8</f>
        <v>3000</v>
      </c>
      <c r="J9" s="281">
        <f t="shared" si="1"/>
        <v>40</v>
      </c>
    </row>
    <row r="10">
      <c r="A10" s="31" t="s">
        <v>2884</v>
      </c>
      <c r="B10" s="31" t="s">
        <v>2885</v>
      </c>
      <c r="D10" s="31" t="s">
        <v>2886</v>
      </c>
    </row>
    <row r="11">
      <c r="A11" s="31" t="s">
        <v>2887</v>
      </c>
      <c r="B11" s="31" t="s">
        <v>2888</v>
      </c>
      <c r="D11" s="31" t="s">
        <v>2889</v>
      </c>
    </row>
    <row r="12">
      <c r="A12" s="31" t="s">
        <v>2890</v>
      </c>
      <c r="B12" s="31" t="s">
        <v>2891</v>
      </c>
      <c r="D12" s="31" t="s">
        <v>2892</v>
      </c>
    </row>
    <row r="13">
      <c r="A13" s="31" t="s">
        <v>2893</v>
      </c>
      <c r="B13" s="31" t="s">
        <v>2894</v>
      </c>
      <c r="D13" s="31" t="s">
        <v>2895</v>
      </c>
    </row>
    <row r="14">
      <c r="A14" s="31" t="s">
        <v>2896</v>
      </c>
      <c r="B14" s="31" t="s">
        <v>2897</v>
      </c>
    </row>
    <row r="15">
      <c r="A15" s="31" t="s">
        <v>2898</v>
      </c>
    </row>
    <row r="16">
      <c r="A16" s="31" t="s">
        <v>2899</v>
      </c>
    </row>
    <row r="17">
      <c r="A17" s="31" t="s">
        <v>2900</v>
      </c>
    </row>
    <row r="18">
      <c r="A18" s="31" t="s">
        <v>2901</v>
      </c>
    </row>
    <row r="19">
      <c r="A19" s="31" t="s">
        <v>2902</v>
      </c>
    </row>
    <row r="20">
      <c r="A20" s="31" t="s">
        <v>2903</v>
      </c>
    </row>
    <row r="21">
      <c r="A21" s="31" t="s">
        <v>2904</v>
      </c>
    </row>
    <row r="22">
      <c r="A22" s="31" t="s">
        <v>2905</v>
      </c>
    </row>
    <row r="23">
      <c r="A23" s="31" t="s">
        <v>2906</v>
      </c>
    </row>
    <row r="24">
      <c r="A24" s="31" t="s">
        <v>2907</v>
      </c>
    </row>
    <row r="25">
      <c r="A25" s="31" t="s">
        <v>2908</v>
      </c>
    </row>
    <row r="26">
      <c r="A26" s="31" t="s">
        <v>2909</v>
      </c>
    </row>
    <row r="27">
      <c r="A27" s="31" t="s">
        <v>2910</v>
      </c>
    </row>
    <row r="28">
      <c r="A28" s="47" t="s">
        <v>366</v>
      </c>
    </row>
    <row r="29">
      <c r="A29" s="47">
        <f>A31</f>
        <v>177725</v>
      </c>
    </row>
    <row r="30">
      <c r="A30" s="48" t="s">
        <v>367</v>
      </c>
    </row>
    <row r="31">
      <c r="A31" s="49">
        <f>A34</f>
        <v>177725</v>
      </c>
    </row>
    <row r="32">
      <c r="A32" s="49">
        <v>2026.0</v>
      </c>
    </row>
    <row r="33">
      <c r="A33" s="49" t="s">
        <v>368</v>
      </c>
    </row>
    <row r="34">
      <c r="A34" s="49">
        <f>A37+B37+C37+D37+E37+F37+G37+H37</f>
        <v>177725</v>
      </c>
    </row>
    <row r="35">
      <c r="A35" s="33" t="s">
        <v>369</v>
      </c>
      <c r="B35" s="33" t="s">
        <v>370</v>
      </c>
      <c r="C35" s="33" t="s">
        <v>371</v>
      </c>
      <c r="D35" s="33" t="s">
        <v>372</v>
      </c>
      <c r="E35" s="33" t="s">
        <v>373</v>
      </c>
      <c r="F35" s="33" t="s">
        <v>374</v>
      </c>
      <c r="G35" s="33" t="s">
        <v>375</v>
      </c>
      <c r="H35" s="33" t="s">
        <v>376</v>
      </c>
    </row>
    <row r="36">
      <c r="A36" s="33" t="s">
        <v>377</v>
      </c>
      <c r="B36" s="33" t="s">
        <v>377</v>
      </c>
      <c r="C36" s="33" t="s">
        <v>377</v>
      </c>
      <c r="D36" s="33" t="s">
        <v>377</v>
      </c>
      <c r="E36" s="33" t="s">
        <v>377</v>
      </c>
      <c r="F36" s="33" t="s">
        <v>377</v>
      </c>
      <c r="G36" s="33" t="s">
        <v>377</v>
      </c>
      <c r="H36" s="33" t="s">
        <v>377</v>
      </c>
    </row>
    <row r="37">
      <c r="A37" s="50">
        <v>0.0</v>
      </c>
      <c r="B37" s="50">
        <v>33725.0</v>
      </c>
      <c r="C37" s="50">
        <v>0.0</v>
      </c>
      <c r="D37" s="50">
        <v>10000.0</v>
      </c>
      <c r="E37" s="50">
        <v>132000.0</v>
      </c>
      <c r="F37" s="50">
        <v>0.0</v>
      </c>
      <c r="G37" s="50">
        <v>0.0</v>
      </c>
      <c r="H37" s="50">
        <v>2000.0</v>
      </c>
    </row>
    <row r="38">
      <c r="B38" s="31" t="s">
        <v>1278</v>
      </c>
      <c r="D38" s="31" t="s">
        <v>2911</v>
      </c>
      <c r="E38" s="31" t="s">
        <v>2912</v>
      </c>
      <c r="H38" s="31" t="s">
        <v>2913</v>
      </c>
    </row>
    <row r="39">
      <c r="B39" s="31" t="s">
        <v>379</v>
      </c>
      <c r="D39" s="31" t="s">
        <v>826</v>
      </c>
      <c r="E39" s="31" t="s">
        <v>765</v>
      </c>
      <c r="H39" s="31" t="s">
        <v>826</v>
      </c>
    </row>
    <row r="40">
      <c r="B40" s="76" t="s">
        <v>955</v>
      </c>
      <c r="D40" s="31" t="s">
        <v>2914</v>
      </c>
      <c r="E40" s="31" t="s">
        <v>2915</v>
      </c>
    </row>
    <row r="41">
      <c r="D41" s="31" t="s">
        <v>779</v>
      </c>
      <c r="E41" s="31" t="s">
        <v>964</v>
      </c>
    </row>
  </sheetData>
  <mergeCells count="15">
    <mergeCell ref="G9:H9"/>
    <mergeCell ref="A28:H28"/>
    <mergeCell ref="A29:H29"/>
    <mergeCell ref="A30:H30"/>
    <mergeCell ref="A31:H31"/>
    <mergeCell ref="A32:H32"/>
    <mergeCell ref="A33:H33"/>
    <mergeCell ref="A34:H34"/>
    <mergeCell ref="A1:L1"/>
    <mergeCell ref="A2:L2"/>
    <mergeCell ref="A3:L3"/>
    <mergeCell ref="A4:L4"/>
    <mergeCell ref="F5:J5"/>
    <mergeCell ref="F6:J6"/>
    <mergeCell ref="F8:F9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2.88"/>
    <col customWidth="1" min="3" max="3" width="22.25"/>
    <col customWidth="1" min="4" max="4" width="34.5"/>
    <col customWidth="1" min="5" max="5" width="36.13"/>
  </cols>
  <sheetData>
    <row r="1">
      <c r="A1" s="141" t="s">
        <v>2916</v>
      </c>
    </row>
    <row r="2">
      <c r="A2" s="142" t="s">
        <v>2917</v>
      </c>
    </row>
    <row r="3">
      <c r="A3" s="141" t="s">
        <v>338</v>
      </c>
    </row>
    <row r="4">
      <c r="A4" s="282">
        <f>100000+C6+B6+D6</f>
        <v>72000</v>
      </c>
    </row>
    <row r="5">
      <c r="A5" s="33" t="s">
        <v>339</v>
      </c>
      <c r="B5" s="33" t="s">
        <v>2171</v>
      </c>
      <c r="C5" s="33" t="s">
        <v>341</v>
      </c>
      <c r="D5" s="33" t="s">
        <v>384</v>
      </c>
      <c r="E5" s="33" t="s">
        <v>385</v>
      </c>
      <c r="F5" s="25"/>
      <c r="G5" s="33"/>
    </row>
    <row r="6">
      <c r="A6" s="31" t="s">
        <v>2057</v>
      </c>
      <c r="B6" s="201">
        <v>-7000.0</v>
      </c>
      <c r="C6" s="201">
        <v>-30000.0</v>
      </c>
      <c r="D6" s="201">
        <v>9000.0</v>
      </c>
      <c r="E6" s="31" t="s">
        <v>2918</v>
      </c>
    </row>
    <row r="7">
      <c r="A7" s="31" t="s">
        <v>2919</v>
      </c>
      <c r="B7" s="31" t="s">
        <v>2920</v>
      </c>
      <c r="C7" s="55" t="s">
        <v>349</v>
      </c>
      <c r="D7" s="31" t="s">
        <v>2921</v>
      </c>
      <c r="E7" s="31" t="s">
        <v>2922</v>
      </c>
    </row>
    <row r="8">
      <c r="A8" s="31" t="s">
        <v>2923</v>
      </c>
      <c r="B8" s="31" t="s">
        <v>2924</v>
      </c>
      <c r="C8" s="4" t="s">
        <v>2925</v>
      </c>
      <c r="D8" s="31" t="s">
        <v>2926</v>
      </c>
    </row>
    <row r="9">
      <c r="A9" s="31" t="s">
        <v>2927</v>
      </c>
    </row>
    <row r="10">
      <c r="A10" s="31" t="s">
        <v>2928</v>
      </c>
    </row>
    <row r="11">
      <c r="A11" s="31" t="s">
        <v>2929</v>
      </c>
    </row>
    <row r="12">
      <c r="A12" s="31" t="s">
        <v>2930</v>
      </c>
    </row>
    <row r="13">
      <c r="A13" s="31" t="s">
        <v>2931</v>
      </c>
    </row>
    <row r="14">
      <c r="A14" s="31" t="s">
        <v>2932</v>
      </c>
    </row>
    <row r="15">
      <c r="A15" s="31" t="s">
        <v>2933</v>
      </c>
    </row>
    <row r="16">
      <c r="A16" s="31" t="s">
        <v>2934</v>
      </c>
    </row>
    <row r="17">
      <c r="A17" s="31" t="s">
        <v>2935</v>
      </c>
    </row>
    <row r="18">
      <c r="A18" s="31" t="s">
        <v>2936</v>
      </c>
    </row>
    <row r="19">
      <c r="A19" s="31" t="s">
        <v>2937</v>
      </c>
    </row>
    <row r="20">
      <c r="A20" s="31" t="s">
        <v>2938</v>
      </c>
    </row>
    <row r="21">
      <c r="A21" s="31" t="s">
        <v>2939</v>
      </c>
    </row>
    <row r="22">
      <c r="A22" s="31" t="s">
        <v>2940</v>
      </c>
    </row>
    <row r="23">
      <c r="A23" s="31" t="s">
        <v>2941</v>
      </c>
    </row>
    <row r="24">
      <c r="A24" s="31" t="s">
        <v>2942</v>
      </c>
    </row>
  </sheetData>
  <mergeCells count="4">
    <mergeCell ref="A1:J1"/>
    <mergeCell ref="A2:J2"/>
    <mergeCell ref="A3:J3"/>
    <mergeCell ref="A4:J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26.88"/>
    <col customWidth="1" min="3" max="3" width="32.0"/>
    <col customWidth="1" min="4" max="4" width="33.75"/>
    <col customWidth="1" min="5" max="5" width="31.75"/>
    <col customWidth="1" min="6" max="6" width="31.13"/>
    <col customWidth="1" min="7" max="7" width="32.63"/>
    <col customWidth="1" min="8" max="8" width="23.88"/>
    <col customWidth="1" min="9" max="9" width="25.13"/>
    <col customWidth="1" min="10" max="10" width="30.0"/>
    <col customWidth="1" min="11" max="11" width="28.5"/>
    <col customWidth="1" min="12" max="12" width="22.5"/>
    <col customWidth="1" min="13" max="13" width="33.38"/>
    <col customWidth="1" min="15" max="15" width="18.75"/>
    <col customWidth="1" min="16" max="16" width="20.38"/>
    <col customWidth="1" min="18" max="18" width="17.25"/>
    <col customWidth="1" min="19" max="19" width="14.5"/>
    <col customWidth="1" min="23" max="23" width="26.13"/>
  </cols>
  <sheetData>
    <row r="1">
      <c r="A1" s="38" t="s">
        <v>2943</v>
      </c>
    </row>
    <row r="2">
      <c r="A2" s="38" t="s">
        <v>2944</v>
      </c>
    </row>
    <row r="3">
      <c r="A3" s="283" t="s">
        <v>2945</v>
      </c>
      <c r="W3" s="25"/>
      <c r="X3" s="25"/>
      <c r="Y3" s="25"/>
      <c r="Z3" s="25"/>
      <c r="AA3" s="25"/>
      <c r="AB3" s="25"/>
      <c r="AC3" s="25"/>
    </row>
    <row r="4">
      <c r="A4" s="39" t="s">
        <v>413</v>
      </c>
    </row>
    <row r="5">
      <c r="A5" s="284">
        <f>100000+B7+C7+D7+F7+G7+H7+I7+A59+L7+R7+O7+D19</f>
        <v>5621460</v>
      </c>
    </row>
    <row r="6">
      <c r="A6" s="33" t="s">
        <v>339</v>
      </c>
      <c r="B6" s="33" t="s">
        <v>341</v>
      </c>
      <c r="C6" s="33" t="s">
        <v>384</v>
      </c>
      <c r="D6" s="33" t="s">
        <v>1322</v>
      </c>
      <c r="E6" s="33" t="s">
        <v>385</v>
      </c>
      <c r="F6" s="33" t="s">
        <v>1324</v>
      </c>
      <c r="G6" s="33" t="s">
        <v>2171</v>
      </c>
      <c r="H6" s="33" t="s">
        <v>1634</v>
      </c>
      <c r="I6" s="33" t="s">
        <v>419</v>
      </c>
      <c r="L6" s="33" t="s">
        <v>977</v>
      </c>
      <c r="O6" s="33" t="s">
        <v>979</v>
      </c>
      <c r="R6" s="235" t="s">
        <v>422</v>
      </c>
    </row>
    <row r="7">
      <c r="A7" s="31" t="s">
        <v>2946</v>
      </c>
      <c r="B7" s="285">
        <v>-90000.0</v>
      </c>
      <c r="C7" s="285">
        <v>19000.0</v>
      </c>
      <c r="D7" s="285">
        <v>-500.0</v>
      </c>
      <c r="E7" s="31" t="s">
        <v>2947</v>
      </c>
      <c r="F7" s="285">
        <v>36100.0</v>
      </c>
      <c r="G7" s="285">
        <f>35000+45000-25000</f>
        <v>55000</v>
      </c>
      <c r="H7" s="285">
        <v>0.0</v>
      </c>
      <c r="I7" s="285">
        <f>I9+J9+K9</f>
        <v>13500</v>
      </c>
      <c r="L7" s="286">
        <f>L9</f>
        <v>453200</v>
      </c>
      <c r="O7" s="287">
        <f>O9</f>
        <v>333000</v>
      </c>
      <c r="R7" s="232">
        <f>U12+U14+U19+U21+U27+U37</f>
        <v>110500</v>
      </c>
      <c r="W7" s="33"/>
    </row>
    <row r="8">
      <c r="A8" s="31" t="s">
        <v>2948</v>
      </c>
      <c r="B8" s="55" t="s">
        <v>349</v>
      </c>
      <c r="C8" s="4" t="s">
        <v>2949</v>
      </c>
      <c r="D8" s="31" t="s">
        <v>2950</v>
      </c>
      <c r="E8" s="31" t="s">
        <v>2951</v>
      </c>
      <c r="F8" s="31" t="s">
        <v>445</v>
      </c>
      <c r="G8" s="31" t="s">
        <v>2952</v>
      </c>
      <c r="I8" s="288" t="s">
        <v>432</v>
      </c>
      <c r="J8" s="288" t="s">
        <v>433</v>
      </c>
      <c r="K8" s="288" t="s">
        <v>434</v>
      </c>
      <c r="L8" s="131" t="s">
        <v>435</v>
      </c>
      <c r="O8" s="131" t="s">
        <v>435</v>
      </c>
      <c r="R8" s="239" t="s">
        <v>436</v>
      </c>
      <c r="S8" s="239" t="s">
        <v>437</v>
      </c>
      <c r="T8" s="239" t="s">
        <v>438</v>
      </c>
      <c r="U8" s="239" t="s">
        <v>0</v>
      </c>
      <c r="V8" s="239" t="s">
        <v>439</v>
      </c>
      <c r="W8" s="188"/>
    </row>
    <row r="9">
      <c r="A9" s="31" t="s">
        <v>2953</v>
      </c>
      <c r="B9" s="4" t="s">
        <v>28</v>
      </c>
      <c r="C9" s="4" t="s">
        <v>2954</v>
      </c>
      <c r="E9" s="31" t="s">
        <v>2955</v>
      </c>
      <c r="F9" s="31" t="s">
        <v>2956</v>
      </c>
      <c r="G9" s="31" t="s">
        <v>2957</v>
      </c>
      <c r="I9" s="289">
        <f>K24+K27+K30+K33+K36+K39+K42+K45</f>
        <v>11500</v>
      </c>
      <c r="J9" s="289">
        <v>7000.0</v>
      </c>
      <c r="K9" s="289">
        <v>-5000.0</v>
      </c>
      <c r="L9" s="290">
        <f>N11+N14+N19+N23+N27+N26</f>
        <v>453200</v>
      </c>
      <c r="O9" s="291">
        <f>Q11+Q13+Q15+Q18+Q19+Q21+Q22+Q23</f>
        <v>333000</v>
      </c>
      <c r="R9" s="241" t="s">
        <v>949</v>
      </c>
      <c r="S9" s="242" t="s">
        <v>458</v>
      </c>
      <c r="T9" s="242">
        <v>2.5</v>
      </c>
      <c r="U9" s="242">
        <f>T9*6000</f>
        <v>15000</v>
      </c>
      <c r="V9" s="243">
        <f>T9*40</f>
        <v>100</v>
      </c>
    </row>
    <row r="10">
      <c r="A10" s="31" t="s">
        <v>2958</v>
      </c>
      <c r="B10" s="4" t="s">
        <v>44</v>
      </c>
      <c r="C10" s="4" t="s">
        <v>2959</v>
      </c>
      <c r="E10" s="31" t="s">
        <v>2960</v>
      </c>
      <c r="F10" s="31" t="s">
        <v>2961</v>
      </c>
      <c r="G10" s="31" t="s">
        <v>2962</v>
      </c>
      <c r="I10" s="25"/>
      <c r="J10" s="31" t="s">
        <v>2963</v>
      </c>
      <c r="K10" s="288" t="s">
        <v>455</v>
      </c>
      <c r="L10" s="292" t="s">
        <v>456</v>
      </c>
      <c r="M10" s="292" t="s">
        <v>457</v>
      </c>
      <c r="N10" s="292" t="s">
        <v>0</v>
      </c>
      <c r="O10" s="292" t="s">
        <v>456</v>
      </c>
      <c r="P10" s="292" t="s">
        <v>457</v>
      </c>
      <c r="Q10" s="292" t="s">
        <v>0</v>
      </c>
      <c r="S10" s="242" t="s">
        <v>533</v>
      </c>
    </row>
    <row r="11">
      <c r="A11" s="31" t="s">
        <v>2964</v>
      </c>
      <c r="B11" s="4" t="s">
        <v>58</v>
      </c>
      <c r="C11" s="4" t="s">
        <v>2965</v>
      </c>
      <c r="E11" s="31" t="s">
        <v>2966</v>
      </c>
      <c r="F11" s="31" t="s">
        <v>1728</v>
      </c>
      <c r="G11" s="31" t="s">
        <v>2967</v>
      </c>
      <c r="J11" s="31" t="s">
        <v>2968</v>
      </c>
      <c r="K11" s="31" t="s">
        <v>2969</v>
      </c>
      <c r="L11" s="71" t="s">
        <v>2970</v>
      </c>
      <c r="M11" s="71" t="s">
        <v>1040</v>
      </c>
      <c r="N11" s="71">
        <v>4000.0</v>
      </c>
      <c r="O11" s="71" t="s">
        <v>2971</v>
      </c>
      <c r="P11" s="71" t="s">
        <v>2972</v>
      </c>
      <c r="Q11" s="71">
        <v>7000.0</v>
      </c>
      <c r="S11" s="242" t="s">
        <v>657</v>
      </c>
      <c r="T11" s="242">
        <v>1.0</v>
      </c>
      <c r="U11" s="243">
        <f>T11*1500</f>
        <v>1500</v>
      </c>
      <c r="V11" s="243">
        <f>T11*40</f>
        <v>40</v>
      </c>
    </row>
    <row r="12">
      <c r="A12" s="31" t="s">
        <v>2973</v>
      </c>
      <c r="B12" s="55" t="s">
        <v>48</v>
      </c>
      <c r="C12" s="4" t="s">
        <v>2974</v>
      </c>
      <c r="E12" s="31" t="s">
        <v>2975</v>
      </c>
      <c r="F12" s="31" t="s">
        <v>1747</v>
      </c>
      <c r="G12" s="76" t="s">
        <v>2976</v>
      </c>
      <c r="J12" s="31" t="s">
        <v>2977</v>
      </c>
      <c r="K12" s="31" t="s">
        <v>2978</v>
      </c>
      <c r="M12" s="71" t="s">
        <v>467</v>
      </c>
      <c r="P12" s="71" t="s">
        <v>572</v>
      </c>
      <c r="S12" s="293" t="s">
        <v>470</v>
      </c>
      <c r="U12" s="294">
        <f t="shared" ref="U12:V12" si="1">U9+U11</f>
        <v>16500</v>
      </c>
      <c r="V12" s="294">
        <f t="shared" si="1"/>
        <v>140</v>
      </c>
    </row>
    <row r="13">
      <c r="A13" s="31" t="s">
        <v>2979</v>
      </c>
      <c r="B13" s="4" t="s">
        <v>60</v>
      </c>
      <c r="C13" s="31" t="s">
        <v>2980</v>
      </c>
      <c r="E13" s="31" t="s">
        <v>2981</v>
      </c>
      <c r="F13" s="31" t="s">
        <v>475</v>
      </c>
      <c r="G13" s="31" t="s">
        <v>2982</v>
      </c>
      <c r="J13" s="31" t="s">
        <v>1360</v>
      </c>
      <c r="K13" s="31" t="s">
        <v>2983</v>
      </c>
      <c r="M13" s="71" t="s">
        <v>2246</v>
      </c>
      <c r="O13" s="71" t="s">
        <v>2984</v>
      </c>
      <c r="P13" s="31" t="s">
        <v>543</v>
      </c>
      <c r="Q13" s="71">
        <v>5000.0</v>
      </c>
      <c r="R13" s="241" t="s">
        <v>2985</v>
      </c>
      <c r="S13" s="242" t="s">
        <v>500</v>
      </c>
      <c r="T13" s="242">
        <v>0.5</v>
      </c>
      <c r="U13" s="243">
        <f>T13*3000</f>
        <v>1500</v>
      </c>
      <c r="V13" s="243">
        <f>T13*40</f>
        <v>20</v>
      </c>
    </row>
    <row r="14">
      <c r="A14" s="31" t="s">
        <v>2986</v>
      </c>
      <c r="B14" s="55" t="s">
        <v>69</v>
      </c>
      <c r="C14" s="31" t="s">
        <v>2987</v>
      </c>
      <c r="E14" s="31" t="s">
        <v>2988</v>
      </c>
      <c r="F14" s="31" t="s">
        <v>1371</v>
      </c>
      <c r="G14" s="31" t="s">
        <v>2989</v>
      </c>
      <c r="J14" s="31" t="s">
        <v>2990</v>
      </c>
      <c r="K14" s="31" t="s">
        <v>2991</v>
      </c>
      <c r="L14" s="71" t="s">
        <v>2992</v>
      </c>
      <c r="M14" s="71" t="s">
        <v>1006</v>
      </c>
      <c r="N14" s="71">
        <f>7000+25000+50000+5400</f>
        <v>87400</v>
      </c>
      <c r="P14" s="71" t="s">
        <v>1035</v>
      </c>
      <c r="S14" s="293" t="s">
        <v>470</v>
      </c>
      <c r="U14" s="294">
        <f t="shared" ref="U14:V14" si="2">U13</f>
        <v>1500</v>
      </c>
      <c r="V14" s="294">
        <f t="shared" si="2"/>
        <v>20</v>
      </c>
    </row>
    <row r="15">
      <c r="A15" s="31" t="s">
        <v>2993</v>
      </c>
      <c r="B15" s="4" t="s">
        <v>60</v>
      </c>
      <c r="C15" s="31" t="s">
        <v>2994</v>
      </c>
      <c r="E15" s="31" t="s">
        <v>2995</v>
      </c>
      <c r="F15" s="31" t="s">
        <v>2996</v>
      </c>
      <c r="G15" s="31" t="s">
        <v>2997</v>
      </c>
      <c r="J15" s="31" t="s">
        <v>2998</v>
      </c>
      <c r="K15" s="31" t="s">
        <v>2999</v>
      </c>
      <c r="M15" s="71" t="s">
        <v>3000</v>
      </c>
      <c r="O15" s="71" t="s">
        <v>3001</v>
      </c>
      <c r="P15" s="71" t="s">
        <v>469</v>
      </c>
      <c r="Q15" s="71">
        <v>9000.0</v>
      </c>
      <c r="R15" s="241" t="s">
        <v>3002</v>
      </c>
      <c r="S15" s="242" t="s">
        <v>447</v>
      </c>
      <c r="T15" s="242">
        <v>2.0</v>
      </c>
      <c r="U15" s="242">
        <f>T15*1000</f>
        <v>2000</v>
      </c>
      <c r="V15" s="243">
        <f>T15*20</f>
        <v>40</v>
      </c>
    </row>
    <row r="16">
      <c r="A16" s="31" t="s">
        <v>3003</v>
      </c>
      <c r="C16" s="31" t="s">
        <v>3004</v>
      </c>
      <c r="F16" s="31" t="s">
        <v>3005</v>
      </c>
      <c r="G16" s="31" t="s">
        <v>3006</v>
      </c>
      <c r="J16" s="31" t="s">
        <v>2395</v>
      </c>
      <c r="M16" s="33" t="s">
        <v>571</v>
      </c>
      <c r="P16" s="4" t="s">
        <v>532</v>
      </c>
      <c r="S16" s="242" t="s">
        <v>500</v>
      </c>
      <c r="T16" s="242">
        <v>1.0</v>
      </c>
      <c r="U16" s="243">
        <f>T16*3000</f>
        <v>3000</v>
      </c>
      <c r="V16" s="243">
        <f>T16*40</f>
        <v>40</v>
      </c>
    </row>
    <row r="17">
      <c r="A17" s="31" t="s">
        <v>3007</v>
      </c>
      <c r="C17" s="31" t="s">
        <v>3008</v>
      </c>
      <c r="F17" s="295" t="s">
        <v>3009</v>
      </c>
      <c r="G17" s="31" t="s">
        <v>3010</v>
      </c>
      <c r="J17" s="31" t="s">
        <v>1039</v>
      </c>
      <c r="M17" s="33" t="s">
        <v>551</v>
      </c>
      <c r="P17" s="71" t="s">
        <v>1025</v>
      </c>
      <c r="S17" s="242" t="s">
        <v>533</v>
      </c>
    </row>
    <row r="18">
      <c r="A18" s="31" t="s">
        <v>3011</v>
      </c>
      <c r="C18" s="31" t="s">
        <v>1009</v>
      </c>
      <c r="D18" s="33" t="s">
        <v>102</v>
      </c>
      <c r="G18" s="31" t="s">
        <v>3012</v>
      </c>
      <c r="J18" s="31" t="s">
        <v>1492</v>
      </c>
      <c r="M18" s="33" t="s">
        <v>498</v>
      </c>
      <c r="O18" s="71" t="s">
        <v>3013</v>
      </c>
      <c r="P18" s="71" t="s">
        <v>469</v>
      </c>
      <c r="Q18" s="71">
        <v>5000.0</v>
      </c>
      <c r="S18" s="242" t="s">
        <v>2708</v>
      </c>
      <c r="T18" s="242">
        <v>2.0</v>
      </c>
      <c r="U18" s="243">
        <f>T18*1500</f>
        <v>3000</v>
      </c>
      <c r="V18" s="243">
        <f>T18*40</f>
        <v>80</v>
      </c>
    </row>
    <row r="19">
      <c r="A19" s="31" t="s">
        <v>3014</v>
      </c>
      <c r="C19" s="31" t="s">
        <v>3015</v>
      </c>
      <c r="D19" s="296">
        <v>100000.0</v>
      </c>
      <c r="F19" s="84" t="s">
        <v>3016</v>
      </c>
      <c r="G19" s="31" t="s">
        <v>3017</v>
      </c>
      <c r="J19" s="31" t="s">
        <v>1464</v>
      </c>
      <c r="L19" s="71" t="s">
        <v>3001</v>
      </c>
      <c r="M19" s="71" t="s">
        <v>1040</v>
      </c>
      <c r="N19" s="71">
        <f>3000+25000+5400</f>
        <v>33400</v>
      </c>
      <c r="O19" s="71" t="s">
        <v>3018</v>
      </c>
      <c r="P19" s="71" t="s">
        <v>543</v>
      </c>
      <c r="Q19" s="71">
        <v>4000.0</v>
      </c>
      <c r="S19" s="293" t="s">
        <v>470</v>
      </c>
      <c r="U19" s="294">
        <f t="shared" ref="U19:V19" si="3">U16+U15+U18</f>
        <v>8000</v>
      </c>
      <c r="V19" s="294">
        <f t="shared" si="3"/>
        <v>160</v>
      </c>
    </row>
    <row r="20">
      <c r="A20" s="31" t="s">
        <v>3019</v>
      </c>
      <c r="C20" s="31" t="s">
        <v>1454</v>
      </c>
      <c r="D20" s="31" t="s">
        <v>3020</v>
      </c>
      <c r="F20" s="84" t="s">
        <v>3021</v>
      </c>
      <c r="G20" s="31" t="s">
        <v>3022</v>
      </c>
      <c r="J20" s="31" t="s">
        <v>646</v>
      </c>
      <c r="M20" s="71" t="s">
        <v>2246</v>
      </c>
      <c r="P20" s="71" t="s">
        <v>572</v>
      </c>
      <c r="R20" s="241" t="s">
        <v>3023</v>
      </c>
      <c r="S20" s="242" t="s">
        <v>654</v>
      </c>
      <c r="T20" s="242">
        <v>1.0</v>
      </c>
      <c r="U20" s="243">
        <f>T20*8000</f>
        <v>8000</v>
      </c>
      <c r="V20" s="243">
        <f>T20*80</f>
        <v>80</v>
      </c>
    </row>
    <row r="21">
      <c r="A21" s="31" t="s">
        <v>3024</v>
      </c>
      <c r="C21" s="31" t="s">
        <v>3025</v>
      </c>
      <c r="G21" s="31" t="s">
        <v>3026</v>
      </c>
      <c r="M21" s="33" t="s">
        <v>541</v>
      </c>
      <c r="O21" s="4" t="s">
        <v>3027</v>
      </c>
      <c r="P21" s="71" t="s">
        <v>543</v>
      </c>
      <c r="Q21" s="4">
        <v>3000.0</v>
      </c>
      <c r="S21" s="293" t="s">
        <v>470</v>
      </c>
      <c r="U21" s="294">
        <f t="shared" ref="U21:V21" si="4">U20</f>
        <v>8000</v>
      </c>
      <c r="V21" s="294">
        <f t="shared" si="4"/>
        <v>80</v>
      </c>
    </row>
    <row r="22">
      <c r="A22" s="31" t="s">
        <v>3028</v>
      </c>
      <c r="C22" s="31" t="s">
        <v>3029</v>
      </c>
      <c r="G22" s="31" t="s">
        <v>3030</v>
      </c>
      <c r="I22" s="289" t="s">
        <v>594</v>
      </c>
      <c r="M22" s="33" t="s">
        <v>498</v>
      </c>
      <c r="O22" s="33" t="s">
        <v>578</v>
      </c>
      <c r="Q22" s="4">
        <v>200000.0</v>
      </c>
      <c r="R22" s="241" t="s">
        <v>3031</v>
      </c>
      <c r="S22" s="242" t="s">
        <v>523</v>
      </c>
      <c r="T22" s="242">
        <v>2.0</v>
      </c>
      <c r="U22" s="243">
        <f>T22*2000</f>
        <v>4000</v>
      </c>
      <c r="V22" s="243">
        <f>T22*40</f>
        <v>80</v>
      </c>
    </row>
    <row r="23">
      <c r="C23" s="31" t="s">
        <v>1022</v>
      </c>
      <c r="I23" s="297" t="s">
        <v>456</v>
      </c>
      <c r="J23" s="297" t="s">
        <v>457</v>
      </c>
      <c r="K23" s="297" t="s">
        <v>0</v>
      </c>
      <c r="L23" s="71" t="s">
        <v>2699</v>
      </c>
      <c r="M23" s="71" t="s">
        <v>1040</v>
      </c>
      <c r="N23" s="71">
        <f>17000+6000</f>
        <v>23000</v>
      </c>
      <c r="O23" s="33" t="s">
        <v>3032</v>
      </c>
      <c r="Q23" s="78">
        <v>100000.0</v>
      </c>
      <c r="S23" s="242" t="s">
        <v>654</v>
      </c>
      <c r="T23" s="242">
        <v>1.0</v>
      </c>
      <c r="U23" s="243">
        <f>T23*8000</f>
        <v>8000</v>
      </c>
      <c r="V23" s="243">
        <f>T23*80</f>
        <v>80</v>
      </c>
    </row>
    <row r="24">
      <c r="C24" s="31" t="s">
        <v>632</v>
      </c>
      <c r="I24" s="71" t="s">
        <v>949</v>
      </c>
      <c r="J24" s="71" t="s">
        <v>631</v>
      </c>
      <c r="K24" s="71">
        <v>1000.0</v>
      </c>
      <c r="M24" s="33" t="s">
        <v>1437</v>
      </c>
      <c r="O24" s="71"/>
      <c r="P24" s="71"/>
      <c r="Q24" s="71"/>
      <c r="S24" s="242" t="s">
        <v>533</v>
      </c>
    </row>
    <row r="25">
      <c r="C25" s="31" t="s">
        <v>3033</v>
      </c>
      <c r="J25" s="71" t="s">
        <v>635</v>
      </c>
      <c r="M25" s="33" t="s">
        <v>1446</v>
      </c>
      <c r="O25" s="71"/>
      <c r="P25" s="71"/>
      <c r="Q25" s="71"/>
      <c r="S25" s="242" t="s">
        <v>614</v>
      </c>
      <c r="T25" s="242">
        <v>1.0</v>
      </c>
      <c r="U25" s="243">
        <f t="shared" ref="U25:U26" si="5">T25*1500</f>
        <v>1500</v>
      </c>
      <c r="V25" s="243">
        <f t="shared" ref="V25:V26" si="6">T25*40</f>
        <v>40</v>
      </c>
    </row>
    <row r="26">
      <c r="C26" s="31" t="s">
        <v>3034</v>
      </c>
      <c r="J26" s="71" t="s">
        <v>652</v>
      </c>
      <c r="L26" s="4" t="s">
        <v>3035</v>
      </c>
      <c r="M26" s="33" t="s">
        <v>498</v>
      </c>
      <c r="N26" s="4">
        <v>5400.0</v>
      </c>
      <c r="O26" s="4"/>
      <c r="P26" s="4"/>
      <c r="Q26" s="4"/>
      <c r="S26" s="242" t="s">
        <v>2708</v>
      </c>
      <c r="T26" s="242">
        <v>6.0</v>
      </c>
      <c r="U26" s="243">
        <f t="shared" si="5"/>
        <v>9000</v>
      </c>
      <c r="V26" s="243">
        <f t="shared" si="6"/>
        <v>240</v>
      </c>
    </row>
    <row r="27">
      <c r="C27" s="31" t="s">
        <v>3036</v>
      </c>
      <c r="I27" s="71" t="s">
        <v>3037</v>
      </c>
      <c r="J27" s="71" t="s">
        <v>650</v>
      </c>
      <c r="K27" s="71">
        <v>500.0</v>
      </c>
      <c r="L27" s="33" t="s">
        <v>148</v>
      </c>
      <c r="N27" s="33">
        <v>300000.0</v>
      </c>
      <c r="O27" s="33"/>
      <c r="P27" s="33"/>
      <c r="Q27" s="33"/>
      <c r="S27" s="293" t="s">
        <v>470</v>
      </c>
      <c r="U27" s="294">
        <f t="shared" ref="U27:V27" si="7">U22+U23+U25+U26</f>
        <v>22500</v>
      </c>
      <c r="V27" s="294">
        <f t="shared" si="7"/>
        <v>440</v>
      </c>
    </row>
    <row r="28">
      <c r="J28" s="71" t="s">
        <v>644</v>
      </c>
      <c r="R28" s="241" t="s">
        <v>3038</v>
      </c>
      <c r="S28" s="242" t="s">
        <v>447</v>
      </c>
      <c r="T28" s="242">
        <v>2.0</v>
      </c>
      <c r="U28" s="242">
        <f>T28*1000</f>
        <v>2000</v>
      </c>
      <c r="V28" s="243">
        <f t="shared" ref="V28:V29" si="8">T28*20</f>
        <v>40</v>
      </c>
    </row>
    <row r="29">
      <c r="E29" s="25"/>
      <c r="F29" s="25"/>
      <c r="G29" s="25"/>
      <c r="J29" s="71" t="s">
        <v>652</v>
      </c>
      <c r="L29" s="8"/>
      <c r="M29" s="8"/>
      <c r="S29" s="242" t="s">
        <v>655</v>
      </c>
      <c r="T29" s="242">
        <v>2.0</v>
      </c>
      <c r="U29" s="242">
        <f>T29*2000</f>
        <v>4000</v>
      </c>
      <c r="V29" s="243">
        <f t="shared" si="8"/>
        <v>40</v>
      </c>
    </row>
    <row r="30">
      <c r="E30" s="33"/>
      <c r="F30" s="33"/>
      <c r="G30" s="33"/>
      <c r="I30" s="71" t="s">
        <v>3039</v>
      </c>
      <c r="J30" s="71" t="s">
        <v>631</v>
      </c>
      <c r="K30" s="71">
        <v>1500.0</v>
      </c>
      <c r="S30" s="242" t="s">
        <v>511</v>
      </c>
      <c r="T30" s="242">
        <v>1.0</v>
      </c>
      <c r="U30" s="243">
        <f>T30*10000</f>
        <v>10000</v>
      </c>
      <c r="V30" s="243">
        <f>T30*100</f>
        <v>100</v>
      </c>
    </row>
    <row r="31">
      <c r="E31" s="33"/>
      <c r="F31" s="33"/>
      <c r="G31" s="33"/>
      <c r="J31" s="71" t="s">
        <v>635</v>
      </c>
      <c r="L31" s="8"/>
      <c r="M31" s="8"/>
      <c r="S31" s="242" t="s">
        <v>3040</v>
      </c>
      <c r="T31" s="242">
        <v>2.0</v>
      </c>
      <c r="U31" s="243">
        <f>T31*3500</f>
        <v>7000</v>
      </c>
      <c r="V31" s="243">
        <f>T31*60</f>
        <v>120</v>
      </c>
    </row>
    <row r="32">
      <c r="J32" s="71" t="s">
        <v>613</v>
      </c>
      <c r="S32" s="242" t="s">
        <v>523</v>
      </c>
      <c r="T32" s="242">
        <v>1.0</v>
      </c>
      <c r="U32" s="243">
        <f>T32*2000</f>
        <v>2000</v>
      </c>
      <c r="V32" s="243">
        <f t="shared" ref="V32:V33" si="9">T32*40</f>
        <v>40</v>
      </c>
    </row>
    <row r="33">
      <c r="I33" s="71" t="s">
        <v>3041</v>
      </c>
      <c r="J33" s="71" t="s">
        <v>631</v>
      </c>
      <c r="K33" s="71">
        <v>2500.0</v>
      </c>
      <c r="L33" s="8"/>
      <c r="M33" s="8"/>
      <c r="S33" s="242" t="s">
        <v>500</v>
      </c>
      <c r="T33" s="242">
        <v>4.0</v>
      </c>
      <c r="U33" s="243">
        <f>T33*3000</f>
        <v>12000</v>
      </c>
      <c r="V33" s="243">
        <f t="shared" si="9"/>
        <v>160</v>
      </c>
    </row>
    <row r="34">
      <c r="J34" s="71" t="s">
        <v>621</v>
      </c>
      <c r="L34" s="8"/>
      <c r="M34" s="8"/>
      <c r="S34" s="242" t="s">
        <v>654</v>
      </c>
      <c r="T34" s="242">
        <v>1.0</v>
      </c>
      <c r="U34" s="243">
        <f>T34*8000</f>
        <v>8000</v>
      </c>
      <c r="V34" s="243">
        <f>T34*80</f>
        <v>80</v>
      </c>
    </row>
    <row r="35">
      <c r="J35" s="71" t="s">
        <v>613</v>
      </c>
      <c r="S35" s="242" t="s">
        <v>533</v>
      </c>
    </row>
    <row r="36">
      <c r="I36" s="71" t="s">
        <v>3042</v>
      </c>
      <c r="J36" s="71" t="s">
        <v>631</v>
      </c>
      <c r="K36" s="71">
        <v>1500.0</v>
      </c>
      <c r="S36" s="242" t="s">
        <v>2708</v>
      </c>
      <c r="T36" s="242">
        <v>6.0</v>
      </c>
      <c r="U36" s="243">
        <f>T36*1500</f>
        <v>9000</v>
      </c>
      <c r="V36" s="243">
        <f>T36*40</f>
        <v>240</v>
      </c>
    </row>
    <row r="37">
      <c r="J37" s="71" t="s">
        <v>644</v>
      </c>
      <c r="S37" s="293" t="s">
        <v>470</v>
      </c>
      <c r="U37" s="294">
        <f t="shared" ref="U37:V37" si="10">U28+U29+U30+U36+U31+U32+U33+U34</f>
        <v>54000</v>
      </c>
      <c r="V37" s="294">
        <f t="shared" si="10"/>
        <v>820</v>
      </c>
    </row>
    <row r="38">
      <c r="J38" s="71" t="s">
        <v>652</v>
      </c>
    </row>
    <row r="39">
      <c r="I39" s="71" t="s">
        <v>3043</v>
      </c>
      <c r="J39" s="71" t="s">
        <v>631</v>
      </c>
      <c r="K39" s="71">
        <v>1500.0</v>
      </c>
    </row>
    <row r="40">
      <c r="J40" s="71" t="s">
        <v>635</v>
      </c>
    </row>
    <row r="41">
      <c r="J41" s="71" t="s">
        <v>613</v>
      </c>
    </row>
    <row r="42">
      <c r="I42" s="71" t="s">
        <v>3044</v>
      </c>
      <c r="J42" s="71" t="s">
        <v>631</v>
      </c>
      <c r="K42" s="71">
        <v>2000.0</v>
      </c>
    </row>
    <row r="43">
      <c r="J43" s="71" t="s">
        <v>635</v>
      </c>
    </row>
    <row r="44">
      <c r="J44" s="71" t="s">
        <v>625</v>
      </c>
    </row>
    <row r="45">
      <c r="I45" s="71" t="s">
        <v>3045</v>
      </c>
      <c r="J45" s="71" t="s">
        <v>650</v>
      </c>
      <c r="K45" s="71">
        <v>1000.0</v>
      </c>
    </row>
    <row r="46">
      <c r="J46" s="71" t="s">
        <v>635</v>
      </c>
    </row>
    <row r="47">
      <c r="J47" s="71" t="s">
        <v>625</v>
      </c>
    </row>
    <row r="58">
      <c r="A58" s="47" t="s">
        <v>366</v>
      </c>
    </row>
    <row r="59">
      <c r="A59" s="47">
        <f>A61+A73+A95+A108+A133+A157+A177+A191+A220</f>
        <v>4491660</v>
      </c>
    </row>
    <row r="60">
      <c r="A60" s="82" t="s">
        <v>1123</v>
      </c>
    </row>
    <row r="61">
      <c r="A61" s="82">
        <v>17300.0</v>
      </c>
    </row>
    <row r="62">
      <c r="A62" s="82">
        <v>2026.0</v>
      </c>
    </row>
    <row r="63">
      <c r="A63" s="50" t="s">
        <v>665</v>
      </c>
      <c r="B63" s="50" t="s">
        <v>119</v>
      </c>
      <c r="C63" s="50" t="s">
        <v>142</v>
      </c>
      <c r="D63" s="50" t="s">
        <v>126</v>
      </c>
      <c r="E63" s="50" t="s">
        <v>130</v>
      </c>
    </row>
    <row r="64">
      <c r="A64" s="31" t="s">
        <v>3046</v>
      </c>
      <c r="B64" s="84" t="s">
        <v>1152</v>
      </c>
      <c r="D64" s="31" t="s">
        <v>949</v>
      </c>
    </row>
    <row r="65">
      <c r="A65" s="31" t="s">
        <v>677</v>
      </c>
      <c r="B65" s="31" t="s">
        <v>3047</v>
      </c>
      <c r="D65" s="31" t="s">
        <v>826</v>
      </c>
    </row>
    <row r="66">
      <c r="B66" s="31" t="s">
        <v>1762</v>
      </c>
      <c r="D66" s="31" t="s">
        <v>680</v>
      </c>
    </row>
    <row r="67">
      <c r="B67" s="31" t="s">
        <v>1545</v>
      </c>
    </row>
    <row r="68">
      <c r="B68" s="31" t="s">
        <v>3048</v>
      </c>
    </row>
    <row r="69">
      <c r="B69" s="31" t="s">
        <v>1249</v>
      </c>
    </row>
    <row r="70">
      <c r="B70" s="31" t="s">
        <v>685</v>
      </c>
    </row>
    <row r="71">
      <c r="A71" s="85"/>
      <c r="B71" s="85"/>
      <c r="C71" s="85"/>
      <c r="D71" s="85"/>
      <c r="E71" s="85"/>
      <c r="F71" s="85"/>
    </row>
    <row r="72">
      <c r="A72" s="86" t="s">
        <v>686</v>
      </c>
    </row>
    <row r="73">
      <c r="A73" s="86">
        <v>67270.0</v>
      </c>
    </row>
    <row r="74">
      <c r="A74" s="87">
        <v>2026.0</v>
      </c>
    </row>
    <row r="75">
      <c r="A75" s="50" t="s">
        <v>687</v>
      </c>
      <c r="B75" s="50" t="s">
        <v>688</v>
      </c>
      <c r="C75" s="50" t="s">
        <v>689</v>
      </c>
      <c r="D75" s="50" t="s">
        <v>690</v>
      </c>
      <c r="E75" s="50" t="s">
        <v>691</v>
      </c>
      <c r="F75" s="50" t="s">
        <v>692</v>
      </c>
    </row>
    <row r="76">
      <c r="A76" s="84" t="s">
        <v>3049</v>
      </c>
      <c r="B76" s="84" t="s">
        <v>3050</v>
      </c>
      <c r="C76" s="84" t="s">
        <v>3051</v>
      </c>
    </row>
    <row r="77">
      <c r="A77" s="31" t="s">
        <v>3046</v>
      </c>
      <c r="B77" s="31" t="s">
        <v>3052</v>
      </c>
      <c r="C77" s="31" t="s">
        <v>3053</v>
      </c>
    </row>
    <row r="78">
      <c r="A78" s="31" t="s">
        <v>3054</v>
      </c>
      <c r="B78" s="31" t="s">
        <v>844</v>
      </c>
      <c r="C78" s="31" t="s">
        <v>767</v>
      </c>
    </row>
    <row r="79">
      <c r="A79" s="31" t="s">
        <v>705</v>
      </c>
      <c r="B79" s="31" t="s">
        <v>1249</v>
      </c>
      <c r="C79" s="31" t="s">
        <v>3055</v>
      </c>
    </row>
    <row r="80">
      <c r="A80" s="31" t="s">
        <v>708</v>
      </c>
      <c r="B80" s="31" t="s">
        <v>685</v>
      </c>
      <c r="C80" s="31" t="s">
        <v>2065</v>
      </c>
    </row>
    <row r="81">
      <c r="A81" s="31" t="s">
        <v>1133</v>
      </c>
      <c r="B81" s="31" t="s">
        <v>962</v>
      </c>
      <c r="C81" s="31" t="s">
        <v>3056</v>
      </c>
    </row>
    <row r="82">
      <c r="A82" s="31" t="s">
        <v>3057</v>
      </c>
      <c r="B82" s="31" t="s">
        <v>677</v>
      </c>
      <c r="C82" s="31" t="s">
        <v>703</v>
      </c>
    </row>
    <row r="83">
      <c r="A83" s="31" t="s">
        <v>859</v>
      </c>
      <c r="B83" s="31" t="s">
        <v>729</v>
      </c>
    </row>
    <row r="84">
      <c r="A84" s="31" t="s">
        <v>1133</v>
      </c>
    </row>
    <row r="85">
      <c r="A85" s="31" t="s">
        <v>3058</v>
      </c>
    </row>
    <row r="86">
      <c r="A86" s="31" t="s">
        <v>703</v>
      </c>
    </row>
    <row r="87">
      <c r="A87" s="31" t="s">
        <v>705</v>
      </c>
    </row>
    <row r="88">
      <c r="A88" s="31" t="s">
        <v>3059</v>
      </c>
    </row>
    <row r="89">
      <c r="A89" s="31" t="s">
        <v>729</v>
      </c>
    </row>
    <row r="90">
      <c r="A90" s="31" t="s">
        <v>3060</v>
      </c>
    </row>
    <row r="91">
      <c r="A91" s="31" t="s">
        <v>3061</v>
      </c>
    </row>
    <row r="92">
      <c r="A92" s="31" t="s">
        <v>1133</v>
      </c>
    </row>
    <row r="93">
      <c r="A93" s="85"/>
      <c r="B93" s="85"/>
      <c r="C93" s="85"/>
      <c r="D93" s="85"/>
      <c r="E93" s="85"/>
      <c r="F93" s="85"/>
    </row>
    <row r="94">
      <c r="A94" s="22" t="s">
        <v>3062</v>
      </c>
    </row>
    <row r="95">
      <c r="A95" s="22">
        <v>55400.0</v>
      </c>
    </row>
    <row r="96">
      <c r="A96" s="19">
        <v>2026.0</v>
      </c>
    </row>
    <row r="97">
      <c r="A97" s="50" t="s">
        <v>733</v>
      </c>
      <c r="B97" s="50" t="s">
        <v>191</v>
      </c>
      <c r="C97" s="50" t="s">
        <v>734</v>
      </c>
      <c r="D97" s="50" t="s">
        <v>735</v>
      </c>
      <c r="E97" s="50" t="s">
        <v>187</v>
      </c>
      <c r="F97" s="50" t="s">
        <v>736</v>
      </c>
      <c r="G97" s="50" t="s">
        <v>179</v>
      </c>
      <c r="H97" s="50" t="s">
        <v>737</v>
      </c>
    </row>
    <row r="98">
      <c r="A98" s="76" t="s">
        <v>377</v>
      </c>
      <c r="B98" s="76" t="s">
        <v>3063</v>
      </c>
      <c r="C98" s="76" t="s">
        <v>377</v>
      </c>
      <c r="D98" s="76" t="s">
        <v>377</v>
      </c>
      <c r="E98" s="76" t="s">
        <v>3064</v>
      </c>
      <c r="F98" s="76" t="s">
        <v>3065</v>
      </c>
      <c r="G98" s="76" t="s">
        <v>3066</v>
      </c>
      <c r="H98" s="76" t="s">
        <v>377</v>
      </c>
    </row>
    <row r="99">
      <c r="B99" s="31" t="s">
        <v>3067</v>
      </c>
      <c r="E99" s="31" t="s">
        <v>3068</v>
      </c>
      <c r="F99" s="31" t="s">
        <v>3069</v>
      </c>
      <c r="G99" s="31" t="s">
        <v>3070</v>
      </c>
    </row>
    <row r="100">
      <c r="B100" s="31" t="s">
        <v>820</v>
      </c>
      <c r="E100" s="31" t="s">
        <v>671</v>
      </c>
      <c r="F100" s="31" t="s">
        <v>718</v>
      </c>
      <c r="G100" s="31" t="s">
        <v>718</v>
      </c>
    </row>
    <row r="101">
      <c r="B101" s="31" t="s">
        <v>773</v>
      </c>
      <c r="E101" s="31" t="s">
        <v>782</v>
      </c>
      <c r="F101" s="31" t="s">
        <v>3071</v>
      </c>
      <c r="G101" s="31" t="s">
        <v>1159</v>
      </c>
    </row>
    <row r="102">
      <c r="B102" s="31" t="s">
        <v>3072</v>
      </c>
      <c r="E102" s="31" t="s">
        <v>3073</v>
      </c>
      <c r="F102" s="31" t="s">
        <v>726</v>
      </c>
      <c r="G102" s="31" t="s">
        <v>786</v>
      </c>
    </row>
    <row r="103">
      <c r="B103" s="31" t="s">
        <v>1216</v>
      </c>
      <c r="E103" s="31" t="s">
        <v>718</v>
      </c>
    </row>
    <row r="104">
      <c r="B104" s="31" t="s">
        <v>644</v>
      </c>
      <c r="E104" s="31" t="s">
        <v>644</v>
      </c>
    </row>
    <row r="105">
      <c r="B105" s="31" t="s">
        <v>773</v>
      </c>
      <c r="E105" s="31" t="s">
        <v>782</v>
      </c>
    </row>
    <row r="107">
      <c r="A107" s="90" t="s">
        <v>3074</v>
      </c>
    </row>
    <row r="108">
      <c r="A108" s="90">
        <f>A111</f>
        <v>232365</v>
      </c>
    </row>
    <row r="109">
      <c r="A109" s="90">
        <v>2026.0</v>
      </c>
    </row>
    <row r="110">
      <c r="A110" s="90" t="s">
        <v>3075</v>
      </c>
    </row>
    <row r="111">
      <c r="A111" s="90">
        <f>A114+B114+C114+D114+E114+F114+G114+H114</f>
        <v>232365</v>
      </c>
    </row>
    <row r="112">
      <c r="A112" s="50" t="s">
        <v>789</v>
      </c>
      <c r="B112" s="50" t="s">
        <v>790</v>
      </c>
      <c r="C112" s="50" t="s">
        <v>215</v>
      </c>
      <c r="D112" s="50" t="s">
        <v>791</v>
      </c>
      <c r="E112" s="50" t="s">
        <v>202</v>
      </c>
      <c r="F112" s="50" t="s">
        <v>792</v>
      </c>
      <c r="G112" s="50" t="s">
        <v>793</v>
      </c>
      <c r="H112" s="50" t="s">
        <v>205</v>
      </c>
    </row>
    <row r="113">
      <c r="A113" s="33" t="s">
        <v>377</v>
      </c>
      <c r="B113" s="33" t="s">
        <v>377</v>
      </c>
      <c r="C113" s="33" t="s">
        <v>377</v>
      </c>
      <c r="D113" s="33" t="s">
        <v>377</v>
      </c>
      <c r="E113" s="33" t="s">
        <v>377</v>
      </c>
      <c r="F113" s="33" t="s">
        <v>377</v>
      </c>
      <c r="G113" s="33" t="s">
        <v>377</v>
      </c>
      <c r="H113" s="33" t="s">
        <v>377</v>
      </c>
    </row>
    <row r="114">
      <c r="A114" s="50">
        <v>0.0</v>
      </c>
      <c r="B114" s="50">
        <v>13250.0</v>
      </c>
      <c r="C114" s="50">
        <v>25415.0</v>
      </c>
      <c r="D114" s="50">
        <v>15250.0</v>
      </c>
      <c r="E114" s="50">
        <v>143800.0</v>
      </c>
      <c r="F114" s="50">
        <v>0.0</v>
      </c>
      <c r="G114" s="50">
        <v>8750.0</v>
      </c>
      <c r="H114" s="50">
        <v>25900.0</v>
      </c>
    </row>
    <row r="115">
      <c r="B115" s="31" t="s">
        <v>3076</v>
      </c>
      <c r="C115" s="31" t="s">
        <v>3077</v>
      </c>
      <c r="D115" s="31" t="s">
        <v>949</v>
      </c>
      <c r="E115" s="31" t="s">
        <v>3078</v>
      </c>
      <c r="G115" s="31" t="s">
        <v>2961</v>
      </c>
      <c r="H115" s="31" t="s">
        <v>378</v>
      </c>
    </row>
    <row r="116">
      <c r="B116" s="31" t="s">
        <v>819</v>
      </c>
      <c r="C116" s="31" t="s">
        <v>808</v>
      </c>
      <c r="D116" s="31" t="s">
        <v>820</v>
      </c>
      <c r="E116" s="31" t="s">
        <v>3079</v>
      </c>
      <c r="G116" s="31" t="s">
        <v>1176</v>
      </c>
      <c r="H116" s="31" t="s">
        <v>821</v>
      </c>
    </row>
    <row r="117">
      <c r="B117" s="31" t="s">
        <v>806</v>
      </c>
      <c r="C117" s="31" t="s">
        <v>811</v>
      </c>
      <c r="D117" s="31" t="s">
        <v>802</v>
      </c>
      <c r="E117" s="31" t="s">
        <v>805</v>
      </c>
      <c r="G117" s="31" t="s">
        <v>803</v>
      </c>
      <c r="H117" s="31" t="s">
        <v>817</v>
      </c>
    </row>
    <row r="118">
      <c r="B118" s="31" t="s">
        <v>3072</v>
      </c>
      <c r="C118" s="31" t="s">
        <v>3080</v>
      </c>
      <c r="D118" s="31" t="s">
        <v>806</v>
      </c>
      <c r="E118" s="31" t="s">
        <v>807</v>
      </c>
      <c r="G118" s="31" t="s">
        <v>807</v>
      </c>
      <c r="H118" s="31" t="s">
        <v>3037</v>
      </c>
    </row>
    <row r="119">
      <c r="B119" s="31" t="s">
        <v>819</v>
      </c>
      <c r="C119" s="31" t="s">
        <v>1181</v>
      </c>
      <c r="D119" s="31" t="s">
        <v>3081</v>
      </c>
      <c r="E119" s="31" t="s">
        <v>806</v>
      </c>
      <c r="G119" s="31" t="s">
        <v>3082</v>
      </c>
      <c r="H119" s="31" t="s">
        <v>3083</v>
      </c>
    </row>
    <row r="120">
      <c r="B120" s="31" t="s">
        <v>3084</v>
      </c>
      <c r="C120" s="31" t="s">
        <v>807</v>
      </c>
      <c r="D120" s="31" t="s">
        <v>1176</v>
      </c>
      <c r="E120" s="31" t="s">
        <v>3085</v>
      </c>
      <c r="G120" s="31" t="s">
        <v>673</v>
      </c>
      <c r="H120" s="31" t="s">
        <v>817</v>
      </c>
    </row>
    <row r="121">
      <c r="B121" s="31" t="s">
        <v>819</v>
      </c>
      <c r="C121" s="31" t="s">
        <v>811</v>
      </c>
      <c r="E121" s="31" t="s">
        <v>813</v>
      </c>
    </row>
    <row r="122">
      <c r="B122" s="31" t="s">
        <v>3086</v>
      </c>
      <c r="C122" s="31" t="s">
        <v>3087</v>
      </c>
      <c r="E122" s="31" t="s">
        <v>3088</v>
      </c>
      <c r="G122" s="160"/>
      <c r="H122" s="160"/>
    </row>
    <row r="123">
      <c r="B123" s="31" t="s">
        <v>801</v>
      </c>
      <c r="C123" s="31" t="s">
        <v>819</v>
      </c>
      <c r="E123" s="31" t="s">
        <v>1181</v>
      </c>
      <c r="G123" s="160"/>
      <c r="H123" s="160"/>
    </row>
    <row r="124">
      <c r="B124" s="31" t="s">
        <v>3089</v>
      </c>
      <c r="C124" s="31" t="s">
        <v>811</v>
      </c>
      <c r="E124" s="31" t="s">
        <v>813</v>
      </c>
      <c r="G124" s="160"/>
      <c r="H124" s="160"/>
    </row>
    <row r="125">
      <c r="B125" s="31" t="s">
        <v>1181</v>
      </c>
      <c r="G125" s="160"/>
      <c r="H125" s="160"/>
    </row>
    <row r="126">
      <c r="B126" s="31" t="s">
        <v>3027</v>
      </c>
      <c r="G126" s="160"/>
      <c r="H126" s="160"/>
    </row>
    <row r="127">
      <c r="B127" s="31" t="s">
        <v>1181</v>
      </c>
    </row>
    <row r="128">
      <c r="B128" s="31" t="s">
        <v>3090</v>
      </c>
    </row>
    <row r="129">
      <c r="B129" s="31" t="s">
        <v>1181</v>
      </c>
    </row>
    <row r="132">
      <c r="A132" s="92" t="s">
        <v>828</v>
      </c>
    </row>
    <row r="133">
      <c r="A133" s="92">
        <f>A137</f>
        <v>-123800</v>
      </c>
    </row>
    <row r="134">
      <c r="A134" s="92">
        <v>2026.0</v>
      </c>
    </row>
    <row r="135">
      <c r="A135" s="298" t="s">
        <v>3091</v>
      </c>
    </row>
    <row r="136">
      <c r="A136" s="92" t="s">
        <v>368</v>
      </c>
    </row>
    <row r="137">
      <c r="A137" s="93">
        <f>A140+B140+C140+D140+E140+F140+G140+H140+I140+J140-150000</f>
        <v>-123800</v>
      </c>
    </row>
    <row r="138">
      <c r="A138" s="94" t="s">
        <v>829</v>
      </c>
      <c r="B138" s="94" t="s">
        <v>830</v>
      </c>
      <c r="C138" s="94" t="s">
        <v>831</v>
      </c>
      <c r="D138" s="94" t="s">
        <v>832</v>
      </c>
      <c r="E138" s="94" t="s">
        <v>833</v>
      </c>
      <c r="F138" s="94" t="s">
        <v>834</v>
      </c>
      <c r="G138" s="94" t="s">
        <v>835</v>
      </c>
      <c r="H138" s="94" t="s">
        <v>836</v>
      </c>
      <c r="I138" s="95" t="s">
        <v>837</v>
      </c>
      <c r="J138" s="95" t="s">
        <v>838</v>
      </c>
    </row>
    <row r="139">
      <c r="A139" s="33" t="s">
        <v>377</v>
      </c>
      <c r="B139" s="33" t="s">
        <v>377</v>
      </c>
      <c r="C139" s="33" t="s">
        <v>377</v>
      </c>
      <c r="D139" s="33" t="s">
        <v>377</v>
      </c>
      <c r="E139" s="33" t="s">
        <v>377</v>
      </c>
      <c r="F139" s="33" t="s">
        <v>377</v>
      </c>
      <c r="G139" s="33" t="s">
        <v>377</v>
      </c>
      <c r="H139" s="33" t="s">
        <v>377</v>
      </c>
      <c r="I139" s="33" t="s">
        <v>377</v>
      </c>
      <c r="J139" s="33" t="s">
        <v>377</v>
      </c>
    </row>
    <row r="140">
      <c r="A140" s="50">
        <v>0.0</v>
      </c>
      <c r="B140" s="50">
        <v>0.0</v>
      </c>
      <c r="C140" s="50">
        <v>17200.0</v>
      </c>
      <c r="D140" s="50">
        <v>0.0</v>
      </c>
      <c r="E140" s="50">
        <v>500.0</v>
      </c>
      <c r="F140" s="50">
        <v>0.0</v>
      </c>
      <c r="G140" s="50">
        <v>8500.0</v>
      </c>
      <c r="H140" s="50">
        <v>0.0</v>
      </c>
      <c r="I140" s="50">
        <v>0.0</v>
      </c>
      <c r="J140" s="50">
        <v>0.0</v>
      </c>
    </row>
    <row r="141">
      <c r="C141" s="31" t="s">
        <v>3092</v>
      </c>
      <c r="E141" s="31" t="s">
        <v>3093</v>
      </c>
      <c r="G141" s="31" t="s">
        <v>3076</v>
      </c>
    </row>
    <row r="142">
      <c r="C142" s="31" t="s">
        <v>379</v>
      </c>
      <c r="E142" s="31" t="s">
        <v>703</v>
      </c>
      <c r="G142" s="31" t="s">
        <v>910</v>
      </c>
    </row>
    <row r="143">
      <c r="C143" s="31" t="s">
        <v>3094</v>
      </c>
      <c r="G143" s="31" t="s">
        <v>1195</v>
      </c>
    </row>
    <row r="144">
      <c r="C144" s="31" t="s">
        <v>3095</v>
      </c>
      <c r="G144" s="31" t="s">
        <v>854</v>
      </c>
    </row>
    <row r="145">
      <c r="A145" s="77"/>
      <c r="B145" s="77"/>
      <c r="C145" s="31" t="s">
        <v>2948</v>
      </c>
      <c r="D145" s="77"/>
      <c r="E145" s="77"/>
      <c r="F145" s="77"/>
    </row>
    <row r="146">
      <c r="A146" s="70"/>
      <c r="B146" s="70"/>
      <c r="C146" s="31" t="s">
        <v>673</v>
      </c>
      <c r="D146" s="70"/>
      <c r="E146" s="70"/>
      <c r="F146" s="70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</row>
    <row r="147">
      <c r="A147" s="70"/>
      <c r="B147" s="70"/>
      <c r="C147" s="45" t="s">
        <v>3096</v>
      </c>
      <c r="D147" s="70"/>
      <c r="E147" s="70"/>
      <c r="F147" s="70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</row>
    <row r="148">
      <c r="A148" s="70"/>
      <c r="B148" s="70"/>
      <c r="C148" s="70" t="s">
        <v>826</v>
      </c>
      <c r="D148" s="70"/>
      <c r="E148" s="70"/>
      <c r="F148" s="70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</row>
    <row r="149">
      <c r="A149" s="70"/>
      <c r="B149" s="70"/>
      <c r="C149" s="70" t="s">
        <v>3097</v>
      </c>
      <c r="D149" s="70"/>
      <c r="E149" s="70"/>
      <c r="F149" s="70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</row>
    <row r="150">
      <c r="A150" s="25"/>
      <c r="B150" s="25"/>
      <c r="C150" s="70" t="s">
        <v>703</v>
      </c>
      <c r="D150" s="25"/>
      <c r="E150" s="25"/>
      <c r="F150" s="25"/>
    </row>
    <row r="151">
      <c r="A151" s="299"/>
      <c r="B151" s="299"/>
      <c r="C151" s="75" t="s">
        <v>3098</v>
      </c>
      <c r="D151" s="299"/>
      <c r="E151" s="299"/>
      <c r="F151" s="299"/>
    </row>
    <row r="152">
      <c r="A152" s="161"/>
      <c r="B152" s="161"/>
      <c r="C152" s="269" t="s">
        <v>728</v>
      </c>
      <c r="D152" s="161"/>
      <c r="E152" s="161"/>
      <c r="F152" s="161"/>
    </row>
    <row r="153">
      <c r="A153" s="161"/>
      <c r="B153" s="161"/>
      <c r="C153" s="269" t="s">
        <v>3099</v>
      </c>
      <c r="D153" s="161"/>
      <c r="E153" s="161"/>
      <c r="F153" s="161"/>
    </row>
    <row r="154">
      <c r="A154" s="50"/>
      <c r="B154" s="50"/>
      <c r="C154" s="269" t="s">
        <v>728</v>
      </c>
      <c r="D154" s="50"/>
      <c r="E154" s="50"/>
      <c r="F154" s="50"/>
    </row>
    <row r="155">
      <c r="A155" s="96" t="s">
        <v>871</v>
      </c>
    </row>
    <row r="156">
      <c r="A156" s="97" t="s">
        <v>872</v>
      </c>
    </row>
    <row r="157">
      <c r="A157" s="97">
        <f>A160</f>
        <v>189600</v>
      </c>
    </row>
    <row r="158">
      <c r="A158" s="97">
        <v>2026.0</v>
      </c>
    </row>
    <row r="159">
      <c r="A159" s="97" t="s">
        <v>368</v>
      </c>
    </row>
    <row r="160">
      <c r="A160" s="98">
        <f>A163+B163+C163+D163+E163+F163+G163+H163+I163+J163</f>
        <v>189600</v>
      </c>
    </row>
    <row r="161">
      <c r="A161" s="50" t="s">
        <v>873</v>
      </c>
      <c r="B161" s="50" t="s">
        <v>874</v>
      </c>
      <c r="C161" s="50" t="s">
        <v>875</v>
      </c>
      <c r="D161" s="50" t="s">
        <v>876</v>
      </c>
      <c r="E161" s="50" t="s">
        <v>877</v>
      </c>
      <c r="F161" s="50" t="s">
        <v>878</v>
      </c>
      <c r="G161" s="94" t="s">
        <v>879</v>
      </c>
      <c r="H161" s="99" t="s">
        <v>880</v>
      </c>
      <c r="I161" s="99" t="s">
        <v>881</v>
      </c>
      <c r="J161" s="99" t="s">
        <v>882</v>
      </c>
    </row>
    <row r="162">
      <c r="A162" s="33" t="s">
        <v>377</v>
      </c>
      <c r="B162" s="33" t="s">
        <v>377</v>
      </c>
      <c r="C162" s="33" t="s">
        <v>377</v>
      </c>
      <c r="D162" s="33" t="s">
        <v>377</v>
      </c>
      <c r="E162" s="33" t="s">
        <v>377</v>
      </c>
      <c r="F162" s="33" t="s">
        <v>377</v>
      </c>
      <c r="G162" s="33" t="s">
        <v>377</v>
      </c>
      <c r="H162" s="64" t="s">
        <v>377</v>
      </c>
      <c r="I162" s="64" t="s">
        <v>377</v>
      </c>
      <c r="J162" s="64" t="s">
        <v>377</v>
      </c>
    </row>
    <row r="163">
      <c r="A163" s="50">
        <v>55500.0</v>
      </c>
      <c r="B163" s="50">
        <v>39000.0</v>
      </c>
      <c r="C163" s="50">
        <v>1000.0</v>
      </c>
      <c r="D163" s="50"/>
      <c r="E163" s="50"/>
      <c r="F163" s="50"/>
      <c r="G163" s="50"/>
      <c r="H163" s="50">
        <f>16500+77600</f>
        <v>94100</v>
      </c>
      <c r="I163" s="50"/>
      <c r="J163" s="50"/>
    </row>
    <row r="164">
      <c r="A164" s="31" t="s">
        <v>3100</v>
      </c>
      <c r="B164" s="31" t="s">
        <v>3101</v>
      </c>
      <c r="C164" s="31" t="s">
        <v>3102</v>
      </c>
      <c r="H164" s="31" t="s">
        <v>3092</v>
      </c>
    </row>
    <row r="165">
      <c r="A165" s="31" t="s">
        <v>3103</v>
      </c>
      <c r="B165" s="31" t="s">
        <v>1223</v>
      </c>
      <c r="C165" s="31" t="s">
        <v>677</v>
      </c>
      <c r="H165" s="31" t="s">
        <v>926</v>
      </c>
    </row>
    <row r="166">
      <c r="A166" s="31" t="s">
        <v>888</v>
      </c>
      <c r="B166" s="31" t="s">
        <v>3104</v>
      </c>
      <c r="H166" s="31" t="s">
        <v>897</v>
      </c>
    </row>
    <row r="167">
      <c r="A167" s="31" t="s">
        <v>1163</v>
      </c>
      <c r="B167" s="31" t="s">
        <v>677</v>
      </c>
      <c r="H167" s="31" t="s">
        <v>3105</v>
      </c>
    </row>
    <row r="168">
      <c r="A168" s="31" t="s">
        <v>826</v>
      </c>
      <c r="B168" s="31" t="s">
        <v>898</v>
      </c>
      <c r="H168" s="31" t="s">
        <v>677</v>
      </c>
    </row>
    <row r="169">
      <c r="A169" s="31" t="s">
        <v>890</v>
      </c>
      <c r="B169" s="31" t="s">
        <v>896</v>
      </c>
      <c r="H169" s="31" t="s">
        <v>898</v>
      </c>
    </row>
    <row r="170">
      <c r="A170" s="31" t="s">
        <v>896</v>
      </c>
      <c r="H170" s="31" t="s">
        <v>897</v>
      </c>
    </row>
    <row r="171">
      <c r="A171" s="31" t="s">
        <v>888</v>
      </c>
    </row>
    <row r="172">
      <c r="A172" s="31" t="s">
        <v>3106</v>
      </c>
    </row>
    <row r="173">
      <c r="A173" s="31" t="s">
        <v>677</v>
      </c>
    </row>
    <row r="174">
      <c r="A174" s="31" t="s">
        <v>888</v>
      </c>
    </row>
    <row r="176">
      <c r="A176" s="100" t="s">
        <v>913</v>
      </c>
    </row>
    <row r="177">
      <c r="A177" s="100">
        <f>A180</f>
        <v>110500</v>
      </c>
    </row>
    <row r="178">
      <c r="A178" s="100">
        <v>2026.0</v>
      </c>
    </row>
    <row r="179">
      <c r="A179" s="100" t="s">
        <v>368</v>
      </c>
    </row>
    <row r="180">
      <c r="A180" s="100">
        <f>A183+B183+C183+D183+E183+F183+G183+H183</f>
        <v>110500</v>
      </c>
    </row>
    <row r="181">
      <c r="A181" s="50" t="s">
        <v>914</v>
      </c>
      <c r="B181" s="50" t="s">
        <v>246</v>
      </c>
      <c r="C181" s="50" t="s">
        <v>247</v>
      </c>
      <c r="D181" s="50" t="s">
        <v>249</v>
      </c>
      <c r="E181" s="50" t="s">
        <v>915</v>
      </c>
      <c r="F181" s="50" t="s">
        <v>916</v>
      </c>
      <c r="G181" s="50" t="s">
        <v>253</v>
      </c>
      <c r="H181" s="50" t="s">
        <v>252</v>
      </c>
    </row>
    <row r="182">
      <c r="A182" s="33" t="s">
        <v>377</v>
      </c>
      <c r="B182" s="33" t="s">
        <v>377</v>
      </c>
      <c r="C182" s="33" t="s">
        <v>377</v>
      </c>
      <c r="D182" s="33" t="s">
        <v>377</v>
      </c>
      <c r="E182" s="33" t="s">
        <v>377</v>
      </c>
      <c r="F182" s="33" t="s">
        <v>377</v>
      </c>
      <c r="G182" s="33" t="s">
        <v>377</v>
      </c>
      <c r="H182" s="33" t="s">
        <v>377</v>
      </c>
    </row>
    <row r="183">
      <c r="A183" s="50">
        <v>1000.0</v>
      </c>
      <c r="B183" s="50">
        <v>0.0</v>
      </c>
      <c r="C183" s="50">
        <v>0.0</v>
      </c>
      <c r="D183" s="50">
        <v>0.0</v>
      </c>
      <c r="E183" s="50">
        <v>5000.0</v>
      </c>
      <c r="F183" s="50">
        <v>3000.0</v>
      </c>
      <c r="G183" s="50">
        <v>78500.0</v>
      </c>
      <c r="H183" s="50">
        <f>1000+22000</f>
        <v>23000</v>
      </c>
    </row>
    <row r="184">
      <c r="A184" s="31" t="s">
        <v>3107</v>
      </c>
      <c r="B184" s="31" t="s">
        <v>3108</v>
      </c>
      <c r="E184" s="31" t="s">
        <v>3109</v>
      </c>
      <c r="F184" s="31" t="s">
        <v>3110</v>
      </c>
      <c r="G184" s="31" t="s">
        <v>3077</v>
      </c>
      <c r="H184" s="31" t="s">
        <v>3111</v>
      </c>
    </row>
    <row r="185">
      <c r="A185" s="31" t="s">
        <v>677</v>
      </c>
      <c r="B185" s="31" t="s">
        <v>826</v>
      </c>
      <c r="E185" s="31" t="s">
        <v>844</v>
      </c>
      <c r="F185" s="31" t="s">
        <v>718</v>
      </c>
      <c r="G185" s="31" t="s">
        <v>1833</v>
      </c>
      <c r="H185" s="31" t="s">
        <v>677</v>
      </c>
    </row>
    <row r="186">
      <c r="G186" s="31" t="s">
        <v>1612</v>
      </c>
      <c r="H186" s="31" t="s">
        <v>921</v>
      </c>
    </row>
    <row r="187">
      <c r="G187" s="31" t="s">
        <v>3112</v>
      </c>
    </row>
    <row r="188">
      <c r="G188" s="31" t="s">
        <v>864</v>
      </c>
    </row>
    <row r="189">
      <c r="G189" s="31" t="s">
        <v>1612</v>
      </c>
    </row>
    <row r="190">
      <c r="A190" s="205" t="s">
        <v>928</v>
      </c>
    </row>
    <row r="191">
      <c r="A191" s="205">
        <f>A194</f>
        <v>257000</v>
      </c>
    </row>
    <row r="192">
      <c r="A192" s="205">
        <v>2026.0</v>
      </c>
    </row>
    <row r="193">
      <c r="A193" s="205" t="s">
        <v>368</v>
      </c>
    </row>
    <row r="194">
      <c r="A194" s="206">
        <f>A197+B197+C197+D197+E197+F197+G197+H197+I197+J197</f>
        <v>257000</v>
      </c>
    </row>
    <row r="195">
      <c r="A195" s="103" t="s">
        <v>929</v>
      </c>
      <c r="B195" s="103" t="s">
        <v>930</v>
      </c>
      <c r="C195" s="103" t="s">
        <v>931</v>
      </c>
      <c r="D195" s="103" t="s">
        <v>932</v>
      </c>
      <c r="E195" s="103" t="s">
        <v>933</v>
      </c>
      <c r="F195" s="103" t="s">
        <v>934</v>
      </c>
      <c r="G195" s="103" t="s">
        <v>935</v>
      </c>
      <c r="H195" s="103" t="s">
        <v>936</v>
      </c>
      <c r="I195" s="103" t="s">
        <v>937</v>
      </c>
      <c r="J195" s="103" t="s">
        <v>938</v>
      </c>
    </row>
    <row r="196">
      <c r="A196" s="64" t="s">
        <v>377</v>
      </c>
      <c r="B196" s="64" t="s">
        <v>377</v>
      </c>
      <c r="C196" s="64" t="s">
        <v>377</v>
      </c>
      <c r="D196" s="64" t="s">
        <v>377</v>
      </c>
      <c r="E196" s="64" t="s">
        <v>377</v>
      </c>
      <c r="F196" s="64" t="s">
        <v>377</v>
      </c>
      <c r="G196" s="64" t="s">
        <v>377</v>
      </c>
      <c r="H196" s="64" t="s">
        <v>377</v>
      </c>
      <c r="I196" s="64" t="s">
        <v>377</v>
      </c>
      <c r="J196" s="64" t="s">
        <v>377</v>
      </c>
    </row>
    <row r="197">
      <c r="A197" s="99">
        <v>195000.0</v>
      </c>
      <c r="B197" s="103">
        <v>0.0</v>
      </c>
      <c r="C197" s="103">
        <v>0.0</v>
      </c>
      <c r="D197" s="103">
        <v>0.0</v>
      </c>
      <c r="E197" s="103">
        <v>0.0</v>
      </c>
      <c r="F197" s="103">
        <v>0.0</v>
      </c>
      <c r="G197" s="99">
        <v>31000.0</v>
      </c>
      <c r="H197" s="99">
        <v>29000.0</v>
      </c>
      <c r="I197" s="99">
        <v>2000.0</v>
      </c>
      <c r="J197" s="103">
        <v>0.0</v>
      </c>
    </row>
    <row r="198">
      <c r="A198" s="31" t="s">
        <v>3113</v>
      </c>
      <c r="G198" s="31" t="s">
        <v>3110</v>
      </c>
      <c r="H198" s="31" t="s">
        <v>3101</v>
      </c>
      <c r="I198" s="31" t="s">
        <v>3114</v>
      </c>
    </row>
    <row r="199">
      <c r="A199" s="31" t="s">
        <v>1236</v>
      </c>
      <c r="G199" s="31" t="s">
        <v>1606</v>
      </c>
      <c r="H199" s="31" t="s">
        <v>901</v>
      </c>
      <c r="I199" s="31" t="s">
        <v>826</v>
      </c>
    </row>
    <row r="200">
      <c r="A200" s="31" t="s">
        <v>1619</v>
      </c>
      <c r="G200" s="31" t="s">
        <v>3115</v>
      </c>
      <c r="H200" s="31" t="s">
        <v>3037</v>
      </c>
    </row>
    <row r="201">
      <c r="A201" s="31" t="s">
        <v>2847</v>
      </c>
      <c r="G201" s="31" t="s">
        <v>1316</v>
      </c>
      <c r="H201" s="31" t="s">
        <v>826</v>
      </c>
    </row>
    <row r="202">
      <c r="A202" s="31" t="s">
        <v>943</v>
      </c>
    </row>
    <row r="203">
      <c r="A203" s="31" t="s">
        <v>3116</v>
      </c>
    </row>
    <row r="204">
      <c r="A204" s="31" t="s">
        <v>844</v>
      </c>
    </row>
    <row r="205">
      <c r="A205" s="31" t="s">
        <v>943</v>
      </c>
    </row>
    <row r="206">
      <c r="A206" s="31" t="s">
        <v>3002</v>
      </c>
    </row>
    <row r="207">
      <c r="A207" s="31" t="s">
        <v>868</v>
      </c>
    </row>
    <row r="208">
      <c r="A208" s="31" t="s">
        <v>3117</v>
      </c>
    </row>
    <row r="209">
      <c r="A209" s="31" t="s">
        <v>826</v>
      </c>
    </row>
    <row r="210">
      <c r="A210" s="31" t="s">
        <v>3118</v>
      </c>
    </row>
    <row r="211">
      <c r="A211" s="31" t="s">
        <v>826</v>
      </c>
    </row>
    <row r="212">
      <c r="A212" s="31" t="s">
        <v>2850</v>
      </c>
    </row>
    <row r="213">
      <c r="A213" s="31" t="s">
        <v>2847</v>
      </c>
    </row>
    <row r="214">
      <c r="A214" s="31" t="s">
        <v>943</v>
      </c>
    </row>
    <row r="215">
      <c r="A215" s="31" t="s">
        <v>3119</v>
      </c>
    </row>
    <row r="216">
      <c r="A216" s="31" t="s">
        <v>826</v>
      </c>
    </row>
    <row r="219">
      <c r="A219" s="100" t="s">
        <v>3120</v>
      </c>
    </row>
    <row r="220">
      <c r="A220" s="100">
        <f>A224+-1200000</f>
        <v>3686025</v>
      </c>
    </row>
    <row r="221">
      <c r="A221" s="100">
        <v>2026.0</v>
      </c>
    </row>
    <row r="222">
      <c r="A222" s="300" t="s">
        <v>3121</v>
      </c>
    </row>
    <row r="223">
      <c r="A223" s="100" t="s">
        <v>1786</v>
      </c>
    </row>
    <row r="224">
      <c r="A224" s="235">
        <f>A227+B227+C227+D227+E227+F227+G227+H227</f>
        <v>4886025</v>
      </c>
    </row>
    <row r="225">
      <c r="A225" s="33" t="s">
        <v>369</v>
      </c>
      <c r="B225" s="33" t="s">
        <v>370</v>
      </c>
      <c r="C225" s="33" t="s">
        <v>371</v>
      </c>
      <c r="D225" s="33" t="s">
        <v>372</v>
      </c>
      <c r="E225" s="33" t="s">
        <v>373</v>
      </c>
      <c r="F225" s="33" t="s">
        <v>374</v>
      </c>
      <c r="G225" s="33" t="s">
        <v>375</v>
      </c>
      <c r="H225" s="33" t="s">
        <v>376</v>
      </c>
      <c r="I225" s="103"/>
      <c r="J225" s="103"/>
    </row>
    <row r="226">
      <c r="A226" s="33" t="s">
        <v>377</v>
      </c>
      <c r="B226" s="33" t="s">
        <v>693</v>
      </c>
      <c r="C226" s="33" t="s">
        <v>693</v>
      </c>
      <c r="D226" s="33" t="s">
        <v>693</v>
      </c>
      <c r="E226" s="33" t="s">
        <v>693</v>
      </c>
      <c r="F226" s="33" t="s">
        <v>693</v>
      </c>
      <c r="G226" s="33" t="s">
        <v>377</v>
      </c>
      <c r="H226" s="33" t="s">
        <v>693</v>
      </c>
    </row>
    <row r="227">
      <c r="A227" s="50">
        <f>510000+63225+59825</f>
        <v>633050</v>
      </c>
      <c r="B227" s="50">
        <f>505000+34225+33725</f>
        <v>572950</v>
      </c>
      <c r="C227" s="50">
        <v>500000.0</v>
      </c>
      <c r="D227" s="50">
        <v>530000.0</v>
      </c>
      <c r="E227" s="50">
        <f>575000+150000</f>
        <v>725000</v>
      </c>
      <c r="F227" s="50">
        <v>500000.0</v>
      </c>
      <c r="G227" s="50">
        <f>536000+135675+(119175*2)</f>
        <v>910025</v>
      </c>
      <c r="H227" s="50">
        <v>515000.0</v>
      </c>
    </row>
    <row r="228">
      <c r="A228" s="75" t="s">
        <v>2757</v>
      </c>
      <c r="B228" s="75" t="s">
        <v>3077</v>
      </c>
      <c r="C228" s="75" t="s">
        <v>3122</v>
      </c>
      <c r="D228" s="75" t="s">
        <v>3046</v>
      </c>
      <c r="E228" s="75" t="s">
        <v>3076</v>
      </c>
      <c r="F228" s="75" t="s">
        <v>3123</v>
      </c>
      <c r="G228" s="75" t="s">
        <v>3110</v>
      </c>
      <c r="H228" s="75" t="s">
        <v>3124</v>
      </c>
      <c r="I228" s="105"/>
    </row>
    <row r="229">
      <c r="A229" s="31" t="s">
        <v>3125</v>
      </c>
      <c r="B229" s="31" t="s">
        <v>3125</v>
      </c>
      <c r="C229" s="31" t="s">
        <v>3125</v>
      </c>
      <c r="D229" s="31" t="s">
        <v>3125</v>
      </c>
      <c r="E229" s="31" t="s">
        <v>3125</v>
      </c>
      <c r="F229" s="31" t="s">
        <v>3125</v>
      </c>
      <c r="G229" s="31" t="s">
        <v>3125</v>
      </c>
      <c r="H229" s="31" t="s">
        <v>3125</v>
      </c>
    </row>
    <row r="230">
      <c r="A230" s="31" t="s">
        <v>945</v>
      </c>
      <c r="B230" s="76" t="s">
        <v>3126</v>
      </c>
      <c r="C230" s="75" t="s">
        <v>2948</v>
      </c>
      <c r="D230" s="31" t="s">
        <v>3127</v>
      </c>
      <c r="E230" s="31" t="s">
        <v>380</v>
      </c>
      <c r="F230" s="75" t="s">
        <v>3128</v>
      </c>
      <c r="G230" s="76" t="s">
        <v>3129</v>
      </c>
      <c r="H230" s="75" t="s">
        <v>2992</v>
      </c>
      <c r="I230" s="105"/>
    </row>
    <row r="231">
      <c r="A231" s="31" t="s">
        <v>381</v>
      </c>
      <c r="B231" s="75" t="s">
        <v>3130</v>
      </c>
      <c r="C231" s="31" t="s">
        <v>3131</v>
      </c>
      <c r="D231" s="31" t="s">
        <v>3131</v>
      </c>
      <c r="E231" s="31" t="s">
        <v>3132</v>
      </c>
      <c r="F231" s="31" t="s">
        <v>3131</v>
      </c>
      <c r="G231" s="75" t="s">
        <v>3115</v>
      </c>
      <c r="H231" s="31" t="s">
        <v>944</v>
      </c>
    </row>
    <row r="232">
      <c r="A232" s="76" t="s">
        <v>3133</v>
      </c>
      <c r="B232" s="31" t="s">
        <v>3131</v>
      </c>
      <c r="D232" s="31" t="s">
        <v>380</v>
      </c>
      <c r="E232" s="31" t="s">
        <v>381</v>
      </c>
      <c r="G232" s="31" t="s">
        <v>3131</v>
      </c>
      <c r="H232" s="31" t="s">
        <v>945</v>
      </c>
    </row>
    <row r="233">
      <c r="A233" s="75" t="s">
        <v>3134</v>
      </c>
      <c r="B233" s="31" t="s">
        <v>381</v>
      </c>
      <c r="D233" s="31" t="s">
        <v>3132</v>
      </c>
      <c r="E233" s="31" t="s">
        <v>3135</v>
      </c>
      <c r="G233" s="31" t="s">
        <v>945</v>
      </c>
      <c r="H233" s="31" t="s">
        <v>3131</v>
      </c>
    </row>
    <row r="234">
      <c r="A234" s="31" t="s">
        <v>3131</v>
      </c>
      <c r="B234" s="76" t="s">
        <v>955</v>
      </c>
      <c r="E234" s="75" t="s">
        <v>2984</v>
      </c>
      <c r="G234" s="76" t="s">
        <v>958</v>
      </c>
      <c r="H234" s="31" t="s">
        <v>3136</v>
      </c>
    </row>
    <row r="235">
      <c r="A235" s="76" t="s">
        <v>954</v>
      </c>
      <c r="E235" s="31" t="s">
        <v>3131</v>
      </c>
      <c r="G235" s="31" t="s">
        <v>3137</v>
      </c>
      <c r="H235" s="31" t="s">
        <v>826</v>
      </c>
    </row>
    <row r="236">
      <c r="E236" s="31" t="s">
        <v>944</v>
      </c>
      <c r="G236" s="31" t="s">
        <v>866</v>
      </c>
      <c r="H236" s="31" t="s">
        <v>3138</v>
      </c>
    </row>
    <row r="237">
      <c r="E237" s="31" t="s">
        <v>3139</v>
      </c>
      <c r="G237" s="76" t="s">
        <v>958</v>
      </c>
      <c r="H237" s="31" t="s">
        <v>826</v>
      </c>
    </row>
    <row r="238">
      <c r="E238" s="31" t="s">
        <v>951</v>
      </c>
    </row>
  </sheetData>
  <mergeCells count="114">
    <mergeCell ref="A1:V1"/>
    <mergeCell ref="A2:V2"/>
    <mergeCell ref="A3:V3"/>
    <mergeCell ref="A4:V4"/>
    <mergeCell ref="A5:V5"/>
    <mergeCell ref="I6:K6"/>
    <mergeCell ref="L6:N6"/>
    <mergeCell ref="O6:Q6"/>
    <mergeCell ref="R6:V6"/>
    <mergeCell ref="I7:K7"/>
    <mergeCell ref="L7:N7"/>
    <mergeCell ref="O7:Q7"/>
    <mergeCell ref="R7:V7"/>
    <mergeCell ref="O8:Q8"/>
    <mergeCell ref="S12:T12"/>
    <mergeCell ref="S14:T14"/>
    <mergeCell ref="S17:V17"/>
    <mergeCell ref="S19:T19"/>
    <mergeCell ref="S21:T21"/>
    <mergeCell ref="S24:V24"/>
    <mergeCell ref="L8:N8"/>
    <mergeCell ref="L9:N9"/>
    <mergeCell ref="O9:Q9"/>
    <mergeCell ref="R9:R12"/>
    <mergeCell ref="S10:V10"/>
    <mergeCell ref="L11:L13"/>
    <mergeCell ref="N11:N13"/>
    <mergeCell ref="Q13:Q14"/>
    <mergeCell ref="Q15:Q17"/>
    <mergeCell ref="L14:L18"/>
    <mergeCell ref="L19:L22"/>
    <mergeCell ref="I22:K22"/>
    <mergeCell ref="O15:O17"/>
    <mergeCell ref="O19:O20"/>
    <mergeCell ref="A61:E61"/>
    <mergeCell ref="A62:E62"/>
    <mergeCell ref="A72:F72"/>
    <mergeCell ref="A73:F73"/>
    <mergeCell ref="A74:F74"/>
    <mergeCell ref="F93:H93"/>
    <mergeCell ref="A94:H94"/>
    <mergeCell ref="A95:H95"/>
    <mergeCell ref="A96:H96"/>
    <mergeCell ref="A107:H107"/>
    <mergeCell ref="A108:H108"/>
    <mergeCell ref="A109:H109"/>
    <mergeCell ref="A110:H110"/>
    <mergeCell ref="A111:H111"/>
    <mergeCell ref="A132:J132"/>
    <mergeCell ref="A133:J133"/>
    <mergeCell ref="A134:J134"/>
    <mergeCell ref="A135:J135"/>
    <mergeCell ref="A136:J136"/>
    <mergeCell ref="A137:J137"/>
    <mergeCell ref="A155:J155"/>
    <mergeCell ref="A156:J156"/>
    <mergeCell ref="A157:J157"/>
    <mergeCell ref="A158:J158"/>
    <mergeCell ref="A159:J159"/>
    <mergeCell ref="A160:J160"/>
    <mergeCell ref="A176:H176"/>
    <mergeCell ref="A177:H177"/>
    <mergeCell ref="A221:H221"/>
    <mergeCell ref="A222:H222"/>
    <mergeCell ref="A223:H223"/>
    <mergeCell ref="A224:H224"/>
    <mergeCell ref="A190:J190"/>
    <mergeCell ref="A191:J191"/>
    <mergeCell ref="A192:J192"/>
    <mergeCell ref="A193:J193"/>
    <mergeCell ref="A194:J194"/>
    <mergeCell ref="A219:H219"/>
    <mergeCell ref="A220:H220"/>
    <mergeCell ref="R15:R19"/>
    <mergeCell ref="R20:R21"/>
    <mergeCell ref="R22:R27"/>
    <mergeCell ref="S27:T27"/>
    <mergeCell ref="R28:R37"/>
    <mergeCell ref="S35:V35"/>
    <mergeCell ref="S37:T37"/>
    <mergeCell ref="O11:O12"/>
    <mergeCell ref="Q11:Q12"/>
    <mergeCell ref="O13:O14"/>
    <mergeCell ref="R13:R14"/>
    <mergeCell ref="N14:N18"/>
    <mergeCell ref="Q19:Q20"/>
    <mergeCell ref="O22:P22"/>
    <mergeCell ref="O23:P23"/>
    <mergeCell ref="N19:N22"/>
    <mergeCell ref="L23:L25"/>
    <mergeCell ref="N23:N25"/>
    <mergeCell ref="I24:I26"/>
    <mergeCell ref="K24:K26"/>
    <mergeCell ref="K27:K29"/>
    <mergeCell ref="L27:M27"/>
    <mergeCell ref="K36:K38"/>
    <mergeCell ref="K39:K41"/>
    <mergeCell ref="I27:I29"/>
    <mergeCell ref="I30:I32"/>
    <mergeCell ref="K30:K32"/>
    <mergeCell ref="I33:I35"/>
    <mergeCell ref="K33:K35"/>
    <mergeCell ref="I36:I38"/>
    <mergeCell ref="I39:I41"/>
    <mergeCell ref="I42:I44"/>
    <mergeCell ref="K42:K44"/>
    <mergeCell ref="I45:I47"/>
    <mergeCell ref="K45:K47"/>
    <mergeCell ref="A58:E58"/>
    <mergeCell ref="A59:E59"/>
    <mergeCell ref="A60:E60"/>
    <mergeCell ref="A178:H178"/>
    <mergeCell ref="A179:H179"/>
    <mergeCell ref="A180:H180"/>
  </mergeCells>
  <hyperlinks>
    <hyperlink r:id="rId1" ref="A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0.5"/>
    <col customWidth="1" min="3" max="3" width="29.5"/>
    <col customWidth="1" min="4" max="4" width="33.38"/>
    <col customWidth="1" min="5" max="5" width="31.5"/>
    <col customWidth="1" min="6" max="6" width="24.63"/>
    <col customWidth="1" min="7" max="7" width="30.0"/>
    <col customWidth="1" min="8" max="8" width="26.75"/>
    <col customWidth="1" min="9" max="9" width="20.38"/>
    <col customWidth="1" min="10" max="10" width="30.75"/>
    <col customWidth="1" min="11" max="11" width="23.25"/>
    <col customWidth="1" min="12" max="12" width="25.5"/>
    <col customWidth="1" min="13" max="13" width="22.5"/>
    <col customWidth="1" min="14" max="14" width="17.88"/>
    <col customWidth="1" min="15" max="15" width="27.5"/>
    <col customWidth="1" min="17" max="17" width="17.88"/>
    <col customWidth="1" min="18" max="18" width="34.25"/>
    <col customWidth="1" min="20" max="20" width="14.25"/>
    <col customWidth="1" min="21" max="21" width="15.88"/>
    <col customWidth="1" min="25" max="25" width="25.25"/>
  </cols>
  <sheetData>
    <row r="1">
      <c r="A1" s="218" t="s">
        <v>3140</v>
      </c>
    </row>
    <row r="2">
      <c r="A2" s="217" t="s">
        <v>3141</v>
      </c>
    </row>
    <row r="3">
      <c r="A3" s="218" t="s">
        <v>338</v>
      </c>
    </row>
    <row r="4">
      <c r="A4" s="301">
        <f>100000+B6+B13+C6+D6+F6+F10+G6+I6+A64+E16+L6+N6+T6+Q6</f>
        <v>17724615</v>
      </c>
    </row>
    <row r="5">
      <c r="A5" s="33" t="s">
        <v>339</v>
      </c>
      <c r="B5" s="33" t="s">
        <v>2171</v>
      </c>
      <c r="C5" s="33" t="s">
        <v>341</v>
      </c>
      <c r="D5" s="33" t="s">
        <v>384</v>
      </c>
      <c r="E5" s="33" t="s">
        <v>385</v>
      </c>
      <c r="F5" s="33" t="s">
        <v>2620</v>
      </c>
      <c r="G5" s="33" t="s">
        <v>417</v>
      </c>
      <c r="I5" s="33" t="s">
        <v>975</v>
      </c>
      <c r="L5" s="33" t="s">
        <v>1325</v>
      </c>
      <c r="N5" s="33" t="s">
        <v>2206</v>
      </c>
      <c r="Q5" s="33" t="s">
        <v>979</v>
      </c>
      <c r="T5" s="302" t="s">
        <v>422</v>
      </c>
    </row>
    <row r="6">
      <c r="A6" s="31" t="s">
        <v>3142</v>
      </c>
      <c r="B6" s="303">
        <f>14000-100000</f>
        <v>-86000</v>
      </c>
      <c r="C6" s="303">
        <v>-110000.0</v>
      </c>
      <c r="D6" s="303">
        <v>43000.0</v>
      </c>
      <c r="E6" s="31" t="s">
        <v>3143</v>
      </c>
      <c r="F6" s="303">
        <v>2000.0</v>
      </c>
      <c r="G6" s="303">
        <v>117200.0</v>
      </c>
      <c r="I6" s="303">
        <f>I8+J8+K8</f>
        <v>57500</v>
      </c>
      <c r="L6" s="304">
        <v>145000.0</v>
      </c>
      <c r="N6" s="222">
        <f>P9-101000+P12+P14+P16+P17+P18</f>
        <v>53400</v>
      </c>
      <c r="Q6" s="305">
        <f>Q8</f>
        <v>6172000</v>
      </c>
      <c r="T6" s="222">
        <f>W11+W19+W21+W25+W27+W30+W35+W38+W44</f>
        <v>180250</v>
      </c>
      <c r="Y6" s="33"/>
    </row>
    <row r="7">
      <c r="A7" s="31" t="s">
        <v>2371</v>
      </c>
      <c r="B7" s="31" t="s">
        <v>3144</v>
      </c>
      <c r="C7" s="55" t="s">
        <v>349</v>
      </c>
      <c r="D7" s="31" t="s">
        <v>3145</v>
      </c>
      <c r="E7" s="31" t="s">
        <v>3146</v>
      </c>
      <c r="F7" s="31" t="s">
        <v>3147</v>
      </c>
      <c r="G7" s="84" t="s">
        <v>445</v>
      </c>
      <c r="H7" s="84" t="s">
        <v>3148</v>
      </c>
      <c r="I7" s="223" t="s">
        <v>432</v>
      </c>
      <c r="J7" s="223" t="s">
        <v>433</v>
      </c>
      <c r="K7" s="223" t="s">
        <v>434</v>
      </c>
      <c r="L7" s="84" t="s">
        <v>1335</v>
      </c>
      <c r="M7" s="84" t="s">
        <v>133</v>
      </c>
      <c r="N7" s="33" t="s">
        <v>3149</v>
      </c>
      <c r="Q7" s="150" t="s">
        <v>435</v>
      </c>
      <c r="T7" s="223" t="s">
        <v>436</v>
      </c>
      <c r="U7" s="223" t="s">
        <v>437</v>
      </c>
      <c r="V7" s="223" t="s">
        <v>438</v>
      </c>
      <c r="W7" s="223" t="s">
        <v>0</v>
      </c>
      <c r="X7" s="223" t="s">
        <v>439</v>
      </c>
      <c r="Y7" s="306"/>
    </row>
    <row r="8">
      <c r="A8" s="31" t="s">
        <v>3150</v>
      </c>
      <c r="B8" s="31" t="s">
        <v>3151</v>
      </c>
      <c r="C8" s="4" t="s">
        <v>29</v>
      </c>
      <c r="D8" s="31" t="s">
        <v>3152</v>
      </c>
      <c r="E8" s="31" t="s">
        <v>3153</v>
      </c>
      <c r="F8" s="31" t="s">
        <v>3146</v>
      </c>
      <c r="G8" s="84" t="s">
        <v>3154</v>
      </c>
      <c r="H8" s="31" t="s">
        <v>3155</v>
      </c>
      <c r="I8" s="307">
        <f>K28+K31+K34+K37+K40+K43+K46+K49+K52+K55+K58+K61</f>
        <v>19500</v>
      </c>
      <c r="J8" s="307">
        <v>43000.0</v>
      </c>
      <c r="K8" s="307">
        <v>-5000.0</v>
      </c>
      <c r="L8" s="31" t="s">
        <v>1353</v>
      </c>
      <c r="M8" s="31" t="s">
        <v>3156</v>
      </c>
      <c r="N8" s="217" t="s">
        <v>456</v>
      </c>
      <c r="O8" s="217" t="s">
        <v>457</v>
      </c>
      <c r="P8" s="217" t="s">
        <v>0</v>
      </c>
      <c r="Q8" s="308">
        <f>S10+S16+S19+S23+S26+S27+S30+S31</f>
        <v>6172000</v>
      </c>
      <c r="T8" s="309" t="s">
        <v>3157</v>
      </c>
      <c r="U8" s="310" t="s">
        <v>533</v>
      </c>
    </row>
    <row r="9">
      <c r="A9" s="31" t="s">
        <v>3158</v>
      </c>
      <c r="B9" s="31" t="s">
        <v>3159</v>
      </c>
      <c r="C9" s="4" t="s">
        <v>45</v>
      </c>
      <c r="D9" s="31" t="s">
        <v>3160</v>
      </c>
      <c r="E9" s="31" t="s">
        <v>3161</v>
      </c>
      <c r="F9" s="33" t="s">
        <v>359</v>
      </c>
      <c r="G9" s="31" t="s">
        <v>3162</v>
      </c>
      <c r="H9" s="31" t="s">
        <v>3163</v>
      </c>
      <c r="I9" s="25"/>
      <c r="J9" s="31" t="s">
        <v>3164</v>
      </c>
      <c r="K9" s="223" t="s">
        <v>455</v>
      </c>
      <c r="L9" s="31" t="s">
        <v>1362</v>
      </c>
      <c r="M9" s="31" t="s">
        <v>3165</v>
      </c>
      <c r="N9" s="71" t="s">
        <v>3162</v>
      </c>
      <c r="O9" s="71" t="s">
        <v>1040</v>
      </c>
      <c r="P9" s="71">
        <v>4000.0</v>
      </c>
      <c r="Q9" s="217" t="s">
        <v>456</v>
      </c>
      <c r="R9" s="217" t="s">
        <v>457</v>
      </c>
      <c r="S9" s="217" t="s">
        <v>0</v>
      </c>
      <c r="U9" s="310">
        <v>100.0</v>
      </c>
      <c r="V9" s="310">
        <v>1.0</v>
      </c>
      <c r="W9" s="311">
        <f t="shared" ref="W9:W10" si="1">V9*1500</f>
        <v>1500</v>
      </c>
      <c r="X9" s="311">
        <f t="shared" ref="X9:X10" si="2">V9*40</f>
        <v>40</v>
      </c>
    </row>
    <row r="10">
      <c r="A10" s="31" t="s">
        <v>3166</v>
      </c>
      <c r="B10" s="31" t="s">
        <v>3167</v>
      </c>
      <c r="C10" s="4" t="s">
        <v>59</v>
      </c>
      <c r="D10" s="31" t="s">
        <v>3168</v>
      </c>
      <c r="E10" s="31" t="s">
        <v>3169</v>
      </c>
      <c r="F10" s="303">
        <v>-1000.0</v>
      </c>
      <c r="G10" s="31" t="s">
        <v>3170</v>
      </c>
      <c r="H10" s="31" t="s">
        <v>3171</v>
      </c>
      <c r="J10" s="31" t="s">
        <v>3172</v>
      </c>
      <c r="K10" s="31" t="s">
        <v>3173</v>
      </c>
      <c r="L10" s="31" t="s">
        <v>3174</v>
      </c>
      <c r="M10" s="31" t="s">
        <v>3175</v>
      </c>
      <c r="O10" s="71" t="s">
        <v>1406</v>
      </c>
      <c r="Q10" s="71" t="s">
        <v>3176</v>
      </c>
      <c r="R10" s="71" t="s">
        <v>1052</v>
      </c>
      <c r="S10" s="71">
        <f>26000+500000+800000+1000000</f>
        <v>2326000</v>
      </c>
      <c r="U10" s="310" t="s">
        <v>3177</v>
      </c>
      <c r="V10" s="310">
        <v>6.0</v>
      </c>
      <c r="W10" s="311">
        <f t="shared" si="1"/>
        <v>9000</v>
      </c>
      <c r="X10" s="311">
        <f t="shared" si="2"/>
        <v>240</v>
      </c>
    </row>
    <row r="11">
      <c r="A11" s="31" t="s">
        <v>3178</v>
      </c>
      <c r="C11" s="4" t="s">
        <v>68</v>
      </c>
      <c r="D11" s="31" t="s">
        <v>3179</v>
      </c>
      <c r="E11" s="31" t="s">
        <v>3180</v>
      </c>
      <c r="F11" s="31" t="s">
        <v>3181</v>
      </c>
      <c r="G11" s="31" t="s">
        <v>1473</v>
      </c>
      <c r="H11" s="31" t="s">
        <v>3182</v>
      </c>
      <c r="J11" s="31" t="s">
        <v>2421</v>
      </c>
      <c r="K11" s="31" t="s">
        <v>3183</v>
      </c>
      <c r="L11" s="31" t="s">
        <v>3184</v>
      </c>
      <c r="M11" s="4">
        <v>100000.0</v>
      </c>
      <c r="O11" s="71" t="s">
        <v>2246</v>
      </c>
      <c r="R11" s="71" t="s">
        <v>3185</v>
      </c>
      <c r="U11" s="208" t="s">
        <v>470</v>
      </c>
      <c r="W11" s="312">
        <f t="shared" ref="W11:X11" si="3">W9+W10</f>
        <v>10500</v>
      </c>
      <c r="X11" s="312">
        <f t="shared" si="3"/>
        <v>280</v>
      </c>
    </row>
    <row r="12">
      <c r="A12" s="31" t="s">
        <v>3186</v>
      </c>
      <c r="B12" s="33" t="s">
        <v>3187</v>
      </c>
      <c r="C12" s="55" t="s">
        <v>48</v>
      </c>
      <c r="D12" s="31" t="s">
        <v>3188</v>
      </c>
      <c r="E12" s="33" t="s">
        <v>3189</v>
      </c>
      <c r="F12" s="31" t="s">
        <v>3190</v>
      </c>
      <c r="G12" s="31" t="s">
        <v>1711</v>
      </c>
      <c r="H12" s="84" t="s">
        <v>3191</v>
      </c>
      <c r="J12" s="31" t="s">
        <v>3192</v>
      </c>
      <c r="K12" s="31" t="s">
        <v>3193</v>
      </c>
      <c r="N12" s="71" t="s">
        <v>3194</v>
      </c>
      <c r="O12" s="71" t="s">
        <v>1040</v>
      </c>
      <c r="P12" s="71">
        <v>3000.0</v>
      </c>
      <c r="R12" s="71" t="s">
        <v>3195</v>
      </c>
      <c r="T12" s="309" t="s">
        <v>3196</v>
      </c>
      <c r="U12" s="310" t="s">
        <v>523</v>
      </c>
      <c r="V12" s="310">
        <v>3.0</v>
      </c>
      <c r="W12" s="311">
        <f>V12*2000</f>
        <v>6000</v>
      </c>
      <c r="X12" s="311">
        <f t="shared" ref="X12:X13" si="4">V12*40</f>
        <v>120</v>
      </c>
    </row>
    <row r="13">
      <c r="A13" s="31" t="s">
        <v>3197</v>
      </c>
      <c r="B13" s="303">
        <v>-30000.0</v>
      </c>
      <c r="C13" s="4" t="s">
        <v>60</v>
      </c>
      <c r="D13" s="31" t="s">
        <v>3198</v>
      </c>
      <c r="G13" s="31" t="s">
        <v>505</v>
      </c>
      <c r="J13" s="31" t="s">
        <v>3199</v>
      </c>
      <c r="K13" s="31" t="s">
        <v>3200</v>
      </c>
      <c r="O13" s="71" t="s">
        <v>1406</v>
      </c>
      <c r="R13" s="33" t="s">
        <v>3201</v>
      </c>
      <c r="U13" s="310" t="s">
        <v>500</v>
      </c>
      <c r="V13" s="310">
        <v>1.0</v>
      </c>
      <c r="W13" s="311">
        <f>V13*3000</f>
        <v>3000</v>
      </c>
      <c r="X13" s="311">
        <f t="shared" si="4"/>
        <v>40</v>
      </c>
    </row>
    <row r="14">
      <c r="A14" s="31" t="s">
        <v>3202</v>
      </c>
      <c r="B14" s="31" t="s">
        <v>431</v>
      </c>
      <c r="C14" s="55" t="s">
        <v>69</v>
      </c>
      <c r="D14" s="31" t="s">
        <v>3203</v>
      </c>
      <c r="G14" s="31" t="s">
        <v>538</v>
      </c>
      <c r="H14" s="84" t="s">
        <v>3204</v>
      </c>
      <c r="J14" s="31" t="s">
        <v>3205</v>
      </c>
      <c r="K14" s="31" t="s">
        <v>3206</v>
      </c>
      <c r="N14" s="71" t="s">
        <v>3207</v>
      </c>
      <c r="O14" s="71" t="s">
        <v>1040</v>
      </c>
      <c r="P14" s="71">
        <f>1000+5400</f>
        <v>6400</v>
      </c>
      <c r="R14" s="33" t="s">
        <v>3208</v>
      </c>
      <c r="U14" s="310" t="s">
        <v>654</v>
      </c>
      <c r="V14" s="310">
        <v>2.0</v>
      </c>
      <c r="W14" s="311">
        <f>V14*8000</f>
        <v>16000</v>
      </c>
      <c r="X14" s="311">
        <f>V14*80</f>
        <v>160</v>
      </c>
    </row>
    <row r="15">
      <c r="A15" s="31" t="s">
        <v>3209</v>
      </c>
      <c r="B15" s="31" t="s">
        <v>988</v>
      </c>
      <c r="C15" s="4" t="s">
        <v>60</v>
      </c>
      <c r="D15" s="31" t="s">
        <v>3210</v>
      </c>
      <c r="E15" s="64" t="s">
        <v>1477</v>
      </c>
      <c r="G15" s="31" t="s">
        <v>1480</v>
      </c>
      <c r="J15" s="31" t="s">
        <v>3211</v>
      </c>
      <c r="K15" s="31" t="s">
        <v>3212</v>
      </c>
      <c r="O15" s="33" t="s">
        <v>498</v>
      </c>
      <c r="R15" s="33" t="s">
        <v>3213</v>
      </c>
      <c r="U15" s="310" t="s">
        <v>511</v>
      </c>
      <c r="V15" s="310">
        <v>7.0</v>
      </c>
      <c r="W15" s="311">
        <f>V15*10000</f>
        <v>70000</v>
      </c>
      <c r="X15" s="311">
        <f>V15*100</f>
        <v>700</v>
      </c>
    </row>
    <row r="16">
      <c r="A16" s="31" t="s">
        <v>3214</v>
      </c>
      <c r="B16" s="31" t="s">
        <v>2641</v>
      </c>
      <c r="D16" s="31" t="s">
        <v>1505</v>
      </c>
      <c r="E16" s="313">
        <v>10000.0</v>
      </c>
      <c r="G16" s="31" t="s">
        <v>3171</v>
      </c>
      <c r="H16" s="84" t="s">
        <v>3215</v>
      </c>
      <c r="J16" s="31" t="s">
        <v>3216</v>
      </c>
      <c r="K16" s="31" t="s">
        <v>3217</v>
      </c>
      <c r="N16" s="4" t="s">
        <v>3218</v>
      </c>
      <c r="O16" s="71" t="s">
        <v>2246</v>
      </c>
      <c r="P16" s="4">
        <v>1000.0</v>
      </c>
      <c r="Q16" s="71" t="s">
        <v>3219</v>
      </c>
      <c r="R16" s="71" t="s">
        <v>469</v>
      </c>
      <c r="S16" s="71">
        <v>10000.0</v>
      </c>
      <c r="U16" s="310" t="s">
        <v>533</v>
      </c>
    </row>
    <row r="17">
      <c r="A17" s="31" t="s">
        <v>3220</v>
      </c>
      <c r="D17" s="31" t="s">
        <v>3221</v>
      </c>
      <c r="E17" s="195" t="s">
        <v>3222</v>
      </c>
      <c r="G17" s="31" t="s">
        <v>3223</v>
      </c>
      <c r="J17" s="31" t="s">
        <v>1360</v>
      </c>
      <c r="K17" s="31" t="s">
        <v>3224</v>
      </c>
      <c r="N17" s="33" t="s">
        <v>2456</v>
      </c>
      <c r="P17" s="4">
        <v>100000.0</v>
      </c>
      <c r="R17" s="4" t="s">
        <v>1963</v>
      </c>
      <c r="U17" s="310" t="s">
        <v>2708</v>
      </c>
      <c r="V17" s="310">
        <v>1.0</v>
      </c>
      <c r="W17" s="311">
        <f t="shared" ref="W17:W18" si="5">V17*1500</f>
        <v>1500</v>
      </c>
      <c r="X17" s="311">
        <f t="shared" ref="X17:X18" si="6">V17*40</f>
        <v>40</v>
      </c>
    </row>
    <row r="18">
      <c r="A18" s="31" t="s">
        <v>3225</v>
      </c>
      <c r="G18" s="31" t="s">
        <v>1467</v>
      </c>
      <c r="J18" s="31" t="s">
        <v>1057</v>
      </c>
      <c r="K18" s="31" t="s">
        <v>3226</v>
      </c>
      <c r="N18" s="33" t="s">
        <v>167</v>
      </c>
      <c r="P18" s="4">
        <v>40000.0</v>
      </c>
      <c r="R18" s="71" t="s">
        <v>1035</v>
      </c>
      <c r="U18" s="310" t="s">
        <v>3177</v>
      </c>
      <c r="V18" s="310">
        <v>14.0</v>
      </c>
      <c r="W18" s="311">
        <f t="shared" si="5"/>
        <v>21000</v>
      </c>
      <c r="X18" s="311">
        <f t="shared" si="6"/>
        <v>560</v>
      </c>
    </row>
    <row r="19">
      <c r="A19" s="31" t="s">
        <v>3227</v>
      </c>
      <c r="G19" s="31" t="s">
        <v>2401</v>
      </c>
      <c r="J19" s="31" t="s">
        <v>1050</v>
      </c>
      <c r="K19" s="31" t="s">
        <v>3228</v>
      </c>
      <c r="Q19" s="71" t="s">
        <v>3229</v>
      </c>
      <c r="R19" s="4" t="s">
        <v>1064</v>
      </c>
      <c r="S19" s="71">
        <v>707000.0</v>
      </c>
      <c r="U19" s="208" t="s">
        <v>470</v>
      </c>
      <c r="W19" s="312">
        <f t="shared" ref="W19:X19" si="7">W12+W13+W14+W15+W18+W17</f>
        <v>117500</v>
      </c>
      <c r="X19" s="312">
        <f t="shared" si="7"/>
        <v>1620</v>
      </c>
    </row>
    <row r="20">
      <c r="A20" s="31" t="s">
        <v>3230</v>
      </c>
      <c r="G20" s="31" t="s">
        <v>1495</v>
      </c>
      <c r="J20" s="31" t="s">
        <v>3231</v>
      </c>
      <c r="K20" s="31" t="s">
        <v>3232</v>
      </c>
      <c r="R20" s="71" t="s">
        <v>1025</v>
      </c>
      <c r="T20" s="309" t="s">
        <v>3233</v>
      </c>
      <c r="U20" s="310" t="s">
        <v>500</v>
      </c>
      <c r="V20" s="310">
        <v>1.0</v>
      </c>
      <c r="W20" s="311">
        <f>V20*3000</f>
        <v>3000</v>
      </c>
      <c r="X20" s="311">
        <f>V20*40</f>
        <v>40</v>
      </c>
    </row>
    <row r="21">
      <c r="A21" s="31" t="s">
        <v>3234</v>
      </c>
      <c r="G21" s="31" t="s">
        <v>3235</v>
      </c>
      <c r="J21" s="31" t="s">
        <v>3236</v>
      </c>
      <c r="K21" s="31"/>
      <c r="R21" s="33" t="s">
        <v>3237</v>
      </c>
      <c r="U21" s="208" t="s">
        <v>470</v>
      </c>
      <c r="W21" s="312">
        <f t="shared" ref="W21:X21" si="8">W20</f>
        <v>3000</v>
      </c>
      <c r="X21" s="312">
        <f t="shared" si="8"/>
        <v>40</v>
      </c>
    </row>
    <row r="22">
      <c r="A22" s="31" t="s">
        <v>3238</v>
      </c>
      <c r="G22" s="31" t="s">
        <v>569</v>
      </c>
      <c r="J22" s="31" t="s">
        <v>1479</v>
      </c>
      <c r="R22" s="33" t="s">
        <v>3239</v>
      </c>
      <c r="T22" s="309" t="s">
        <v>2106</v>
      </c>
      <c r="U22" s="310" t="s">
        <v>533</v>
      </c>
    </row>
    <row r="23">
      <c r="A23" s="31" t="s">
        <v>3240</v>
      </c>
      <c r="G23" s="31" t="s">
        <v>2653</v>
      </c>
      <c r="J23" s="31" t="s">
        <v>3241</v>
      </c>
      <c r="Q23" s="71" t="s">
        <v>3242</v>
      </c>
      <c r="R23" s="71" t="s">
        <v>469</v>
      </c>
      <c r="S23" s="71">
        <v>12000.0</v>
      </c>
      <c r="U23" s="310" t="s">
        <v>3177</v>
      </c>
      <c r="V23" s="310">
        <v>1.5</v>
      </c>
      <c r="W23" s="311">
        <f>V23*1500</f>
        <v>2250</v>
      </c>
      <c r="X23" s="311">
        <f t="shared" ref="X23:X24" si="9">V23*40</f>
        <v>60</v>
      </c>
    </row>
    <row r="24">
      <c r="A24" s="31" t="s">
        <v>3243</v>
      </c>
      <c r="G24" s="31" t="s">
        <v>1443</v>
      </c>
      <c r="J24" s="31" t="s">
        <v>3244</v>
      </c>
      <c r="R24" s="71" t="s">
        <v>2248</v>
      </c>
      <c r="U24" s="310" t="s">
        <v>500</v>
      </c>
      <c r="V24" s="310">
        <v>1.0</v>
      </c>
      <c r="W24" s="311">
        <f>V24*3000</f>
        <v>3000</v>
      </c>
      <c r="X24" s="311">
        <f t="shared" si="9"/>
        <v>40</v>
      </c>
    </row>
    <row r="25">
      <c r="A25" s="31" t="s">
        <v>3245</v>
      </c>
      <c r="G25" s="31" t="s">
        <v>3246</v>
      </c>
      <c r="R25" s="71" t="s">
        <v>510</v>
      </c>
      <c r="U25" s="208" t="s">
        <v>470</v>
      </c>
      <c r="W25" s="312">
        <f t="shared" ref="W25:X25" si="10">W24+W23</f>
        <v>5250</v>
      </c>
      <c r="X25" s="312">
        <f t="shared" si="10"/>
        <v>100</v>
      </c>
    </row>
    <row r="26">
      <c r="A26" s="31" t="s">
        <v>3247</v>
      </c>
      <c r="G26" s="31" t="s">
        <v>3248</v>
      </c>
      <c r="I26" s="307" t="s">
        <v>594</v>
      </c>
      <c r="Q26" s="4" t="s">
        <v>3249</v>
      </c>
      <c r="R26" s="4" t="s">
        <v>1963</v>
      </c>
      <c r="S26" s="4">
        <v>3000.0</v>
      </c>
      <c r="T26" s="309" t="s">
        <v>3250</v>
      </c>
      <c r="U26" s="310" t="s">
        <v>511</v>
      </c>
      <c r="V26" s="310">
        <v>0.5</v>
      </c>
      <c r="W26" s="311">
        <f>V26*10000</f>
        <v>5000</v>
      </c>
      <c r="X26" s="311">
        <f>V26*100</f>
        <v>50</v>
      </c>
    </row>
    <row r="27">
      <c r="A27" s="31" t="s">
        <v>3251</v>
      </c>
      <c r="G27" s="31" t="s">
        <v>3252</v>
      </c>
      <c r="I27" s="314" t="s">
        <v>456</v>
      </c>
      <c r="J27" s="314" t="s">
        <v>457</v>
      </c>
      <c r="K27" s="314" t="s">
        <v>0</v>
      </c>
      <c r="Q27" s="71" t="s">
        <v>3253</v>
      </c>
      <c r="R27" s="71" t="s">
        <v>1052</v>
      </c>
      <c r="S27" s="71">
        <v>14000.0</v>
      </c>
      <c r="U27" s="208" t="s">
        <v>470</v>
      </c>
      <c r="W27" s="312">
        <f t="shared" ref="W27:X27" si="11">W26</f>
        <v>5000</v>
      </c>
      <c r="X27" s="312">
        <f t="shared" si="11"/>
        <v>50</v>
      </c>
    </row>
    <row r="28">
      <c r="A28" s="45" t="s">
        <v>3254</v>
      </c>
      <c r="G28" s="31" t="s">
        <v>538</v>
      </c>
      <c r="I28" s="71" t="s">
        <v>3255</v>
      </c>
      <c r="J28" s="71" t="s">
        <v>1487</v>
      </c>
      <c r="K28" s="71">
        <v>5000.0</v>
      </c>
      <c r="R28" s="4" t="s">
        <v>1963</v>
      </c>
      <c r="T28" s="309" t="s">
        <v>3256</v>
      </c>
      <c r="U28" s="310" t="s">
        <v>533</v>
      </c>
    </row>
    <row r="29">
      <c r="A29" s="45" t="s">
        <v>3257</v>
      </c>
      <c r="G29" s="31" t="s">
        <v>2653</v>
      </c>
      <c r="J29" s="71" t="s">
        <v>644</v>
      </c>
      <c r="R29" s="71" t="s">
        <v>1025</v>
      </c>
      <c r="U29" s="310" t="s">
        <v>3177</v>
      </c>
      <c r="V29" s="310">
        <v>1.5</v>
      </c>
      <c r="W29" s="311">
        <f>V29*1500</f>
        <v>2250</v>
      </c>
      <c r="X29" s="311">
        <f>V29*40</f>
        <v>60</v>
      </c>
    </row>
    <row r="30">
      <c r="A30" s="45" t="s">
        <v>3258</v>
      </c>
      <c r="G30" s="31" t="s">
        <v>1480</v>
      </c>
      <c r="J30" s="71" t="s">
        <v>613</v>
      </c>
      <c r="Q30" s="33" t="s">
        <v>148</v>
      </c>
      <c r="S30" s="4">
        <v>3000000.0</v>
      </c>
      <c r="U30" s="208" t="s">
        <v>470</v>
      </c>
      <c r="W30" s="312">
        <f t="shared" ref="W30:X30" si="12">W29</f>
        <v>2250</v>
      </c>
      <c r="X30" s="312">
        <f t="shared" si="12"/>
        <v>60</v>
      </c>
    </row>
    <row r="31">
      <c r="A31" s="31" t="s">
        <v>3259</v>
      </c>
      <c r="G31" s="31" t="s">
        <v>3242</v>
      </c>
      <c r="I31" s="71" t="s">
        <v>3260</v>
      </c>
      <c r="J31" s="71" t="s">
        <v>650</v>
      </c>
      <c r="K31" s="71">
        <v>500.0</v>
      </c>
      <c r="Q31" s="33" t="s">
        <v>3261</v>
      </c>
      <c r="S31" s="78">
        <v>100000.0</v>
      </c>
      <c r="T31" s="309" t="s">
        <v>3262</v>
      </c>
      <c r="U31" s="310" t="s">
        <v>523</v>
      </c>
      <c r="V31" s="310">
        <v>1.0</v>
      </c>
      <c r="W31" s="311">
        <f>V31*2000</f>
        <v>2000</v>
      </c>
      <c r="X31" s="311">
        <f>V31*40</f>
        <v>40</v>
      </c>
    </row>
    <row r="32">
      <c r="A32" s="45" t="s">
        <v>3263</v>
      </c>
      <c r="G32" s="31" t="s">
        <v>1443</v>
      </c>
      <c r="J32" s="71" t="s">
        <v>635</v>
      </c>
      <c r="U32" s="310" t="s">
        <v>590</v>
      </c>
      <c r="V32" s="310">
        <v>1.0</v>
      </c>
      <c r="W32" s="311">
        <f>V32*5000</f>
        <v>5000</v>
      </c>
      <c r="X32" s="311">
        <f>V32*100</f>
        <v>100</v>
      </c>
    </row>
    <row r="33">
      <c r="A33" s="45" t="s">
        <v>3264</v>
      </c>
      <c r="G33" s="31" t="s">
        <v>3246</v>
      </c>
      <c r="J33" s="71" t="s">
        <v>613</v>
      </c>
      <c r="U33" s="310" t="s">
        <v>533</v>
      </c>
    </row>
    <row r="34">
      <c r="A34" s="45" t="s">
        <v>3265</v>
      </c>
      <c r="G34" s="31" t="s">
        <v>3266</v>
      </c>
      <c r="I34" s="71" t="s">
        <v>3248</v>
      </c>
      <c r="J34" s="71" t="s">
        <v>631</v>
      </c>
      <c r="K34" s="71">
        <v>1500.0</v>
      </c>
      <c r="U34" s="310" t="s">
        <v>3177</v>
      </c>
      <c r="V34" s="310">
        <v>8.0</v>
      </c>
      <c r="W34" s="311">
        <f>V34*1500</f>
        <v>12000</v>
      </c>
      <c r="X34" s="311">
        <f>V34*40</f>
        <v>320</v>
      </c>
    </row>
    <row r="35">
      <c r="A35" s="45" t="s">
        <v>3267</v>
      </c>
      <c r="G35" s="31" t="s">
        <v>1443</v>
      </c>
      <c r="J35" s="71" t="s">
        <v>635</v>
      </c>
      <c r="U35" s="208" t="s">
        <v>470</v>
      </c>
      <c r="W35" s="312">
        <f t="shared" ref="W35:X35" si="13">W34+W31+W32</f>
        <v>19000</v>
      </c>
      <c r="X35" s="312">
        <f t="shared" si="13"/>
        <v>460</v>
      </c>
    </row>
    <row r="36">
      <c r="A36" s="31" t="s">
        <v>3268</v>
      </c>
      <c r="G36" s="31" t="s">
        <v>3269</v>
      </c>
      <c r="J36" s="71" t="s">
        <v>613</v>
      </c>
      <c r="T36" s="309" t="s">
        <v>3270</v>
      </c>
      <c r="U36" s="310" t="s">
        <v>533</v>
      </c>
    </row>
    <row r="37">
      <c r="A37" s="31" t="s">
        <v>3271</v>
      </c>
      <c r="G37" s="31" t="s">
        <v>3272</v>
      </c>
      <c r="I37" s="71" t="s">
        <v>3273</v>
      </c>
      <c r="J37" s="71" t="s">
        <v>650</v>
      </c>
      <c r="K37" s="71">
        <v>500.0</v>
      </c>
      <c r="U37" s="310" t="s">
        <v>3177</v>
      </c>
      <c r="V37" s="310">
        <v>0.5</v>
      </c>
      <c r="W37" s="311">
        <f>V37*1500</f>
        <v>750</v>
      </c>
      <c r="X37" s="311">
        <f>V37*40</f>
        <v>20</v>
      </c>
    </row>
    <row r="38">
      <c r="A38" s="31" t="s">
        <v>3274</v>
      </c>
      <c r="G38" s="31" t="s">
        <v>3170</v>
      </c>
      <c r="J38" s="71" t="s">
        <v>644</v>
      </c>
      <c r="U38" s="208" t="s">
        <v>470</v>
      </c>
      <c r="W38" s="312">
        <f t="shared" ref="W38:X38" si="14">W37</f>
        <v>750</v>
      </c>
      <c r="X38" s="312">
        <f t="shared" si="14"/>
        <v>20</v>
      </c>
    </row>
    <row r="39">
      <c r="A39" s="31" t="s">
        <v>3275</v>
      </c>
      <c r="G39" s="31" t="s">
        <v>3276</v>
      </c>
      <c r="J39" s="71" t="s">
        <v>652</v>
      </c>
      <c r="T39" s="309" t="s">
        <v>3277</v>
      </c>
      <c r="U39" s="310" t="s">
        <v>500</v>
      </c>
      <c r="V39" s="310">
        <v>0.5</v>
      </c>
      <c r="W39" s="311">
        <f>V39*3000</f>
        <v>1500</v>
      </c>
      <c r="X39" s="311">
        <f>V39*40</f>
        <v>20</v>
      </c>
    </row>
    <row r="40">
      <c r="A40" s="31" t="s">
        <v>3278</v>
      </c>
      <c r="I40" s="71" t="s">
        <v>3279</v>
      </c>
      <c r="J40" s="71" t="s">
        <v>650</v>
      </c>
      <c r="K40" s="71">
        <v>1000.0</v>
      </c>
      <c r="U40" s="310" t="s">
        <v>447</v>
      </c>
      <c r="V40" s="310">
        <v>2.0</v>
      </c>
      <c r="W40" s="310">
        <f>V40*1000</f>
        <v>2000</v>
      </c>
      <c r="X40" s="311">
        <f>V40*20</f>
        <v>40</v>
      </c>
    </row>
    <row r="41">
      <c r="A41" s="31" t="s">
        <v>3280</v>
      </c>
      <c r="J41" s="71" t="s">
        <v>621</v>
      </c>
      <c r="U41" s="310" t="s">
        <v>533</v>
      </c>
    </row>
    <row r="42">
      <c r="A42" s="31" t="s">
        <v>3281</v>
      </c>
      <c r="J42" s="71" t="s">
        <v>652</v>
      </c>
      <c r="U42" s="310" t="s">
        <v>3177</v>
      </c>
      <c r="V42" s="310">
        <v>6.0</v>
      </c>
      <c r="W42" s="311">
        <f t="shared" ref="W42:W43" si="15">V42*1500</f>
        <v>9000</v>
      </c>
      <c r="X42" s="311">
        <f t="shared" ref="X42:X43" si="16">V42*40</f>
        <v>240</v>
      </c>
    </row>
    <row r="43">
      <c r="A43" s="31" t="s">
        <v>3282</v>
      </c>
      <c r="I43" s="71" t="s">
        <v>3283</v>
      </c>
      <c r="J43" s="71" t="s">
        <v>631</v>
      </c>
      <c r="K43" s="71">
        <v>2000.0</v>
      </c>
      <c r="U43" s="310" t="s">
        <v>2708</v>
      </c>
      <c r="V43" s="310">
        <v>3.0</v>
      </c>
      <c r="W43" s="311">
        <f t="shared" si="15"/>
        <v>4500</v>
      </c>
      <c r="X43" s="311">
        <f t="shared" si="16"/>
        <v>120</v>
      </c>
    </row>
    <row r="44">
      <c r="A44" s="31" t="s">
        <v>3284</v>
      </c>
      <c r="J44" s="71" t="s">
        <v>621</v>
      </c>
      <c r="U44" s="208" t="s">
        <v>470</v>
      </c>
      <c r="W44" s="312">
        <f t="shared" ref="W44:X44" si="17">W42+W39+W40+W43</f>
        <v>17000</v>
      </c>
      <c r="X44" s="312">
        <f t="shared" si="17"/>
        <v>420</v>
      </c>
    </row>
    <row r="45">
      <c r="A45" s="31" t="s">
        <v>3285</v>
      </c>
      <c r="J45" s="71" t="s">
        <v>652</v>
      </c>
    </row>
    <row r="46">
      <c r="A46" s="31" t="s">
        <v>3286</v>
      </c>
      <c r="I46" s="71" t="s">
        <v>3287</v>
      </c>
      <c r="J46" s="71" t="s">
        <v>650</v>
      </c>
      <c r="K46" s="71">
        <v>1000.0</v>
      </c>
    </row>
    <row r="47">
      <c r="A47" s="31" t="s">
        <v>3288</v>
      </c>
      <c r="J47" s="71" t="s">
        <v>621</v>
      </c>
    </row>
    <row r="48">
      <c r="A48" s="31" t="s">
        <v>3289</v>
      </c>
      <c r="J48" s="71" t="s">
        <v>652</v>
      </c>
    </row>
    <row r="49">
      <c r="I49" s="71" t="s">
        <v>3290</v>
      </c>
      <c r="J49" s="71" t="s">
        <v>605</v>
      </c>
      <c r="K49" s="71">
        <v>3500.0</v>
      </c>
    </row>
    <row r="50">
      <c r="J50" s="71" t="s">
        <v>635</v>
      </c>
    </row>
    <row r="51">
      <c r="J51" s="71" t="s">
        <v>3291</v>
      </c>
    </row>
    <row r="52">
      <c r="I52" s="71" t="s">
        <v>3292</v>
      </c>
      <c r="J52" s="71" t="s">
        <v>631</v>
      </c>
      <c r="K52" s="71">
        <v>1500.0</v>
      </c>
    </row>
    <row r="53">
      <c r="J53" s="71" t="s">
        <v>635</v>
      </c>
    </row>
    <row r="54">
      <c r="J54" s="71" t="s">
        <v>613</v>
      </c>
    </row>
    <row r="55">
      <c r="I55" s="71" t="s">
        <v>3293</v>
      </c>
      <c r="J55" s="71" t="s">
        <v>650</v>
      </c>
      <c r="K55" s="71">
        <v>500.0</v>
      </c>
    </row>
    <row r="56">
      <c r="J56" s="71" t="s">
        <v>644</v>
      </c>
    </row>
    <row r="57">
      <c r="J57" s="71" t="s">
        <v>652</v>
      </c>
    </row>
    <row r="58">
      <c r="I58" s="71" t="s">
        <v>3294</v>
      </c>
      <c r="J58" s="71" t="s">
        <v>631</v>
      </c>
      <c r="K58" s="71">
        <v>1000.0</v>
      </c>
    </row>
    <row r="59">
      <c r="J59" s="71" t="s">
        <v>635</v>
      </c>
    </row>
    <row r="60">
      <c r="J60" s="71" t="s">
        <v>652</v>
      </c>
    </row>
    <row r="61">
      <c r="I61" s="71" t="s">
        <v>3295</v>
      </c>
      <c r="J61" s="71" t="s">
        <v>631</v>
      </c>
      <c r="K61" s="71">
        <v>1500.0</v>
      </c>
    </row>
    <row r="62">
      <c r="J62" s="71" t="s">
        <v>635</v>
      </c>
    </row>
    <row r="63">
      <c r="A63" s="47" t="s">
        <v>366</v>
      </c>
      <c r="J63" s="71" t="s">
        <v>613</v>
      </c>
    </row>
    <row r="64">
      <c r="A64" s="47">
        <f>A71+A86+A110+A126+A144+A226+A194+A256</f>
        <v>11071265</v>
      </c>
    </row>
    <row r="65">
      <c r="A65" s="82" t="s">
        <v>2033</v>
      </c>
    </row>
    <row r="66">
      <c r="A66" s="82">
        <v>2026.0</v>
      </c>
    </row>
    <row r="67">
      <c r="A67" s="50" t="s">
        <v>665</v>
      </c>
      <c r="B67" s="50" t="s">
        <v>119</v>
      </c>
      <c r="C67" s="50" t="s">
        <v>142</v>
      </c>
      <c r="D67" s="50" t="s">
        <v>126</v>
      </c>
      <c r="E67" s="50" t="s">
        <v>130</v>
      </c>
    </row>
    <row r="68">
      <c r="A68" s="33" t="s">
        <v>3296</v>
      </c>
    </row>
    <row r="69">
      <c r="A69" s="85"/>
      <c r="L69" s="31"/>
    </row>
    <row r="70">
      <c r="A70" s="86" t="s">
        <v>686</v>
      </c>
    </row>
    <row r="71">
      <c r="A71" s="86">
        <v>16940.0</v>
      </c>
    </row>
    <row r="72">
      <c r="A72" s="87">
        <v>2026.0</v>
      </c>
    </row>
    <row r="73">
      <c r="A73" s="50" t="s">
        <v>687</v>
      </c>
      <c r="B73" s="50" t="s">
        <v>688</v>
      </c>
      <c r="C73" s="50" t="s">
        <v>689</v>
      </c>
      <c r="D73" s="50" t="s">
        <v>690</v>
      </c>
      <c r="E73" s="50" t="s">
        <v>691</v>
      </c>
      <c r="F73" s="50" t="s">
        <v>692</v>
      </c>
    </row>
    <row r="74">
      <c r="B74" s="84" t="s">
        <v>3297</v>
      </c>
      <c r="C74" s="84" t="s">
        <v>2801</v>
      </c>
      <c r="D74" s="84"/>
      <c r="E74" s="84" t="s">
        <v>3298</v>
      </c>
    </row>
    <row r="75">
      <c r="B75" s="31" t="s">
        <v>3162</v>
      </c>
      <c r="C75" s="31" t="s">
        <v>3299</v>
      </c>
      <c r="E75" s="31" t="s">
        <v>3300</v>
      </c>
    </row>
    <row r="76">
      <c r="B76" s="31" t="s">
        <v>3301</v>
      </c>
      <c r="C76" s="31" t="s">
        <v>704</v>
      </c>
      <c r="E76" s="31" t="s">
        <v>718</v>
      </c>
    </row>
    <row r="77">
      <c r="E77" s="31" t="s">
        <v>1769</v>
      </c>
    </row>
    <row r="78">
      <c r="E78" s="31" t="s">
        <v>3194</v>
      </c>
    </row>
    <row r="79">
      <c r="E79" s="31" t="s">
        <v>703</v>
      </c>
    </row>
    <row r="80">
      <c r="E80" s="31" t="s">
        <v>1769</v>
      </c>
    </row>
    <row r="81">
      <c r="E81" s="31" t="s">
        <v>1985</v>
      </c>
    </row>
    <row r="82">
      <c r="E82" s="31" t="s">
        <v>685</v>
      </c>
    </row>
    <row r="83">
      <c r="E83" s="31" t="s">
        <v>1769</v>
      </c>
    </row>
    <row r="84">
      <c r="A84" s="85"/>
    </row>
    <row r="85">
      <c r="A85" s="22" t="s">
        <v>1774</v>
      </c>
    </row>
    <row r="86">
      <c r="A86" s="22">
        <v>95600.0</v>
      </c>
    </row>
    <row r="87">
      <c r="A87" s="19">
        <v>2026.0</v>
      </c>
    </row>
    <row r="88">
      <c r="A88" s="88" t="s">
        <v>3302</v>
      </c>
    </row>
    <row r="89">
      <c r="A89" s="50" t="s">
        <v>733</v>
      </c>
      <c r="B89" s="50" t="s">
        <v>191</v>
      </c>
      <c r="C89" s="50" t="s">
        <v>734</v>
      </c>
      <c r="D89" s="50" t="s">
        <v>735</v>
      </c>
      <c r="E89" s="50" t="s">
        <v>187</v>
      </c>
      <c r="F89" s="50" t="s">
        <v>736</v>
      </c>
      <c r="G89" s="50" t="s">
        <v>179</v>
      </c>
      <c r="H89" s="50" t="s">
        <v>737</v>
      </c>
    </row>
    <row r="90">
      <c r="A90" s="76" t="s">
        <v>3303</v>
      </c>
      <c r="B90" s="76" t="s">
        <v>3304</v>
      </c>
      <c r="C90" s="76" t="s">
        <v>1576</v>
      </c>
      <c r="D90" s="76" t="s">
        <v>2316</v>
      </c>
      <c r="E90" s="76" t="s">
        <v>3305</v>
      </c>
      <c r="F90" s="76" t="s">
        <v>377</v>
      </c>
      <c r="G90" s="76" t="s">
        <v>3306</v>
      </c>
      <c r="H90" s="76" t="s">
        <v>1576</v>
      </c>
    </row>
    <row r="91">
      <c r="A91" s="31" t="s">
        <v>3155</v>
      </c>
      <c r="B91" s="31" t="s">
        <v>3307</v>
      </c>
      <c r="C91" s="31" t="s">
        <v>3308</v>
      </c>
      <c r="D91" s="31" t="s">
        <v>3309</v>
      </c>
      <c r="E91" s="31" t="s">
        <v>3310</v>
      </c>
      <c r="G91" s="31" t="s">
        <v>3311</v>
      </c>
      <c r="H91" s="31" t="s">
        <v>3312</v>
      </c>
    </row>
    <row r="92">
      <c r="A92" s="31" t="s">
        <v>844</v>
      </c>
      <c r="B92" s="31" t="s">
        <v>703</v>
      </c>
      <c r="C92" s="31" t="s">
        <v>703</v>
      </c>
      <c r="D92" s="31" t="s">
        <v>704</v>
      </c>
      <c r="E92" s="31" t="s">
        <v>1759</v>
      </c>
      <c r="G92" s="31" t="s">
        <v>767</v>
      </c>
      <c r="H92" s="31" t="s">
        <v>703</v>
      </c>
    </row>
    <row r="93">
      <c r="A93" s="31" t="s">
        <v>644</v>
      </c>
      <c r="B93" s="31" t="s">
        <v>773</v>
      </c>
      <c r="D93" s="31" t="s">
        <v>644</v>
      </c>
      <c r="E93" s="31" t="s">
        <v>631</v>
      </c>
      <c r="G93" s="31" t="s">
        <v>786</v>
      </c>
    </row>
    <row r="94">
      <c r="A94" s="31" t="s">
        <v>3313</v>
      </c>
      <c r="E94" s="31" t="s">
        <v>782</v>
      </c>
      <c r="G94" s="31" t="s">
        <v>3314</v>
      </c>
    </row>
    <row r="95">
      <c r="A95" s="31" t="s">
        <v>704</v>
      </c>
      <c r="G95" s="31" t="s">
        <v>671</v>
      </c>
    </row>
    <row r="96">
      <c r="A96" s="31" t="s">
        <v>613</v>
      </c>
      <c r="G96" s="31" t="s">
        <v>786</v>
      </c>
    </row>
    <row r="97">
      <c r="G97" s="31" t="s">
        <v>3315</v>
      </c>
    </row>
    <row r="98">
      <c r="G98" s="31" t="s">
        <v>826</v>
      </c>
    </row>
    <row r="99">
      <c r="G99" s="31" t="s">
        <v>786</v>
      </c>
    </row>
    <row r="100">
      <c r="G100" s="31" t="s">
        <v>3316</v>
      </c>
    </row>
    <row r="101">
      <c r="G101" s="31" t="s">
        <v>1216</v>
      </c>
    </row>
    <row r="102">
      <c r="G102" s="31" t="s">
        <v>644</v>
      </c>
    </row>
    <row r="103">
      <c r="G103" s="31" t="s">
        <v>786</v>
      </c>
    </row>
    <row r="104">
      <c r="G104" s="31" t="s">
        <v>3317</v>
      </c>
    </row>
    <row r="105">
      <c r="G105" s="31" t="s">
        <v>703</v>
      </c>
    </row>
    <row r="106">
      <c r="G106" s="31" t="s">
        <v>786</v>
      </c>
    </row>
    <row r="109">
      <c r="A109" s="315" t="s">
        <v>1172</v>
      </c>
    </row>
    <row r="110">
      <c r="A110" s="315">
        <f>A113</f>
        <v>60400</v>
      </c>
    </row>
    <row r="111">
      <c r="A111" s="315">
        <v>2026.0</v>
      </c>
    </row>
    <row r="112">
      <c r="A112" s="315" t="s">
        <v>368</v>
      </c>
    </row>
    <row r="113">
      <c r="A113" s="315">
        <f>A116+B116+C116+D116+E116+F116+G116+H116</f>
        <v>60400</v>
      </c>
    </row>
    <row r="114">
      <c r="A114" s="103" t="s">
        <v>789</v>
      </c>
      <c r="B114" s="103" t="s">
        <v>790</v>
      </c>
      <c r="C114" s="103" t="s">
        <v>215</v>
      </c>
      <c r="D114" s="103" t="s">
        <v>791</v>
      </c>
      <c r="E114" s="103" t="s">
        <v>202</v>
      </c>
      <c r="F114" s="103" t="s">
        <v>792</v>
      </c>
      <c r="G114" s="103" t="s">
        <v>793</v>
      </c>
      <c r="H114" s="103" t="s">
        <v>205</v>
      </c>
    </row>
    <row r="115">
      <c r="A115" s="64" t="s">
        <v>377</v>
      </c>
      <c r="B115" s="64" t="s">
        <v>377</v>
      </c>
      <c r="C115" s="64" t="s">
        <v>377</v>
      </c>
      <c r="D115" s="64" t="s">
        <v>377</v>
      </c>
      <c r="E115" s="64" t="s">
        <v>377</v>
      </c>
      <c r="F115" s="64" t="s">
        <v>377</v>
      </c>
      <c r="G115" s="64" t="s">
        <v>377</v>
      </c>
      <c r="H115" s="64" t="s">
        <v>377</v>
      </c>
    </row>
    <row r="116">
      <c r="A116" s="99">
        <v>9500.0</v>
      </c>
      <c r="B116" s="103">
        <v>0.0</v>
      </c>
      <c r="C116" s="103">
        <v>0.0</v>
      </c>
      <c r="D116" s="99">
        <v>8000.0</v>
      </c>
      <c r="E116" s="103">
        <v>0.0</v>
      </c>
      <c r="F116" s="99">
        <v>11750.0</v>
      </c>
      <c r="G116" s="103">
        <v>0.0</v>
      </c>
      <c r="H116" s="99">
        <v>31150.0</v>
      </c>
    </row>
    <row r="117">
      <c r="A117" s="31" t="s">
        <v>3318</v>
      </c>
      <c r="D117" s="31" t="s">
        <v>3255</v>
      </c>
      <c r="F117" s="31" t="s">
        <v>3319</v>
      </c>
      <c r="H117" s="31" t="s">
        <v>3162</v>
      </c>
    </row>
    <row r="118">
      <c r="A118" s="31" t="s">
        <v>671</v>
      </c>
      <c r="D118" s="31" t="s">
        <v>779</v>
      </c>
      <c r="F118" s="31" t="s">
        <v>855</v>
      </c>
      <c r="H118" s="31" t="s">
        <v>765</v>
      </c>
    </row>
    <row r="119">
      <c r="A119" s="31" t="s">
        <v>802</v>
      </c>
      <c r="F119" s="31" t="s">
        <v>806</v>
      </c>
      <c r="H119" s="31" t="s">
        <v>817</v>
      </c>
    </row>
    <row r="120">
      <c r="A120" s="31" t="s">
        <v>807</v>
      </c>
      <c r="H120" s="31" t="s">
        <v>3320</v>
      </c>
    </row>
    <row r="121">
      <c r="A121" s="31" t="s">
        <v>3321</v>
      </c>
      <c r="H121" s="31" t="s">
        <v>826</v>
      </c>
    </row>
    <row r="122">
      <c r="A122" s="31" t="s">
        <v>3322</v>
      </c>
      <c r="H122" s="31" t="s">
        <v>802</v>
      </c>
    </row>
    <row r="123">
      <c r="A123" s="31" t="s">
        <v>671</v>
      </c>
      <c r="H123" s="31" t="s">
        <v>807</v>
      </c>
    </row>
    <row r="124">
      <c r="H124" s="31" t="s">
        <v>817</v>
      </c>
    </row>
    <row r="125">
      <c r="A125" s="92" t="s">
        <v>828</v>
      </c>
    </row>
    <row r="126">
      <c r="A126" s="92">
        <f>A129</f>
        <v>107400</v>
      </c>
    </row>
    <row r="127">
      <c r="A127" s="92">
        <v>2026.0</v>
      </c>
    </row>
    <row r="128">
      <c r="A128" s="92" t="s">
        <v>368</v>
      </c>
    </row>
    <row r="129">
      <c r="A129" s="93">
        <f>A132+B132+C132+D132+E132+F132+G132+H132+I132+J132</f>
        <v>107400</v>
      </c>
    </row>
    <row r="130">
      <c r="A130" s="94" t="s">
        <v>829</v>
      </c>
      <c r="B130" s="94" t="s">
        <v>830</v>
      </c>
      <c r="C130" s="94" t="s">
        <v>831</v>
      </c>
      <c r="D130" s="94" t="s">
        <v>832</v>
      </c>
      <c r="E130" s="94" t="s">
        <v>833</v>
      </c>
      <c r="F130" s="94" t="s">
        <v>834</v>
      </c>
      <c r="G130" s="94" t="s">
        <v>835</v>
      </c>
      <c r="H130" s="94" t="s">
        <v>836</v>
      </c>
      <c r="I130" s="95" t="s">
        <v>837</v>
      </c>
      <c r="J130" s="95" t="s">
        <v>838</v>
      </c>
    </row>
    <row r="131">
      <c r="A131" s="33" t="s">
        <v>377</v>
      </c>
      <c r="B131" s="33" t="s">
        <v>377</v>
      </c>
      <c r="C131" s="33" t="s">
        <v>377</v>
      </c>
      <c r="D131" s="33" t="s">
        <v>377</v>
      </c>
      <c r="E131" s="33" t="s">
        <v>377</v>
      </c>
      <c r="F131" s="33" t="s">
        <v>377</v>
      </c>
      <c r="G131" s="33" t="s">
        <v>377</v>
      </c>
      <c r="H131" s="33" t="s">
        <v>377</v>
      </c>
      <c r="I131" s="33" t="s">
        <v>377</v>
      </c>
      <c r="J131" s="33" t="s">
        <v>377</v>
      </c>
    </row>
    <row r="132">
      <c r="A132" s="50">
        <v>21000.0</v>
      </c>
      <c r="B132" s="50">
        <v>0.0</v>
      </c>
      <c r="C132" s="50">
        <v>31000.0</v>
      </c>
      <c r="D132" s="50">
        <v>500.0</v>
      </c>
      <c r="E132" s="50">
        <v>22500.0</v>
      </c>
      <c r="F132" s="50">
        <v>0.0</v>
      </c>
      <c r="G132" s="50">
        <v>7900.0</v>
      </c>
      <c r="H132" s="50">
        <v>20000.0</v>
      </c>
      <c r="I132" s="50">
        <v>3500.0</v>
      </c>
      <c r="J132" s="50">
        <v>1000.0</v>
      </c>
    </row>
    <row r="133">
      <c r="A133" s="31" t="s">
        <v>3310</v>
      </c>
      <c r="C133" s="31" t="s">
        <v>3157</v>
      </c>
      <c r="D133" s="31" t="s">
        <v>3323</v>
      </c>
      <c r="E133" s="31" t="s">
        <v>3324</v>
      </c>
      <c r="F133" s="31" t="s">
        <v>3308</v>
      </c>
      <c r="G133" s="31" t="s">
        <v>3325</v>
      </c>
      <c r="H133" s="31" t="s">
        <v>3155</v>
      </c>
      <c r="I133" s="31" t="s">
        <v>3326</v>
      </c>
      <c r="J133" s="31" t="s">
        <v>3327</v>
      </c>
    </row>
    <row r="134">
      <c r="A134" s="31" t="s">
        <v>1813</v>
      </c>
      <c r="C134" s="31" t="s">
        <v>1232</v>
      </c>
      <c r="D134" s="31" t="s">
        <v>703</v>
      </c>
      <c r="E134" s="31" t="s">
        <v>885</v>
      </c>
      <c r="F134" s="31" t="s">
        <v>3328</v>
      </c>
      <c r="G134" s="31" t="s">
        <v>726</v>
      </c>
      <c r="H134" s="31" t="s">
        <v>848</v>
      </c>
      <c r="I134" s="31" t="s">
        <v>673</v>
      </c>
      <c r="J134" s="31" t="s">
        <v>703</v>
      </c>
    </row>
    <row r="135">
      <c r="C135" s="31" t="s">
        <v>1199</v>
      </c>
      <c r="E135" s="31" t="s">
        <v>3314</v>
      </c>
      <c r="G135" s="31" t="s">
        <v>1195</v>
      </c>
      <c r="J135" s="31" t="s">
        <v>3196</v>
      </c>
    </row>
    <row r="136">
      <c r="C136" s="31" t="s">
        <v>3329</v>
      </c>
      <c r="E136" s="31" t="s">
        <v>907</v>
      </c>
      <c r="G136" s="31" t="s">
        <v>870</v>
      </c>
      <c r="J136" s="31" t="s">
        <v>703</v>
      </c>
    </row>
    <row r="137">
      <c r="C137" s="31" t="s">
        <v>1813</v>
      </c>
      <c r="G137" s="31" t="s">
        <v>1864</v>
      </c>
    </row>
    <row r="138">
      <c r="C138" s="31" t="s">
        <v>3330</v>
      </c>
      <c r="G138" s="31" t="s">
        <v>728</v>
      </c>
    </row>
    <row r="139">
      <c r="G139" s="31" t="s">
        <v>3331</v>
      </c>
    </row>
    <row r="140">
      <c r="G140" s="31" t="s">
        <v>728</v>
      </c>
    </row>
    <row r="141">
      <c r="G141" s="31" t="s">
        <v>1199</v>
      </c>
    </row>
    <row r="142">
      <c r="A142" s="96" t="s">
        <v>871</v>
      </c>
    </row>
    <row r="143">
      <c r="A143" s="97" t="s">
        <v>872</v>
      </c>
    </row>
    <row r="144">
      <c r="A144" s="97">
        <f>A147</f>
        <v>676200</v>
      </c>
    </row>
    <row r="145">
      <c r="A145" s="97">
        <v>2026.0</v>
      </c>
    </row>
    <row r="146">
      <c r="A146" s="97" t="s">
        <v>368</v>
      </c>
    </row>
    <row r="147">
      <c r="A147" s="98">
        <f>A150+B150+C150+D150+E150+F150+G150+H150+I150+J150</f>
        <v>676200</v>
      </c>
    </row>
    <row r="148">
      <c r="A148" s="50" t="s">
        <v>873</v>
      </c>
      <c r="B148" s="50" t="s">
        <v>874</v>
      </c>
      <c r="C148" s="50" t="s">
        <v>875</v>
      </c>
      <c r="D148" s="50" t="s">
        <v>876</v>
      </c>
      <c r="E148" s="50" t="s">
        <v>877</v>
      </c>
      <c r="F148" s="50" t="s">
        <v>878</v>
      </c>
      <c r="G148" s="94" t="s">
        <v>879</v>
      </c>
      <c r="H148" s="99" t="s">
        <v>880</v>
      </c>
      <c r="I148" s="99" t="s">
        <v>881</v>
      </c>
      <c r="J148" s="99" t="s">
        <v>882</v>
      </c>
    </row>
    <row r="149">
      <c r="A149" s="33" t="s">
        <v>377</v>
      </c>
      <c r="B149" s="33" t="s">
        <v>377</v>
      </c>
      <c r="C149" s="33" t="s">
        <v>377</v>
      </c>
      <c r="D149" s="33" t="s">
        <v>377</v>
      </c>
      <c r="E149" s="33" t="s">
        <v>377</v>
      </c>
      <c r="F149" s="33" t="s">
        <v>377</v>
      </c>
      <c r="G149" s="33" t="s">
        <v>377</v>
      </c>
      <c r="H149" s="64" t="s">
        <v>377</v>
      </c>
      <c r="I149" s="64" t="s">
        <v>377</v>
      </c>
      <c r="J149" s="64" t="s">
        <v>377</v>
      </c>
    </row>
    <row r="150">
      <c r="A150" s="50">
        <v>12000.0</v>
      </c>
      <c r="B150" s="50"/>
      <c r="C150" s="50"/>
      <c r="D150" s="50">
        <f>101500+19400</f>
        <v>120900</v>
      </c>
      <c r="E150" s="50"/>
      <c r="F150" s="50">
        <v>329000.0</v>
      </c>
      <c r="G150" s="50"/>
      <c r="H150" s="50">
        <f>35000+38800</f>
        <v>73800</v>
      </c>
      <c r="I150" s="50">
        <v>140500.0</v>
      </c>
      <c r="J150" s="50"/>
    </row>
    <row r="151">
      <c r="A151" s="31" t="s">
        <v>3332</v>
      </c>
      <c r="D151" s="31" t="s">
        <v>3333</v>
      </c>
      <c r="F151" s="31" t="s">
        <v>3255</v>
      </c>
      <c r="H151" s="31" t="s">
        <v>3307</v>
      </c>
      <c r="I151" s="31" t="s">
        <v>3155</v>
      </c>
    </row>
    <row r="152">
      <c r="A152" s="31" t="s">
        <v>3334</v>
      </c>
      <c r="D152" s="31" t="s">
        <v>809</v>
      </c>
      <c r="F152" s="31" t="s">
        <v>1808</v>
      </c>
      <c r="H152" s="31" t="s">
        <v>1223</v>
      </c>
      <c r="I152" s="31" t="s">
        <v>887</v>
      </c>
    </row>
    <row r="153">
      <c r="A153" s="31" t="s">
        <v>888</v>
      </c>
      <c r="D153" s="31" t="s">
        <v>3335</v>
      </c>
      <c r="F153" s="31" t="s">
        <v>908</v>
      </c>
      <c r="H153" s="31" t="s">
        <v>897</v>
      </c>
      <c r="I153" s="31" t="s">
        <v>3336</v>
      </c>
    </row>
    <row r="154">
      <c r="D154" s="31" t="s">
        <v>892</v>
      </c>
      <c r="F154" s="31" t="s">
        <v>3313</v>
      </c>
      <c r="I154" s="31" t="s">
        <v>885</v>
      </c>
    </row>
    <row r="155">
      <c r="D155" s="31" t="s">
        <v>903</v>
      </c>
      <c r="F155" s="31" t="s">
        <v>887</v>
      </c>
      <c r="I155" s="31" t="s">
        <v>3337</v>
      </c>
    </row>
    <row r="156">
      <c r="D156" s="31" t="s">
        <v>3338</v>
      </c>
      <c r="F156" s="31" t="s">
        <v>3339</v>
      </c>
      <c r="I156" s="31" t="s">
        <v>864</v>
      </c>
    </row>
    <row r="157">
      <c r="D157" s="31" t="s">
        <v>1821</v>
      </c>
      <c r="F157" s="31" t="s">
        <v>1223</v>
      </c>
      <c r="I157" s="31" t="s">
        <v>898</v>
      </c>
    </row>
    <row r="158">
      <c r="F158" s="31" t="s">
        <v>3340</v>
      </c>
      <c r="I158" s="31" t="s">
        <v>3341</v>
      </c>
    </row>
    <row r="159">
      <c r="F159" s="31" t="s">
        <v>901</v>
      </c>
      <c r="I159" s="31" t="s">
        <v>826</v>
      </c>
    </row>
    <row r="160">
      <c r="F160" s="31" t="s">
        <v>3342</v>
      </c>
      <c r="I160" s="31" t="s">
        <v>3279</v>
      </c>
    </row>
    <row r="161">
      <c r="F161" s="31" t="s">
        <v>1316</v>
      </c>
      <c r="I161" s="31" t="s">
        <v>1316</v>
      </c>
    </row>
    <row r="162">
      <c r="F162" s="31" t="s">
        <v>3343</v>
      </c>
      <c r="I162" s="31" t="s">
        <v>3344</v>
      </c>
    </row>
    <row r="163">
      <c r="F163" s="31" t="s">
        <v>677</v>
      </c>
      <c r="I163" s="31" t="s">
        <v>868</v>
      </c>
    </row>
    <row r="164">
      <c r="F164" s="31" t="s">
        <v>3345</v>
      </c>
    </row>
    <row r="165">
      <c r="F165" s="31" t="s">
        <v>677</v>
      </c>
    </row>
    <row r="166">
      <c r="F166" s="31" t="s">
        <v>898</v>
      </c>
    </row>
    <row r="167">
      <c r="F167" s="31" t="s">
        <v>3346</v>
      </c>
    </row>
    <row r="168">
      <c r="F168" s="31" t="s">
        <v>901</v>
      </c>
    </row>
    <row r="169">
      <c r="F169" s="31" t="s">
        <v>898</v>
      </c>
    </row>
    <row r="170">
      <c r="F170" s="31" t="s">
        <v>3347</v>
      </c>
    </row>
    <row r="171">
      <c r="F171" s="31" t="s">
        <v>1628</v>
      </c>
    </row>
    <row r="172">
      <c r="F172" s="31" t="s">
        <v>896</v>
      </c>
    </row>
    <row r="173">
      <c r="F173" s="31" t="s">
        <v>3348</v>
      </c>
    </row>
    <row r="174">
      <c r="F174" s="31" t="s">
        <v>677</v>
      </c>
    </row>
    <row r="175">
      <c r="F175" s="31" t="s">
        <v>3349</v>
      </c>
    </row>
    <row r="176">
      <c r="F176" s="31" t="s">
        <v>704</v>
      </c>
    </row>
    <row r="177">
      <c r="F177" s="31" t="s">
        <v>900</v>
      </c>
    </row>
    <row r="178">
      <c r="F178" s="31" t="s">
        <v>898</v>
      </c>
    </row>
    <row r="179">
      <c r="F179" s="31" t="s">
        <v>3350</v>
      </c>
    </row>
    <row r="180">
      <c r="F180" s="31" t="s">
        <v>1316</v>
      </c>
    </row>
    <row r="181">
      <c r="F181" s="31" t="s">
        <v>896</v>
      </c>
    </row>
    <row r="182">
      <c r="F182" s="31" t="s">
        <v>3351</v>
      </c>
    </row>
    <row r="183">
      <c r="F183" s="31" t="s">
        <v>677</v>
      </c>
    </row>
    <row r="184">
      <c r="F184" s="31" t="s">
        <v>3352</v>
      </c>
    </row>
    <row r="185">
      <c r="F185" s="31" t="s">
        <v>677</v>
      </c>
    </row>
    <row r="186">
      <c r="F186" s="31" t="s">
        <v>3353</v>
      </c>
    </row>
    <row r="187">
      <c r="F187" s="31" t="s">
        <v>765</v>
      </c>
    </row>
    <row r="193">
      <c r="A193" s="100" t="s">
        <v>913</v>
      </c>
    </row>
    <row r="194">
      <c r="A194" s="100">
        <f>A197</f>
        <v>556600</v>
      </c>
    </row>
    <row r="195">
      <c r="A195" s="100">
        <v>2026.0</v>
      </c>
    </row>
    <row r="196">
      <c r="A196" s="100" t="s">
        <v>368</v>
      </c>
    </row>
    <row r="197">
      <c r="A197" s="100">
        <f>A200+B200+C200+D200+E200+F200+G200+H200</f>
        <v>556600</v>
      </c>
    </row>
    <row r="198">
      <c r="A198" s="50" t="s">
        <v>914</v>
      </c>
      <c r="B198" s="50" t="s">
        <v>246</v>
      </c>
      <c r="C198" s="50" t="s">
        <v>247</v>
      </c>
      <c r="D198" s="50" t="s">
        <v>249</v>
      </c>
      <c r="E198" s="50" t="s">
        <v>915</v>
      </c>
      <c r="F198" s="50" t="s">
        <v>916</v>
      </c>
      <c r="G198" s="50" t="s">
        <v>253</v>
      </c>
      <c r="H198" s="50" t="s">
        <v>252</v>
      </c>
    </row>
    <row r="199">
      <c r="A199" s="33" t="s">
        <v>377</v>
      </c>
      <c r="B199" s="33" t="s">
        <v>377</v>
      </c>
      <c r="C199" s="33" t="s">
        <v>377</v>
      </c>
      <c r="D199" s="33" t="s">
        <v>377</v>
      </c>
      <c r="E199" s="33" t="s">
        <v>377</v>
      </c>
      <c r="F199" s="33" t="s">
        <v>377</v>
      </c>
      <c r="G199" s="33" t="s">
        <v>377</v>
      </c>
      <c r="H199" s="33" t="s">
        <v>377</v>
      </c>
    </row>
    <row r="200">
      <c r="A200" s="50">
        <v>27250.0</v>
      </c>
      <c r="B200" s="50">
        <v>20000.0</v>
      </c>
      <c r="C200" s="50">
        <f>26000+24800</f>
        <v>50800</v>
      </c>
      <c r="D200" s="50">
        <f>99750+(44400*7)</f>
        <v>410550</v>
      </c>
      <c r="E200" s="50">
        <v>12000.0</v>
      </c>
      <c r="F200" s="50">
        <v>2000.0</v>
      </c>
      <c r="G200" s="50">
        <v>0.0</v>
      </c>
      <c r="H200" s="50">
        <f>12000+22000</f>
        <v>34000</v>
      </c>
    </row>
    <row r="201">
      <c r="A201" s="31" t="s">
        <v>3354</v>
      </c>
      <c r="B201" s="31" t="s">
        <v>1952</v>
      </c>
      <c r="C201" s="31" t="s">
        <v>3355</v>
      </c>
      <c r="D201" s="31" t="s">
        <v>3356</v>
      </c>
      <c r="E201" s="31" t="s">
        <v>3333</v>
      </c>
      <c r="F201" s="31" t="s">
        <v>3357</v>
      </c>
      <c r="H201" s="31" t="s">
        <v>3358</v>
      </c>
    </row>
    <row r="202">
      <c r="A202" s="31" t="s">
        <v>848</v>
      </c>
      <c r="B202" s="31" t="s">
        <v>677</v>
      </c>
      <c r="C202" s="31" t="s">
        <v>848</v>
      </c>
      <c r="D202" s="31" t="s">
        <v>942</v>
      </c>
      <c r="E202" s="31" t="s">
        <v>1247</v>
      </c>
      <c r="F202" s="31" t="s">
        <v>677</v>
      </c>
      <c r="H202" s="31" t="s">
        <v>1247</v>
      </c>
    </row>
    <row r="203">
      <c r="A203" s="31" t="s">
        <v>3196</v>
      </c>
      <c r="B203" s="31" t="s">
        <v>3359</v>
      </c>
      <c r="C203" s="31" t="s">
        <v>1836</v>
      </c>
      <c r="D203" s="31" t="s">
        <v>1613</v>
      </c>
      <c r="F203" s="31" t="s">
        <v>3360</v>
      </c>
      <c r="H203" s="31" t="s">
        <v>921</v>
      </c>
    </row>
    <row r="204">
      <c r="A204" s="31" t="s">
        <v>826</v>
      </c>
      <c r="B204" s="31" t="s">
        <v>826</v>
      </c>
      <c r="C204" s="31" t="s">
        <v>3313</v>
      </c>
      <c r="D204" s="31" t="s">
        <v>3361</v>
      </c>
      <c r="F204" s="31" t="s">
        <v>677</v>
      </c>
    </row>
    <row r="205">
      <c r="A205" s="31" t="s">
        <v>920</v>
      </c>
      <c r="B205" s="31" t="s">
        <v>3362</v>
      </c>
      <c r="C205" s="31" t="s">
        <v>767</v>
      </c>
      <c r="D205" s="31" t="s">
        <v>826</v>
      </c>
    </row>
    <row r="206">
      <c r="A206" s="31" t="s">
        <v>1834</v>
      </c>
      <c r="B206" s="31" t="s">
        <v>677</v>
      </c>
      <c r="C206" s="31" t="s">
        <v>1836</v>
      </c>
      <c r="D206" s="31" t="s">
        <v>1612</v>
      </c>
    </row>
    <row r="207">
      <c r="B207" s="31" t="s">
        <v>3363</v>
      </c>
      <c r="D207" s="31" t="s">
        <v>1613</v>
      </c>
    </row>
    <row r="208">
      <c r="B208" s="31" t="s">
        <v>677</v>
      </c>
      <c r="D208" s="31" t="s">
        <v>3331</v>
      </c>
    </row>
    <row r="209">
      <c r="B209" s="31" t="s">
        <v>3364</v>
      </c>
      <c r="D209" s="31" t="s">
        <v>677</v>
      </c>
    </row>
    <row r="210">
      <c r="B210" s="31" t="s">
        <v>926</v>
      </c>
      <c r="D210" s="31" t="s">
        <v>1613</v>
      </c>
    </row>
    <row r="211">
      <c r="B211" s="31" t="s">
        <v>3365</v>
      </c>
      <c r="D211" s="31" t="s">
        <v>3366</v>
      </c>
    </row>
    <row r="212">
      <c r="B212" s="31" t="s">
        <v>677</v>
      </c>
      <c r="D212" s="31" t="s">
        <v>677</v>
      </c>
    </row>
    <row r="213">
      <c r="D213" s="31" t="s">
        <v>1613</v>
      </c>
    </row>
    <row r="214">
      <c r="D214" s="31" t="s">
        <v>3367</v>
      </c>
    </row>
    <row r="215">
      <c r="D215" s="31" t="s">
        <v>677</v>
      </c>
    </row>
    <row r="216">
      <c r="D216" s="31" t="s">
        <v>1613</v>
      </c>
    </row>
    <row r="217">
      <c r="D217" s="31" t="s">
        <v>2929</v>
      </c>
    </row>
    <row r="218">
      <c r="D218" s="31" t="s">
        <v>677</v>
      </c>
    </row>
    <row r="219">
      <c r="D219" s="31" t="s">
        <v>1613</v>
      </c>
    </row>
    <row r="220">
      <c r="D220" s="31" t="s">
        <v>3368</v>
      </c>
    </row>
    <row r="221">
      <c r="D221" s="31" t="s">
        <v>1841</v>
      </c>
    </row>
    <row r="222">
      <c r="D222" s="31" t="s">
        <v>1835</v>
      </c>
    </row>
    <row r="223">
      <c r="D223" s="31" t="s">
        <v>1613</v>
      </c>
    </row>
    <row r="225">
      <c r="A225" s="101" t="s">
        <v>3369</v>
      </c>
    </row>
    <row r="226">
      <c r="A226" s="101">
        <f>A230-1200000</f>
        <v>8185000</v>
      </c>
    </row>
    <row r="227">
      <c r="A227" s="101">
        <v>2026.0</v>
      </c>
    </row>
    <row r="228">
      <c r="A228" s="316" t="s">
        <v>3121</v>
      </c>
    </row>
    <row r="229">
      <c r="A229" s="101" t="s">
        <v>368</v>
      </c>
    </row>
    <row r="230">
      <c r="A230" s="102">
        <f>A233+B233+C233+D233+E233+F233+G233+H233+I233+J233</f>
        <v>9385000</v>
      </c>
    </row>
    <row r="231">
      <c r="A231" s="50" t="s">
        <v>929</v>
      </c>
      <c r="B231" s="50" t="s">
        <v>930</v>
      </c>
      <c r="C231" s="50" t="s">
        <v>931</v>
      </c>
      <c r="D231" s="50" t="s">
        <v>932</v>
      </c>
      <c r="E231" s="50" t="s">
        <v>933</v>
      </c>
      <c r="F231" s="50" t="s">
        <v>934</v>
      </c>
      <c r="G231" s="50" t="s">
        <v>935</v>
      </c>
      <c r="H231" s="50" t="s">
        <v>936</v>
      </c>
      <c r="I231" s="50" t="s">
        <v>937</v>
      </c>
      <c r="J231" s="50" t="s">
        <v>938</v>
      </c>
    </row>
    <row r="232">
      <c r="A232" s="33" t="s">
        <v>377</v>
      </c>
      <c r="B232" s="33" t="s">
        <v>377</v>
      </c>
      <c r="C232" s="33" t="s">
        <v>377</v>
      </c>
      <c r="D232" s="33" t="s">
        <v>377</v>
      </c>
      <c r="E232" s="33" t="s">
        <v>377</v>
      </c>
      <c r="F232" s="33" t="s">
        <v>377</v>
      </c>
      <c r="G232" s="33" t="s">
        <v>377</v>
      </c>
      <c r="H232" s="64" t="s">
        <v>377</v>
      </c>
      <c r="I232" s="64" t="s">
        <v>377</v>
      </c>
      <c r="J232" s="64" t="s">
        <v>377</v>
      </c>
    </row>
    <row r="233">
      <c r="A233" s="50">
        <v>790000.0</v>
      </c>
      <c r="B233" s="50">
        <v>785000.0</v>
      </c>
      <c r="C233" s="50">
        <v>805000.0</v>
      </c>
      <c r="D233" s="50">
        <f>916000+120000+(4*114000)</f>
        <v>1492000</v>
      </c>
      <c r="E233" s="50">
        <f>812000+35000+(4*32000)</f>
        <v>975000</v>
      </c>
      <c r="F233" s="50">
        <v>795000.0</v>
      </c>
      <c r="G233" s="50">
        <v>819000.0</v>
      </c>
      <c r="H233" s="50">
        <f>800000+150000</f>
        <v>950000</v>
      </c>
      <c r="I233" s="50">
        <v>811000.0</v>
      </c>
      <c r="J233" s="50">
        <f>875000+60000+(4*57000)</f>
        <v>1163000</v>
      </c>
    </row>
    <row r="234">
      <c r="A234" s="31" t="s">
        <v>3370</v>
      </c>
      <c r="B234" s="31" t="s">
        <v>3371</v>
      </c>
      <c r="C234" s="31" t="s">
        <v>3157</v>
      </c>
      <c r="D234" s="31" t="s">
        <v>3372</v>
      </c>
      <c r="E234" s="31" t="s">
        <v>3373</v>
      </c>
      <c r="F234" s="31" t="s">
        <v>3374</v>
      </c>
      <c r="G234" s="31" t="s">
        <v>3375</v>
      </c>
      <c r="H234" s="31" t="s">
        <v>3376</v>
      </c>
      <c r="I234" s="31" t="s">
        <v>3377</v>
      </c>
      <c r="J234" s="31" t="s">
        <v>3378</v>
      </c>
    </row>
    <row r="235">
      <c r="A235" s="31" t="s">
        <v>3125</v>
      </c>
      <c r="B235" s="31" t="s">
        <v>3125</v>
      </c>
      <c r="C235" s="31" t="s">
        <v>3125</v>
      </c>
      <c r="D235" s="31" t="s">
        <v>3125</v>
      </c>
      <c r="E235" s="31" t="s">
        <v>3125</v>
      </c>
      <c r="F235" s="31" t="s">
        <v>3125</v>
      </c>
      <c r="G235" s="31" t="s">
        <v>3125</v>
      </c>
      <c r="H235" s="31" t="s">
        <v>3125</v>
      </c>
      <c r="I235" s="31" t="s">
        <v>3125</v>
      </c>
      <c r="J235" s="31" t="s">
        <v>3125</v>
      </c>
    </row>
    <row r="236">
      <c r="A236" s="31" t="s">
        <v>944</v>
      </c>
      <c r="B236" s="31" t="s">
        <v>381</v>
      </c>
      <c r="C236" s="31" t="s">
        <v>3379</v>
      </c>
      <c r="D236" s="31" t="s">
        <v>944</v>
      </c>
      <c r="E236" s="31" t="s">
        <v>945</v>
      </c>
      <c r="F236" s="31" t="s">
        <v>3380</v>
      </c>
      <c r="G236" s="31" t="s">
        <v>944</v>
      </c>
      <c r="H236" s="31" t="s">
        <v>3381</v>
      </c>
      <c r="I236" s="31" t="s">
        <v>3382</v>
      </c>
      <c r="J236" s="76" t="s">
        <v>3383</v>
      </c>
    </row>
    <row r="237">
      <c r="A237" s="31" t="s">
        <v>945</v>
      </c>
      <c r="B237" s="31" t="s">
        <v>3384</v>
      </c>
      <c r="C237" s="31" t="s">
        <v>3131</v>
      </c>
      <c r="D237" s="31" t="s">
        <v>381</v>
      </c>
      <c r="E237" s="76" t="s">
        <v>3385</v>
      </c>
      <c r="F237" s="31" t="s">
        <v>3131</v>
      </c>
      <c r="G237" s="31" t="s">
        <v>1240</v>
      </c>
      <c r="H237" s="31" t="s">
        <v>3131</v>
      </c>
      <c r="I237" s="31" t="s">
        <v>3131</v>
      </c>
      <c r="J237" s="31" t="s">
        <v>3386</v>
      </c>
    </row>
    <row r="238">
      <c r="A238" s="31" t="s">
        <v>3387</v>
      </c>
      <c r="B238" s="31" t="s">
        <v>3131</v>
      </c>
      <c r="C238" s="31" t="s">
        <v>3388</v>
      </c>
      <c r="D238" s="76" t="s">
        <v>3389</v>
      </c>
      <c r="E238" s="31" t="s">
        <v>3194</v>
      </c>
      <c r="F238" s="31" t="s">
        <v>3390</v>
      </c>
      <c r="G238" s="31" t="s">
        <v>3391</v>
      </c>
      <c r="H238" s="31" t="s">
        <v>3392</v>
      </c>
      <c r="I238" s="31" t="s">
        <v>3393</v>
      </c>
      <c r="J238" s="31" t="s">
        <v>3131</v>
      </c>
    </row>
    <row r="239">
      <c r="A239" s="31" t="s">
        <v>3131</v>
      </c>
      <c r="B239" s="31" t="s">
        <v>944</v>
      </c>
      <c r="C239" s="31" t="s">
        <v>3394</v>
      </c>
      <c r="D239" s="31" t="s">
        <v>3395</v>
      </c>
      <c r="E239" s="31" t="s">
        <v>3131</v>
      </c>
      <c r="F239" s="31" t="s">
        <v>3396</v>
      </c>
      <c r="G239" s="31" t="s">
        <v>3131</v>
      </c>
      <c r="H239" s="31" t="s">
        <v>3394</v>
      </c>
      <c r="I239" s="31" t="s">
        <v>3394</v>
      </c>
      <c r="J239" s="76" t="s">
        <v>946</v>
      </c>
    </row>
    <row r="240">
      <c r="A240" s="31" t="s">
        <v>381</v>
      </c>
      <c r="B240" s="31" t="s">
        <v>945</v>
      </c>
      <c r="C240" s="31" t="s">
        <v>944</v>
      </c>
      <c r="D240" s="31" t="s">
        <v>3131</v>
      </c>
      <c r="E240" s="76" t="s">
        <v>1617</v>
      </c>
      <c r="F240" s="31" t="s">
        <v>3397</v>
      </c>
      <c r="G240" s="31" t="s">
        <v>3150</v>
      </c>
      <c r="H240" s="76" t="s">
        <v>3398</v>
      </c>
      <c r="I240" s="31" t="s">
        <v>3399</v>
      </c>
      <c r="J240" s="31" t="s">
        <v>3400</v>
      </c>
    </row>
    <row r="241">
      <c r="A241" s="31" t="s">
        <v>3401</v>
      </c>
      <c r="B241" s="31" t="s">
        <v>3402</v>
      </c>
      <c r="C241" s="31" t="s">
        <v>945</v>
      </c>
      <c r="D241" s="76" t="s">
        <v>1853</v>
      </c>
      <c r="E241" s="31" t="s">
        <v>3403</v>
      </c>
      <c r="F241" s="31" t="s">
        <v>3404</v>
      </c>
      <c r="G241" s="31" t="s">
        <v>3405</v>
      </c>
      <c r="H241" s="31" t="s">
        <v>3406</v>
      </c>
      <c r="I241" s="31" t="s">
        <v>1841</v>
      </c>
      <c r="J241" s="31" t="s">
        <v>1236</v>
      </c>
    </row>
    <row r="242">
      <c r="A242" s="31" t="s">
        <v>3394</v>
      </c>
      <c r="B242" s="31" t="s">
        <v>953</v>
      </c>
      <c r="C242" s="31" t="s">
        <v>3273</v>
      </c>
      <c r="D242" s="31" t="s">
        <v>1985</v>
      </c>
      <c r="E242" s="31" t="s">
        <v>3404</v>
      </c>
      <c r="F242" s="31" t="s">
        <v>944</v>
      </c>
      <c r="G242" s="31" t="s">
        <v>3407</v>
      </c>
      <c r="H242" s="31" t="s">
        <v>3404</v>
      </c>
      <c r="I242" s="31" t="s">
        <v>3408</v>
      </c>
      <c r="J242" s="76" t="s">
        <v>946</v>
      </c>
    </row>
    <row r="243">
      <c r="A243" s="317" t="s">
        <v>3409</v>
      </c>
      <c r="B243" s="31" t="s">
        <v>3410</v>
      </c>
      <c r="C243" s="31" t="s">
        <v>3411</v>
      </c>
      <c r="D243" s="31" t="s">
        <v>1850</v>
      </c>
      <c r="E243" s="76" t="s">
        <v>1617</v>
      </c>
      <c r="F243" s="31" t="s">
        <v>945</v>
      </c>
      <c r="G243" s="31" t="s">
        <v>3412</v>
      </c>
      <c r="H243" s="318"/>
      <c r="I243" s="31" t="s">
        <v>3413</v>
      </c>
      <c r="J243" s="31" t="s">
        <v>3414</v>
      </c>
    </row>
    <row r="244">
      <c r="A244" s="317" t="s">
        <v>1252</v>
      </c>
      <c r="B244" s="317" t="s">
        <v>3415</v>
      </c>
      <c r="C244" s="318"/>
      <c r="D244" s="76" t="s">
        <v>1853</v>
      </c>
      <c r="E244" s="31" t="s">
        <v>3416</v>
      </c>
      <c r="G244" s="31" t="s">
        <v>3417</v>
      </c>
      <c r="H244" s="318"/>
      <c r="I244" s="318"/>
      <c r="J244" s="31" t="s">
        <v>3394</v>
      </c>
    </row>
    <row r="245">
      <c r="D245" s="31" t="s">
        <v>3418</v>
      </c>
      <c r="E245" s="31" t="s">
        <v>3404</v>
      </c>
      <c r="G245" s="31" t="s">
        <v>3419</v>
      </c>
      <c r="I245" s="318"/>
      <c r="J245" s="76" t="s">
        <v>946</v>
      </c>
    </row>
    <row r="246">
      <c r="D246" s="31" t="s">
        <v>3420</v>
      </c>
      <c r="E246" s="76" t="s">
        <v>1617</v>
      </c>
      <c r="F246" s="318"/>
      <c r="G246" s="318"/>
      <c r="I246" s="318"/>
      <c r="J246" s="31" t="s">
        <v>3421</v>
      </c>
    </row>
    <row r="247">
      <c r="D247" s="31" t="s">
        <v>944</v>
      </c>
      <c r="E247" s="31" t="s">
        <v>3422</v>
      </c>
      <c r="F247" s="318"/>
      <c r="G247" s="318"/>
      <c r="J247" s="31" t="s">
        <v>1255</v>
      </c>
    </row>
    <row r="248">
      <c r="D248" s="31" t="s">
        <v>381</v>
      </c>
      <c r="E248" s="31" t="s">
        <v>3423</v>
      </c>
      <c r="J248" s="76" t="s">
        <v>946</v>
      </c>
    </row>
    <row r="249">
      <c r="D249" s="76" t="s">
        <v>1853</v>
      </c>
      <c r="E249" s="76" t="s">
        <v>1617</v>
      </c>
    </row>
    <row r="250">
      <c r="D250" s="31" t="s">
        <v>3424</v>
      </c>
    </row>
    <row r="251">
      <c r="D251" s="31" t="s">
        <v>1624</v>
      </c>
    </row>
    <row r="252">
      <c r="D252" s="76" t="s">
        <v>1853</v>
      </c>
    </row>
    <row r="255">
      <c r="A255" s="48" t="s">
        <v>367</v>
      </c>
    </row>
    <row r="256">
      <c r="A256" s="49">
        <f>A259</f>
        <v>1373125</v>
      </c>
    </row>
    <row r="257">
      <c r="A257" s="49">
        <v>2026.0</v>
      </c>
    </row>
    <row r="258">
      <c r="A258" s="49" t="s">
        <v>368</v>
      </c>
    </row>
    <row r="259">
      <c r="A259" s="49">
        <f>A262+B262+C262+D262+E262+F262+G262+H262</f>
        <v>1373125</v>
      </c>
    </row>
    <row r="260">
      <c r="A260" s="33" t="s">
        <v>369</v>
      </c>
      <c r="B260" s="33" t="s">
        <v>370</v>
      </c>
      <c r="C260" s="33" t="s">
        <v>371</v>
      </c>
      <c r="D260" s="33" t="s">
        <v>372</v>
      </c>
      <c r="E260" s="33" t="s">
        <v>373</v>
      </c>
      <c r="F260" s="33" t="s">
        <v>374</v>
      </c>
      <c r="G260" s="33" t="s">
        <v>375</v>
      </c>
      <c r="H260" s="33" t="s">
        <v>376</v>
      </c>
      <c r="I260" s="103"/>
      <c r="J260" s="103"/>
    </row>
    <row r="261">
      <c r="A261" s="33" t="s">
        <v>377</v>
      </c>
      <c r="B261" s="33" t="s">
        <v>377</v>
      </c>
      <c r="C261" s="33" t="s">
        <v>377</v>
      </c>
      <c r="D261" s="33" t="s">
        <v>377</v>
      </c>
      <c r="E261" s="33" t="s">
        <v>377</v>
      </c>
      <c r="F261" s="33" t="s">
        <v>377</v>
      </c>
      <c r="G261" s="33" t="s">
        <v>377</v>
      </c>
      <c r="H261" s="33" t="s">
        <v>377</v>
      </c>
    </row>
    <row r="262">
      <c r="A262" s="50">
        <f>281000+(59825*6)</f>
        <v>639950</v>
      </c>
      <c r="B262" s="50">
        <v>0.0</v>
      </c>
      <c r="C262" s="50">
        <v>17000.0</v>
      </c>
      <c r="D262" s="50">
        <v>32000.0</v>
      </c>
      <c r="E262" s="50">
        <v>0.0</v>
      </c>
      <c r="F262" s="50">
        <f>52000+150000+300000</f>
        <v>502000</v>
      </c>
      <c r="G262" s="50">
        <f>11000+119175</f>
        <v>130175</v>
      </c>
      <c r="H262" s="50">
        <v>52000.0</v>
      </c>
    </row>
    <row r="263">
      <c r="A263" s="31" t="s">
        <v>3355</v>
      </c>
      <c r="C263" s="31" t="s">
        <v>3357</v>
      </c>
      <c r="D263" s="31" t="s">
        <v>3425</v>
      </c>
      <c r="F263" s="31" t="s">
        <v>3426</v>
      </c>
      <c r="G263" s="31" t="s">
        <v>3427</v>
      </c>
      <c r="H263" s="31" t="s">
        <v>3428</v>
      </c>
    </row>
    <row r="264">
      <c r="A264" s="31" t="s">
        <v>926</v>
      </c>
      <c r="C264" s="31" t="s">
        <v>1826</v>
      </c>
      <c r="D264" s="31" t="s">
        <v>951</v>
      </c>
      <c r="F264" s="31" t="s">
        <v>1247</v>
      </c>
      <c r="G264" s="31" t="s">
        <v>855</v>
      </c>
      <c r="H264" s="31" t="s">
        <v>826</v>
      </c>
    </row>
    <row r="265">
      <c r="A265" s="76" t="s">
        <v>954</v>
      </c>
      <c r="D265" s="31" t="s">
        <v>3429</v>
      </c>
      <c r="F265" s="31" t="s">
        <v>944</v>
      </c>
      <c r="G265" s="76" t="s">
        <v>958</v>
      </c>
      <c r="H265" s="31" t="s">
        <v>381</v>
      </c>
    </row>
    <row r="266">
      <c r="A266" s="31" t="s">
        <v>3219</v>
      </c>
      <c r="D266" s="31" t="s">
        <v>826</v>
      </c>
      <c r="F266" s="31" t="s">
        <v>3132</v>
      </c>
      <c r="H266" s="31" t="s">
        <v>3430</v>
      </c>
    </row>
    <row r="267">
      <c r="A267" s="31" t="s">
        <v>1831</v>
      </c>
      <c r="F267" s="76" t="s">
        <v>3431</v>
      </c>
      <c r="H267" s="31" t="s">
        <v>1831</v>
      </c>
    </row>
    <row r="268">
      <c r="A268" s="76" t="s">
        <v>954</v>
      </c>
      <c r="F268" s="76" t="s">
        <v>3432</v>
      </c>
    </row>
    <row r="269">
      <c r="A269" s="31" t="s">
        <v>3339</v>
      </c>
      <c r="F269" s="31" t="s">
        <v>3194</v>
      </c>
    </row>
    <row r="270">
      <c r="A270" s="31" t="s">
        <v>1252</v>
      </c>
      <c r="F270" s="31" t="s">
        <v>848</v>
      </c>
    </row>
    <row r="271">
      <c r="A271" s="76" t="s">
        <v>954</v>
      </c>
    </row>
    <row r="272">
      <c r="A272" s="31" t="s">
        <v>3433</v>
      </c>
    </row>
    <row r="273">
      <c r="A273" s="31" t="s">
        <v>942</v>
      </c>
      <c r="B273" s="75"/>
      <c r="C273" s="75"/>
      <c r="D273" s="75"/>
      <c r="E273" s="75"/>
      <c r="F273" s="75"/>
      <c r="G273" s="75"/>
      <c r="H273" s="75"/>
    </row>
    <row r="274">
      <c r="A274" s="31" t="s">
        <v>3132</v>
      </c>
      <c r="B274" s="75"/>
      <c r="C274" s="75"/>
      <c r="D274" s="75"/>
      <c r="E274" s="105"/>
      <c r="F274" s="75"/>
      <c r="G274" s="75"/>
      <c r="H274" s="75"/>
    </row>
    <row r="275">
      <c r="A275" s="76" t="s">
        <v>954</v>
      </c>
      <c r="B275" s="105"/>
      <c r="C275" s="75"/>
      <c r="D275" s="75"/>
      <c r="E275" s="105"/>
      <c r="F275" s="75"/>
      <c r="G275" s="75"/>
      <c r="H275" s="75"/>
    </row>
    <row r="276">
      <c r="A276" s="31" t="s">
        <v>3266</v>
      </c>
      <c r="B276" s="105"/>
      <c r="C276" s="75"/>
      <c r="D276" s="75"/>
      <c r="E276" s="105"/>
      <c r="F276" s="105"/>
      <c r="G276" s="75"/>
      <c r="H276" s="75"/>
    </row>
    <row r="277">
      <c r="A277" s="31" t="s">
        <v>1252</v>
      </c>
      <c r="B277" s="105"/>
      <c r="C277" s="75"/>
      <c r="D277" s="75"/>
      <c r="E277" s="105"/>
      <c r="F277" s="105"/>
      <c r="G277" s="75"/>
      <c r="H277" s="75"/>
    </row>
    <row r="278">
      <c r="A278" s="31" t="s">
        <v>945</v>
      </c>
      <c r="B278" s="105"/>
      <c r="C278" s="75"/>
      <c r="D278" s="75"/>
      <c r="E278" s="105"/>
      <c r="F278" s="105"/>
      <c r="G278" s="75"/>
      <c r="H278" s="75"/>
    </row>
    <row r="279">
      <c r="A279" s="76" t="s">
        <v>954</v>
      </c>
      <c r="B279" s="105"/>
      <c r="C279" s="75"/>
      <c r="D279" s="75"/>
      <c r="E279" s="105"/>
      <c r="F279" s="105"/>
      <c r="G279" s="75"/>
      <c r="H279" s="75"/>
    </row>
    <row r="280">
      <c r="A280" s="75" t="s">
        <v>3434</v>
      </c>
      <c r="B280" s="105"/>
      <c r="C280" s="105"/>
      <c r="D280" s="105"/>
      <c r="E280" s="105"/>
      <c r="F280" s="105"/>
      <c r="G280" s="75"/>
      <c r="H280" s="105"/>
    </row>
    <row r="281">
      <c r="A281" s="75" t="s">
        <v>826</v>
      </c>
      <c r="B281" s="105"/>
      <c r="C281" s="105"/>
      <c r="D281" s="105"/>
      <c r="E281" s="105"/>
      <c r="F281" s="105"/>
      <c r="G281" s="75"/>
      <c r="H281" s="105"/>
    </row>
    <row r="282">
      <c r="A282" s="76" t="s">
        <v>954</v>
      </c>
      <c r="B282" s="105"/>
      <c r="C282" s="105"/>
      <c r="D282" s="105"/>
      <c r="E282" s="105"/>
      <c r="F282" s="105"/>
      <c r="G282" s="105"/>
      <c r="H282" s="105"/>
    </row>
    <row r="283">
      <c r="A283" s="105"/>
    </row>
  </sheetData>
  <mergeCells count="135">
    <mergeCell ref="U33:X33"/>
    <mergeCell ref="U35:V35"/>
    <mergeCell ref="U36:X36"/>
    <mergeCell ref="U38:V38"/>
    <mergeCell ref="U41:X41"/>
    <mergeCell ref="U44:V44"/>
    <mergeCell ref="S16:S18"/>
    <mergeCell ref="U16:X16"/>
    <mergeCell ref="U19:V19"/>
    <mergeCell ref="U21:V21"/>
    <mergeCell ref="U22:X22"/>
    <mergeCell ref="U25:V25"/>
    <mergeCell ref="U28:X28"/>
    <mergeCell ref="T31:T35"/>
    <mergeCell ref="T36:T38"/>
    <mergeCell ref="T39:T44"/>
    <mergeCell ref="T12:T19"/>
    <mergeCell ref="T20:T21"/>
    <mergeCell ref="T22:T25"/>
    <mergeCell ref="S23:S25"/>
    <mergeCell ref="T26:T27"/>
    <mergeCell ref="S27:S29"/>
    <mergeCell ref="T28:T30"/>
    <mergeCell ref="A1:X1"/>
    <mergeCell ref="A2:X2"/>
    <mergeCell ref="A3:X3"/>
    <mergeCell ref="A4:X4"/>
    <mergeCell ref="G5:H5"/>
    <mergeCell ref="I5:K5"/>
    <mergeCell ref="L5:M5"/>
    <mergeCell ref="T5:X5"/>
    <mergeCell ref="N5:P5"/>
    <mergeCell ref="Q5:S5"/>
    <mergeCell ref="G6:H6"/>
    <mergeCell ref="I6:K6"/>
    <mergeCell ref="L6:M6"/>
    <mergeCell ref="Q6:S6"/>
    <mergeCell ref="T6:X6"/>
    <mergeCell ref="N6:P6"/>
    <mergeCell ref="N7:P7"/>
    <mergeCell ref="Q7:S7"/>
    <mergeCell ref="Q8:S8"/>
    <mergeCell ref="T8:T11"/>
    <mergeCell ref="U8:X8"/>
    <mergeCell ref="N9:N11"/>
    <mergeCell ref="U11:V11"/>
    <mergeCell ref="Q10:Q15"/>
    <mergeCell ref="Q16:Q18"/>
    <mergeCell ref="Q19:Q22"/>
    <mergeCell ref="Q23:Q25"/>
    <mergeCell ref="Q27:Q29"/>
    <mergeCell ref="Q30:R30"/>
    <mergeCell ref="Q31:R31"/>
    <mergeCell ref="P9:P11"/>
    <mergeCell ref="S10:S15"/>
    <mergeCell ref="N12:N13"/>
    <mergeCell ref="P12:P13"/>
    <mergeCell ref="N14:N15"/>
    <mergeCell ref="P14:P15"/>
    <mergeCell ref="S19:S22"/>
    <mergeCell ref="U27:V27"/>
    <mergeCell ref="U30:V30"/>
    <mergeCell ref="I37:I39"/>
    <mergeCell ref="K37:K39"/>
    <mergeCell ref="A128:J128"/>
    <mergeCell ref="A129:J129"/>
    <mergeCell ref="A142:J142"/>
    <mergeCell ref="A143:J143"/>
    <mergeCell ref="A144:J144"/>
    <mergeCell ref="A145:J145"/>
    <mergeCell ref="A146:J146"/>
    <mergeCell ref="A147:J147"/>
    <mergeCell ref="A193:H193"/>
    <mergeCell ref="A194:H194"/>
    <mergeCell ref="A195:H195"/>
    <mergeCell ref="A196:H196"/>
    <mergeCell ref="A197:H197"/>
    <mergeCell ref="A225:J225"/>
    <mergeCell ref="A257:H257"/>
    <mergeCell ref="A258:H258"/>
    <mergeCell ref="A259:H259"/>
    <mergeCell ref="A226:J226"/>
    <mergeCell ref="A227:J227"/>
    <mergeCell ref="A228:J228"/>
    <mergeCell ref="A229:J229"/>
    <mergeCell ref="A230:J230"/>
    <mergeCell ref="A255:H255"/>
    <mergeCell ref="A256:H256"/>
    <mergeCell ref="N17:O17"/>
    <mergeCell ref="N18:O18"/>
    <mergeCell ref="I26:K26"/>
    <mergeCell ref="I28:I30"/>
    <mergeCell ref="K28:K30"/>
    <mergeCell ref="I31:I33"/>
    <mergeCell ref="I34:I36"/>
    <mergeCell ref="K49:K51"/>
    <mergeCell ref="K52:K54"/>
    <mergeCell ref="K55:K57"/>
    <mergeCell ref="K58:K60"/>
    <mergeCell ref="K61:K63"/>
    <mergeCell ref="K31:K33"/>
    <mergeCell ref="K34:K36"/>
    <mergeCell ref="I40:I42"/>
    <mergeCell ref="K40:K42"/>
    <mergeCell ref="I43:I45"/>
    <mergeCell ref="K43:K45"/>
    <mergeCell ref="K46:K48"/>
    <mergeCell ref="I46:I48"/>
    <mergeCell ref="I49:I51"/>
    <mergeCell ref="I52:I54"/>
    <mergeCell ref="I55:I57"/>
    <mergeCell ref="I58:I60"/>
    <mergeCell ref="I61:I63"/>
    <mergeCell ref="A63:E63"/>
    <mergeCell ref="A64:E64"/>
    <mergeCell ref="A65:E65"/>
    <mergeCell ref="A66:E66"/>
    <mergeCell ref="A68:E68"/>
    <mergeCell ref="A69:F69"/>
    <mergeCell ref="A70:F70"/>
    <mergeCell ref="A71:F71"/>
    <mergeCell ref="A72:F72"/>
    <mergeCell ref="A84:H84"/>
    <mergeCell ref="A85:H85"/>
    <mergeCell ref="A86:H86"/>
    <mergeCell ref="A87:H87"/>
    <mergeCell ref="A88:H88"/>
    <mergeCell ref="A109:H109"/>
    <mergeCell ref="A110:H110"/>
    <mergeCell ref="A111:H111"/>
    <mergeCell ref="A112:H112"/>
    <mergeCell ref="A113:H113"/>
    <mergeCell ref="A125:J125"/>
    <mergeCell ref="A126:J126"/>
    <mergeCell ref="A127:J127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8.88"/>
    <col customWidth="1" min="3" max="4" width="29.13"/>
    <col customWidth="1" min="5" max="5" width="31.25"/>
    <col customWidth="1" min="6" max="6" width="21.63"/>
    <col customWidth="1" min="7" max="7" width="27.75"/>
    <col customWidth="1" min="8" max="8" width="28.0"/>
    <col customWidth="1" min="9" max="9" width="34.0"/>
    <col customWidth="1" min="10" max="10" width="26.75"/>
    <col customWidth="1" min="12" max="12" width="19.75"/>
    <col customWidth="1" min="13" max="13" width="26.13"/>
    <col customWidth="1" min="15" max="15" width="15.88"/>
    <col customWidth="1" min="16" max="16" width="13.5"/>
    <col customWidth="1" min="21" max="21" width="23.25"/>
  </cols>
  <sheetData>
    <row r="1">
      <c r="A1" s="128" t="s">
        <v>3435</v>
      </c>
    </row>
    <row r="2">
      <c r="A2" s="128" t="s">
        <v>3436</v>
      </c>
    </row>
    <row r="3">
      <c r="A3" s="128" t="s">
        <v>338</v>
      </c>
    </row>
    <row r="4">
      <c r="A4" s="319" t="s">
        <v>3437</v>
      </c>
    </row>
    <row r="5">
      <c r="A5" s="319" t="s">
        <v>3438</v>
      </c>
    </row>
    <row r="6">
      <c r="A6" s="112">
        <f>100000+C8+B8+A46+D8+F8+I8+O8+L8+B21</f>
        <v>5181100</v>
      </c>
    </row>
    <row r="7">
      <c r="A7" s="33" t="s">
        <v>3439</v>
      </c>
      <c r="B7" s="33" t="s">
        <v>341</v>
      </c>
      <c r="C7" s="33" t="s">
        <v>416</v>
      </c>
      <c r="D7" s="33" t="s">
        <v>384</v>
      </c>
      <c r="E7" s="33" t="s">
        <v>344</v>
      </c>
      <c r="F7" s="33" t="s">
        <v>419</v>
      </c>
      <c r="I7" s="57" t="s">
        <v>420</v>
      </c>
      <c r="L7" s="57" t="s">
        <v>979</v>
      </c>
      <c r="O7" s="115" t="s">
        <v>422</v>
      </c>
    </row>
    <row r="8">
      <c r="A8" s="31" t="s">
        <v>3440</v>
      </c>
      <c r="B8" s="116">
        <v>-60000.0</v>
      </c>
      <c r="C8" s="116">
        <f>200000-55000-100000</f>
        <v>45000</v>
      </c>
      <c r="D8" s="116">
        <v>-5000.0</v>
      </c>
      <c r="E8" s="31" t="s">
        <v>3441</v>
      </c>
      <c r="F8" s="116">
        <f>F10+G10+H10</f>
        <v>57500</v>
      </c>
      <c r="I8" s="320">
        <f>I10</f>
        <v>27300</v>
      </c>
      <c r="L8" s="321">
        <f>L10</f>
        <v>2272000</v>
      </c>
      <c r="O8" s="118">
        <f>R14+R16+R20</f>
        <v>21500</v>
      </c>
      <c r="U8" s="33"/>
    </row>
    <row r="9">
      <c r="A9" s="31" t="s">
        <v>3442</v>
      </c>
      <c r="B9" s="55" t="s">
        <v>349</v>
      </c>
      <c r="C9" s="31" t="s">
        <v>3443</v>
      </c>
      <c r="D9" s="31" t="s">
        <v>3444</v>
      </c>
      <c r="E9" s="31" t="s">
        <v>3445</v>
      </c>
      <c r="F9" s="87" t="s">
        <v>432</v>
      </c>
      <c r="G9" s="87" t="s">
        <v>433</v>
      </c>
      <c r="H9" s="87" t="s">
        <v>434</v>
      </c>
      <c r="I9" s="150" t="s">
        <v>435</v>
      </c>
      <c r="L9" s="150" t="s">
        <v>435</v>
      </c>
      <c r="O9" s="113" t="s">
        <v>436</v>
      </c>
      <c r="P9" s="113" t="s">
        <v>437</v>
      </c>
      <c r="Q9" s="113" t="s">
        <v>438</v>
      </c>
      <c r="R9" s="113" t="s">
        <v>0</v>
      </c>
      <c r="S9" s="113" t="s">
        <v>439</v>
      </c>
    </row>
    <row r="10">
      <c r="A10" s="31" t="s">
        <v>679</v>
      </c>
      <c r="B10" s="4" t="s">
        <v>30</v>
      </c>
      <c r="C10" s="31" t="s">
        <v>3446</v>
      </c>
      <c r="D10" s="31" t="s">
        <v>3447</v>
      </c>
      <c r="F10" s="29">
        <f>H26+H29+H32+H35+H38+H41</f>
        <v>12500</v>
      </c>
      <c r="G10" s="29">
        <v>50000.0</v>
      </c>
      <c r="H10" s="29">
        <v>-5000.0</v>
      </c>
      <c r="I10" s="322">
        <f>K12+K15+K17</f>
        <v>27300</v>
      </c>
      <c r="L10" s="323">
        <f>N12+N14+N17+N18+N21+N23+N25+N28+N30+N31+N32</f>
        <v>2272000</v>
      </c>
      <c r="O10" s="274" t="s">
        <v>748</v>
      </c>
      <c r="P10" s="122" t="s">
        <v>447</v>
      </c>
      <c r="Q10" s="122">
        <v>1.0</v>
      </c>
      <c r="R10" s="122">
        <f>Q10*1000</f>
        <v>1000</v>
      </c>
      <c r="S10" s="126">
        <f>Q10*20</f>
        <v>20</v>
      </c>
    </row>
    <row r="11">
      <c r="A11" s="31" t="s">
        <v>3448</v>
      </c>
      <c r="B11" s="4" t="s">
        <v>46</v>
      </c>
      <c r="C11" s="31" t="s">
        <v>3449</v>
      </c>
      <c r="D11" s="31" t="s">
        <v>3450</v>
      </c>
      <c r="F11" s="25"/>
      <c r="G11" s="31" t="s">
        <v>3451</v>
      </c>
      <c r="H11" s="87" t="s">
        <v>455</v>
      </c>
      <c r="I11" s="324" t="s">
        <v>456</v>
      </c>
      <c r="J11" s="324" t="s">
        <v>457</v>
      </c>
      <c r="K11" s="324" t="s">
        <v>0</v>
      </c>
      <c r="L11" s="324" t="s">
        <v>456</v>
      </c>
      <c r="M11" s="324" t="s">
        <v>457</v>
      </c>
      <c r="N11" s="324" t="s">
        <v>0</v>
      </c>
      <c r="P11" s="122" t="s">
        <v>523</v>
      </c>
      <c r="Q11" s="122">
        <v>1.0</v>
      </c>
      <c r="R11" s="126">
        <f>Q11*2000</f>
        <v>2000</v>
      </c>
      <c r="S11" s="126">
        <f>Q11*40</f>
        <v>40</v>
      </c>
    </row>
    <row r="12">
      <c r="A12" s="31" t="s">
        <v>3452</v>
      </c>
      <c r="B12" s="55" t="s">
        <v>48</v>
      </c>
      <c r="C12" s="31" t="s">
        <v>3453</v>
      </c>
      <c r="D12" s="31" t="s">
        <v>506</v>
      </c>
      <c r="G12" s="31" t="s">
        <v>3454</v>
      </c>
      <c r="H12" s="31" t="s">
        <v>3455</v>
      </c>
      <c r="I12" s="71" t="s">
        <v>3456</v>
      </c>
      <c r="J12" s="71" t="s">
        <v>1990</v>
      </c>
      <c r="K12" s="71">
        <f>9500+5400</f>
        <v>14900</v>
      </c>
      <c r="L12" s="71" t="s">
        <v>3457</v>
      </c>
      <c r="M12" s="71" t="s">
        <v>469</v>
      </c>
      <c r="N12" s="71">
        <v>8000.0</v>
      </c>
      <c r="P12" s="122" t="s">
        <v>511</v>
      </c>
      <c r="Q12" s="122">
        <v>0.5</v>
      </c>
      <c r="R12" s="126">
        <f>Q12*10000</f>
        <v>5000</v>
      </c>
      <c r="S12" s="126">
        <f>Q12*100</f>
        <v>50</v>
      </c>
    </row>
    <row r="13">
      <c r="A13" s="31" t="s">
        <v>3458</v>
      </c>
      <c r="B13" s="4" t="s">
        <v>60</v>
      </c>
      <c r="C13" s="31" t="s">
        <v>3459</v>
      </c>
      <c r="D13" s="31" t="s">
        <v>1904</v>
      </c>
      <c r="G13" s="31" t="s">
        <v>3460</v>
      </c>
      <c r="H13" s="31" t="s">
        <v>3461</v>
      </c>
      <c r="J13" s="33" t="s">
        <v>2272</v>
      </c>
      <c r="M13" s="71" t="s">
        <v>1953</v>
      </c>
      <c r="P13" s="122" t="s">
        <v>1488</v>
      </c>
      <c r="Q13" s="122">
        <v>0.5</v>
      </c>
      <c r="R13" s="126">
        <f>Q13*4000</f>
        <v>2000</v>
      </c>
      <c r="S13" s="126">
        <f>Q13*80</f>
        <v>40</v>
      </c>
    </row>
    <row r="14">
      <c r="A14" s="31" t="s">
        <v>3462</v>
      </c>
      <c r="B14" s="55" t="s">
        <v>69</v>
      </c>
      <c r="C14" s="31" t="s">
        <v>3463</v>
      </c>
      <c r="D14" s="31" t="s">
        <v>556</v>
      </c>
      <c r="G14" s="31" t="s">
        <v>637</v>
      </c>
      <c r="H14" s="31" t="s">
        <v>3464</v>
      </c>
      <c r="J14" s="33" t="s">
        <v>498</v>
      </c>
      <c r="L14" s="71" t="s">
        <v>3465</v>
      </c>
      <c r="M14" s="71" t="s">
        <v>1052</v>
      </c>
      <c r="N14" s="71">
        <v>24000.0</v>
      </c>
      <c r="P14" s="128" t="s">
        <v>470</v>
      </c>
      <c r="R14" s="129">
        <f t="shared" ref="R14:S14" si="1">R10+R11+R12+R13</f>
        <v>10000</v>
      </c>
      <c r="S14" s="129">
        <f t="shared" si="1"/>
        <v>150</v>
      </c>
    </row>
    <row r="15">
      <c r="A15" s="31" t="s">
        <v>3466</v>
      </c>
      <c r="B15" s="4" t="s">
        <v>60</v>
      </c>
      <c r="C15" s="31" t="s">
        <v>3467</v>
      </c>
      <c r="D15" s="31" t="s">
        <v>3468</v>
      </c>
      <c r="G15" s="31" t="s">
        <v>580</v>
      </c>
      <c r="H15" s="31" t="s">
        <v>3469</v>
      </c>
      <c r="I15" s="71" t="s">
        <v>3470</v>
      </c>
      <c r="J15" s="71" t="s">
        <v>1040</v>
      </c>
      <c r="K15" s="71">
        <v>3000.0</v>
      </c>
      <c r="M15" s="71" t="s">
        <v>3185</v>
      </c>
      <c r="O15" s="274" t="s">
        <v>3471</v>
      </c>
      <c r="P15" s="122" t="s">
        <v>590</v>
      </c>
      <c r="Q15" s="122">
        <v>0.5</v>
      </c>
      <c r="R15" s="126">
        <f>Q15*5000</f>
        <v>2500</v>
      </c>
      <c r="S15" s="126">
        <f>Q15*100</f>
        <v>50</v>
      </c>
    </row>
    <row r="16">
      <c r="A16" s="31" t="s">
        <v>3472</v>
      </c>
      <c r="C16" s="31" t="s">
        <v>3473</v>
      </c>
      <c r="G16" s="31" t="s">
        <v>3474</v>
      </c>
      <c r="H16" s="31" t="s">
        <v>3475</v>
      </c>
      <c r="J16" s="71" t="s">
        <v>489</v>
      </c>
      <c r="M16" s="71" t="s">
        <v>510</v>
      </c>
      <c r="P16" s="128" t="s">
        <v>470</v>
      </c>
      <c r="R16" s="129">
        <f t="shared" ref="R16:S16" si="2">R15</f>
        <v>2500</v>
      </c>
      <c r="S16" s="129">
        <f t="shared" si="2"/>
        <v>50</v>
      </c>
    </row>
    <row r="17">
      <c r="A17" s="31" t="s">
        <v>3476</v>
      </c>
      <c r="C17" s="31" t="s">
        <v>3477</v>
      </c>
      <c r="G17" s="31" t="s">
        <v>3478</v>
      </c>
      <c r="H17" s="31" t="s">
        <v>3479</v>
      </c>
      <c r="I17" s="71" t="s">
        <v>3480</v>
      </c>
      <c r="J17" s="71" t="s">
        <v>1040</v>
      </c>
      <c r="K17" s="71">
        <f>4000+5400</f>
        <v>9400</v>
      </c>
      <c r="L17" s="71" t="s">
        <v>630</v>
      </c>
      <c r="M17" s="4" t="s">
        <v>1963</v>
      </c>
      <c r="N17" s="71">
        <v>3000.0</v>
      </c>
      <c r="O17" s="325" t="s">
        <v>3481</v>
      </c>
      <c r="P17" s="122" t="s">
        <v>447</v>
      </c>
      <c r="Q17" s="122">
        <v>1.0</v>
      </c>
      <c r="R17" s="122">
        <f>Q17*1000</f>
        <v>1000</v>
      </c>
      <c r="S17" s="126">
        <f>Q17*20</f>
        <v>20</v>
      </c>
    </row>
    <row r="18">
      <c r="A18" s="31" t="s">
        <v>3482</v>
      </c>
      <c r="C18" s="31" t="s">
        <v>3483</v>
      </c>
      <c r="G18" s="31" t="s">
        <v>3484</v>
      </c>
      <c r="H18" s="31" t="s">
        <v>3485</v>
      </c>
      <c r="J18" s="71" t="s">
        <v>1406</v>
      </c>
      <c r="L18" s="71" t="s">
        <v>3486</v>
      </c>
      <c r="M18" s="71" t="s">
        <v>469</v>
      </c>
      <c r="N18" s="71">
        <v>10000.0</v>
      </c>
      <c r="P18" s="122" t="s">
        <v>511</v>
      </c>
      <c r="Q18" s="122">
        <v>0.5</v>
      </c>
      <c r="R18" s="126">
        <f>Q18*10000</f>
        <v>5000</v>
      </c>
      <c r="S18" s="126">
        <f>Q18*100</f>
        <v>50</v>
      </c>
    </row>
    <row r="19">
      <c r="A19" s="31" t="s">
        <v>3487</v>
      </c>
      <c r="C19" s="31" t="s">
        <v>3488</v>
      </c>
      <c r="G19" s="31" t="s">
        <v>1989</v>
      </c>
      <c r="H19" s="31" t="s">
        <v>3489</v>
      </c>
      <c r="J19" s="71" t="s">
        <v>489</v>
      </c>
      <c r="M19" s="4" t="s">
        <v>1963</v>
      </c>
      <c r="P19" s="122" t="s">
        <v>500</v>
      </c>
      <c r="Q19" s="122">
        <v>1.0</v>
      </c>
      <c r="R19" s="126">
        <f>Q19*3000</f>
        <v>3000</v>
      </c>
      <c r="S19" s="126">
        <f>Q19*40</f>
        <v>40</v>
      </c>
    </row>
    <row r="20">
      <c r="A20" s="31" t="s">
        <v>3490</v>
      </c>
      <c r="B20" s="33" t="s">
        <v>102</v>
      </c>
      <c r="C20" s="31" t="s">
        <v>3491</v>
      </c>
      <c r="J20" s="33" t="s">
        <v>498</v>
      </c>
      <c r="M20" s="71" t="s">
        <v>1035</v>
      </c>
      <c r="P20" s="128" t="s">
        <v>470</v>
      </c>
      <c r="R20" s="129">
        <f t="shared" ref="R20:S20" si="3">R18+R17+R19</f>
        <v>9000</v>
      </c>
      <c r="S20" s="129">
        <f t="shared" si="3"/>
        <v>110</v>
      </c>
    </row>
    <row r="21">
      <c r="A21" s="31" t="s">
        <v>3492</v>
      </c>
      <c r="B21" s="132">
        <v>200000.0</v>
      </c>
      <c r="L21" s="71" t="s">
        <v>3493</v>
      </c>
      <c r="M21" s="4" t="s">
        <v>1963</v>
      </c>
      <c r="N21" s="71">
        <v>4000.0</v>
      </c>
    </row>
    <row r="22">
      <c r="A22" s="31" t="s">
        <v>3494</v>
      </c>
      <c r="B22" s="31" t="s">
        <v>3495</v>
      </c>
      <c r="I22" s="4"/>
      <c r="J22" s="8"/>
      <c r="K22" s="8"/>
      <c r="M22" s="71" t="s">
        <v>1025</v>
      </c>
    </row>
    <row r="23">
      <c r="A23" s="31" t="s">
        <v>3496</v>
      </c>
      <c r="B23" s="31" t="s">
        <v>3497</v>
      </c>
      <c r="I23" s="8"/>
      <c r="J23" s="8"/>
      <c r="K23" s="8"/>
      <c r="L23" s="71" t="s">
        <v>3498</v>
      </c>
      <c r="M23" s="71" t="s">
        <v>469</v>
      </c>
      <c r="N23" s="71">
        <v>8000.0</v>
      </c>
    </row>
    <row r="24">
      <c r="A24" s="31" t="s">
        <v>3499</v>
      </c>
      <c r="F24" s="29" t="s">
        <v>594</v>
      </c>
      <c r="I24" s="8"/>
      <c r="J24" s="8"/>
      <c r="K24" s="8"/>
      <c r="M24" s="71" t="s">
        <v>1963</v>
      </c>
    </row>
    <row r="25">
      <c r="A25" s="31" t="s">
        <v>3500</v>
      </c>
      <c r="F25" s="134" t="s">
        <v>456</v>
      </c>
      <c r="G25" s="134" t="s">
        <v>457</v>
      </c>
      <c r="H25" s="134" t="s">
        <v>0</v>
      </c>
      <c r="I25" s="8"/>
      <c r="J25" s="8"/>
      <c r="K25" s="8"/>
      <c r="L25" s="71" t="s">
        <v>3501</v>
      </c>
      <c r="M25" s="71" t="s">
        <v>469</v>
      </c>
      <c r="N25" s="71">
        <v>11000.0</v>
      </c>
    </row>
    <row r="26">
      <c r="A26" s="31" t="s">
        <v>3502</v>
      </c>
      <c r="F26" s="71" t="s">
        <v>3503</v>
      </c>
      <c r="G26" s="71" t="s">
        <v>641</v>
      </c>
      <c r="H26" s="71">
        <v>7000.0</v>
      </c>
      <c r="I26" s="31"/>
      <c r="M26" s="71" t="s">
        <v>1953</v>
      </c>
    </row>
    <row r="27">
      <c r="A27" s="31" t="s">
        <v>3504</v>
      </c>
      <c r="G27" s="71" t="s">
        <v>621</v>
      </c>
      <c r="M27" s="71" t="s">
        <v>1963</v>
      </c>
    </row>
    <row r="28">
      <c r="A28" s="31" t="s">
        <v>3505</v>
      </c>
      <c r="G28" s="71" t="s">
        <v>625</v>
      </c>
      <c r="L28" s="71" t="s">
        <v>3506</v>
      </c>
      <c r="M28" s="71" t="s">
        <v>1953</v>
      </c>
      <c r="N28" s="71">
        <v>4000.0</v>
      </c>
    </row>
    <row r="29">
      <c r="A29" s="31" t="s">
        <v>3507</v>
      </c>
      <c r="F29" s="71" t="s">
        <v>3508</v>
      </c>
      <c r="G29" s="71" t="s">
        <v>650</v>
      </c>
      <c r="H29" s="71">
        <v>500.0</v>
      </c>
      <c r="M29" s="71" t="s">
        <v>572</v>
      </c>
    </row>
    <row r="30">
      <c r="A30" s="31" t="s">
        <v>3509</v>
      </c>
      <c r="G30" s="71" t="s">
        <v>644</v>
      </c>
      <c r="L30" s="4" t="s">
        <v>3510</v>
      </c>
      <c r="M30" s="33" t="s">
        <v>3511</v>
      </c>
      <c r="N30" s="4">
        <v>200000.0</v>
      </c>
    </row>
    <row r="31">
      <c r="G31" s="71" t="s">
        <v>652</v>
      </c>
      <c r="L31" s="33" t="s">
        <v>145</v>
      </c>
      <c r="N31" s="4">
        <v>1500000.0</v>
      </c>
    </row>
    <row r="32">
      <c r="F32" s="71" t="s">
        <v>3512</v>
      </c>
      <c r="G32" s="71" t="s">
        <v>631</v>
      </c>
      <c r="H32" s="71">
        <v>1500.0</v>
      </c>
      <c r="L32" s="33" t="s">
        <v>1090</v>
      </c>
      <c r="N32" s="78">
        <v>500000.0</v>
      </c>
    </row>
    <row r="33">
      <c r="G33" s="71" t="s">
        <v>644</v>
      </c>
    </row>
    <row r="34">
      <c r="G34" s="71" t="s">
        <v>652</v>
      </c>
    </row>
    <row r="35">
      <c r="F35" s="71" t="s">
        <v>3513</v>
      </c>
      <c r="G35" s="71" t="s">
        <v>631</v>
      </c>
      <c r="H35" s="71">
        <v>1500.0</v>
      </c>
    </row>
    <row r="36">
      <c r="G36" s="71" t="s">
        <v>635</v>
      </c>
    </row>
    <row r="37">
      <c r="G37" s="71" t="s">
        <v>613</v>
      </c>
    </row>
    <row r="38">
      <c r="F38" s="71" t="s">
        <v>3514</v>
      </c>
      <c r="G38" s="71" t="s">
        <v>650</v>
      </c>
      <c r="H38" s="71">
        <v>500.0</v>
      </c>
    </row>
    <row r="39">
      <c r="G39" s="71" t="s">
        <v>644</v>
      </c>
    </row>
    <row r="40">
      <c r="G40" s="71" t="s">
        <v>652</v>
      </c>
    </row>
    <row r="41">
      <c r="F41" s="71" t="s">
        <v>3515</v>
      </c>
      <c r="G41" s="71" t="s">
        <v>631</v>
      </c>
      <c r="H41" s="71">
        <v>1500.0</v>
      </c>
    </row>
    <row r="42">
      <c r="G42" s="71" t="s">
        <v>644</v>
      </c>
    </row>
    <row r="43">
      <c r="G43" s="71" t="s">
        <v>652</v>
      </c>
    </row>
    <row r="45">
      <c r="A45" s="47" t="s">
        <v>3516</v>
      </c>
    </row>
    <row r="46">
      <c r="A46" s="326">
        <f>A48+A70+A98+A120+A138+A159</f>
        <v>2522800</v>
      </c>
    </row>
    <row r="47">
      <c r="A47" s="90" t="s">
        <v>787</v>
      </c>
    </row>
    <row r="48">
      <c r="A48" s="90">
        <f>A51</f>
        <v>25150</v>
      </c>
    </row>
    <row r="49">
      <c r="A49" s="90">
        <v>2026.0</v>
      </c>
    </row>
    <row r="50">
      <c r="A50" s="90" t="s">
        <v>788</v>
      </c>
    </row>
    <row r="51">
      <c r="A51" s="90">
        <f>A54+B54+C54+D54+E54+F54+G54+H54</f>
        <v>25150</v>
      </c>
    </row>
    <row r="52">
      <c r="A52" s="50" t="s">
        <v>789</v>
      </c>
      <c r="B52" s="50" t="s">
        <v>790</v>
      </c>
      <c r="C52" s="50" t="s">
        <v>215</v>
      </c>
      <c r="D52" s="50" t="s">
        <v>791</v>
      </c>
      <c r="E52" s="50" t="s">
        <v>202</v>
      </c>
      <c r="F52" s="50" t="s">
        <v>792</v>
      </c>
      <c r="G52" s="50" t="s">
        <v>793</v>
      </c>
      <c r="H52" s="50" t="s">
        <v>205</v>
      </c>
    </row>
    <row r="53">
      <c r="A53" s="33" t="s">
        <v>377</v>
      </c>
      <c r="B53" s="33" t="s">
        <v>377</v>
      </c>
      <c r="C53" s="33" t="s">
        <v>377</v>
      </c>
      <c r="D53" s="33" t="s">
        <v>693</v>
      </c>
      <c r="E53" s="33" t="s">
        <v>377</v>
      </c>
      <c r="F53" s="33" t="s">
        <v>377</v>
      </c>
      <c r="G53" s="33" t="s">
        <v>693</v>
      </c>
      <c r="H53" s="33" t="s">
        <v>377</v>
      </c>
    </row>
    <row r="54">
      <c r="A54" s="327">
        <v>0.0</v>
      </c>
      <c r="B54" s="327">
        <v>0.0</v>
      </c>
      <c r="C54" s="327">
        <v>0.0</v>
      </c>
      <c r="D54" s="327">
        <v>0.0</v>
      </c>
      <c r="E54" s="99">
        <v>24400.0</v>
      </c>
      <c r="F54" s="99">
        <v>750.0</v>
      </c>
      <c r="G54" s="103">
        <v>0.0</v>
      </c>
      <c r="H54" s="103">
        <v>0.0</v>
      </c>
    </row>
    <row r="55">
      <c r="E55" s="45" t="s">
        <v>2724</v>
      </c>
      <c r="F55" s="31" t="s">
        <v>795</v>
      </c>
      <c r="G55" s="31" t="s">
        <v>3517</v>
      </c>
    </row>
    <row r="56">
      <c r="E56" s="31" t="s">
        <v>379</v>
      </c>
      <c r="F56" s="31" t="s">
        <v>379</v>
      </c>
      <c r="G56" s="31" t="s">
        <v>379</v>
      </c>
    </row>
    <row r="57">
      <c r="E57" s="31" t="s">
        <v>805</v>
      </c>
      <c r="F57" s="45" t="s">
        <v>3518</v>
      </c>
    </row>
    <row r="58">
      <c r="E58" s="31" t="s">
        <v>807</v>
      </c>
      <c r="F58" s="45" t="s">
        <v>379</v>
      </c>
    </row>
    <row r="59">
      <c r="E59" s="31" t="s">
        <v>806</v>
      </c>
      <c r="F59" s="45" t="s">
        <v>679</v>
      </c>
    </row>
    <row r="60">
      <c r="E60" s="31" t="s">
        <v>813</v>
      </c>
      <c r="F60" s="45" t="s">
        <v>379</v>
      </c>
    </row>
    <row r="61">
      <c r="F61" s="31" t="s">
        <v>807</v>
      </c>
    </row>
    <row r="62">
      <c r="F62" s="45" t="s">
        <v>3519</v>
      </c>
    </row>
    <row r="63">
      <c r="F63" s="45" t="s">
        <v>379</v>
      </c>
    </row>
    <row r="69">
      <c r="A69" s="328" t="s">
        <v>828</v>
      </c>
    </row>
    <row r="70">
      <c r="A70" s="328">
        <f>A73</f>
        <v>74200</v>
      </c>
    </row>
    <row r="71">
      <c r="A71" s="328">
        <v>2026.0</v>
      </c>
    </row>
    <row r="72">
      <c r="A72" s="328" t="s">
        <v>368</v>
      </c>
    </row>
    <row r="73">
      <c r="A73" s="329">
        <f>A76+B76+C76+D76+E76+F76+G76+H76+I76+J76</f>
        <v>74200</v>
      </c>
    </row>
    <row r="74">
      <c r="A74" s="103" t="s">
        <v>829</v>
      </c>
      <c r="B74" s="103" t="s">
        <v>830</v>
      </c>
      <c r="C74" s="103" t="s">
        <v>831</v>
      </c>
      <c r="D74" s="103" t="s">
        <v>832</v>
      </c>
      <c r="E74" s="103" t="s">
        <v>833</v>
      </c>
      <c r="F74" s="103" t="s">
        <v>834</v>
      </c>
      <c r="G74" s="103" t="s">
        <v>835</v>
      </c>
      <c r="H74" s="103" t="s">
        <v>836</v>
      </c>
      <c r="I74" s="139" t="s">
        <v>837</v>
      </c>
      <c r="J74" s="139" t="s">
        <v>838</v>
      </c>
    </row>
    <row r="75">
      <c r="A75" s="64" t="s">
        <v>377</v>
      </c>
      <c r="B75" s="64" t="s">
        <v>377</v>
      </c>
      <c r="C75" s="64" t="s">
        <v>377</v>
      </c>
      <c r="D75" s="64" t="s">
        <v>377</v>
      </c>
      <c r="E75" s="64" t="s">
        <v>377</v>
      </c>
      <c r="F75" s="64" t="s">
        <v>377</v>
      </c>
      <c r="G75" s="64" t="s">
        <v>377</v>
      </c>
      <c r="H75" s="64" t="s">
        <v>377</v>
      </c>
      <c r="I75" s="64" t="s">
        <v>377</v>
      </c>
      <c r="J75" s="64" t="s">
        <v>377</v>
      </c>
    </row>
    <row r="76">
      <c r="A76" s="99">
        <v>18000.0</v>
      </c>
      <c r="B76" s="99">
        <v>47200.0</v>
      </c>
      <c r="C76" s="103">
        <v>0.0</v>
      </c>
      <c r="D76" s="99">
        <v>3000.0</v>
      </c>
      <c r="E76" s="103">
        <v>0.0</v>
      </c>
      <c r="F76" s="103">
        <v>0.0</v>
      </c>
      <c r="G76" s="99">
        <v>6000.0</v>
      </c>
      <c r="H76" s="103">
        <v>0.0</v>
      </c>
      <c r="I76" s="103">
        <v>0.0</v>
      </c>
      <c r="J76" s="103">
        <v>0.0</v>
      </c>
    </row>
    <row r="77">
      <c r="A77" s="269" t="s">
        <v>3520</v>
      </c>
      <c r="B77" s="31" t="s">
        <v>840</v>
      </c>
      <c r="D77" s="31" t="s">
        <v>3521</v>
      </c>
      <c r="G77" s="31" t="s">
        <v>3522</v>
      </c>
    </row>
    <row r="78">
      <c r="A78" s="31" t="s">
        <v>718</v>
      </c>
      <c r="B78" s="31" t="s">
        <v>3523</v>
      </c>
      <c r="D78" s="31" t="s">
        <v>3523</v>
      </c>
      <c r="G78" s="31" t="s">
        <v>767</v>
      </c>
    </row>
    <row r="79">
      <c r="A79" s="269" t="s">
        <v>3524</v>
      </c>
      <c r="B79" s="31" t="s">
        <v>1196</v>
      </c>
      <c r="D79" s="31" t="s">
        <v>1195</v>
      </c>
    </row>
    <row r="80">
      <c r="A80" s="31" t="s">
        <v>704</v>
      </c>
      <c r="B80" s="31" t="s">
        <v>3523</v>
      </c>
      <c r="D80" s="31" t="s">
        <v>1199</v>
      </c>
    </row>
    <row r="81">
      <c r="A81" s="31" t="s">
        <v>1138</v>
      </c>
      <c r="B81" s="31" t="s">
        <v>3525</v>
      </c>
    </row>
    <row r="82">
      <c r="A82" s="31" t="s">
        <v>820</v>
      </c>
      <c r="B82" s="31" t="s">
        <v>907</v>
      </c>
    </row>
    <row r="83">
      <c r="A83" s="31" t="s">
        <v>3526</v>
      </c>
      <c r="B83" s="31" t="s">
        <v>3527</v>
      </c>
    </row>
    <row r="84">
      <c r="B84" s="31" t="s">
        <v>1247</v>
      </c>
    </row>
    <row r="85">
      <c r="B85" s="31" t="s">
        <v>3528</v>
      </c>
    </row>
    <row r="86">
      <c r="B86" s="31" t="s">
        <v>1232</v>
      </c>
    </row>
    <row r="87">
      <c r="B87" s="31" t="s">
        <v>3529</v>
      </c>
    </row>
    <row r="88">
      <c r="B88" s="31" t="s">
        <v>673</v>
      </c>
    </row>
    <row r="89">
      <c r="B89" s="31" t="s">
        <v>3530</v>
      </c>
    </row>
    <row r="90">
      <c r="B90" s="31" t="s">
        <v>703</v>
      </c>
    </row>
    <row r="91">
      <c r="B91" s="31" t="s">
        <v>662</v>
      </c>
    </row>
    <row r="92">
      <c r="B92" s="31" t="s">
        <v>844</v>
      </c>
    </row>
    <row r="93">
      <c r="B93" s="31" t="s">
        <v>3531</v>
      </c>
    </row>
    <row r="94">
      <c r="B94" s="31" t="s">
        <v>3532</v>
      </c>
    </row>
    <row r="95">
      <c r="B95" s="31" t="s">
        <v>1199</v>
      </c>
    </row>
    <row r="96">
      <c r="A96" s="96" t="s">
        <v>871</v>
      </c>
    </row>
    <row r="97">
      <c r="A97" s="97" t="s">
        <v>872</v>
      </c>
    </row>
    <row r="98">
      <c r="A98" s="97">
        <f>A101</f>
        <v>212000</v>
      </c>
    </row>
    <row r="99">
      <c r="A99" s="97">
        <v>2026.0</v>
      </c>
    </row>
    <row r="100">
      <c r="A100" s="97" t="s">
        <v>368</v>
      </c>
    </row>
    <row r="101">
      <c r="A101" s="98">
        <f>A104+B104+C104+D104+E104+F104+G104+H104+I104+J104</f>
        <v>212000</v>
      </c>
    </row>
    <row r="102">
      <c r="A102" s="50" t="s">
        <v>873</v>
      </c>
      <c r="B102" s="50" t="s">
        <v>874</v>
      </c>
      <c r="C102" s="50" t="s">
        <v>875</v>
      </c>
      <c r="D102" s="50" t="s">
        <v>876</v>
      </c>
      <c r="E102" s="50" t="s">
        <v>877</v>
      </c>
      <c r="F102" s="50" t="s">
        <v>878</v>
      </c>
      <c r="G102" s="94" t="s">
        <v>879</v>
      </c>
      <c r="H102" s="99" t="s">
        <v>880</v>
      </c>
      <c r="I102" s="99" t="s">
        <v>881</v>
      </c>
      <c r="J102" s="99" t="s">
        <v>882</v>
      </c>
    </row>
    <row r="103">
      <c r="A103" s="33" t="s">
        <v>377</v>
      </c>
      <c r="B103" s="33" t="s">
        <v>377</v>
      </c>
      <c r="C103" s="33" t="s">
        <v>377</v>
      </c>
      <c r="D103" s="33" t="s">
        <v>377</v>
      </c>
      <c r="E103" s="33" t="s">
        <v>377</v>
      </c>
      <c r="F103" s="33" t="s">
        <v>377</v>
      </c>
      <c r="G103" s="33" t="s">
        <v>377</v>
      </c>
      <c r="H103" s="64" t="s">
        <v>377</v>
      </c>
      <c r="I103" s="64" t="s">
        <v>377</v>
      </c>
      <c r="J103" s="64" t="s">
        <v>377</v>
      </c>
    </row>
    <row r="104">
      <c r="A104" s="50"/>
      <c r="B104" s="50"/>
      <c r="C104" s="50">
        <v>22000.0</v>
      </c>
      <c r="D104" s="50"/>
      <c r="E104" s="50">
        <v>19500.0</v>
      </c>
      <c r="F104" s="50">
        <v>24500.0</v>
      </c>
      <c r="G104" s="50">
        <v>30500.0</v>
      </c>
      <c r="H104" s="50"/>
      <c r="I104" s="50">
        <v>115500.0</v>
      </c>
      <c r="J104" s="50"/>
    </row>
    <row r="105">
      <c r="C105" s="31" t="s">
        <v>3533</v>
      </c>
      <c r="E105" s="31" t="s">
        <v>3078</v>
      </c>
      <c r="F105" s="31" t="s">
        <v>3521</v>
      </c>
      <c r="G105" s="31" t="s">
        <v>3534</v>
      </c>
      <c r="I105" s="31" t="s">
        <v>3535</v>
      </c>
    </row>
    <row r="106">
      <c r="C106" s="31" t="s">
        <v>820</v>
      </c>
      <c r="E106" s="31" t="s">
        <v>379</v>
      </c>
      <c r="F106" s="31" t="s">
        <v>848</v>
      </c>
      <c r="G106" s="31" t="s">
        <v>844</v>
      </c>
      <c r="I106" s="31" t="s">
        <v>1223</v>
      </c>
    </row>
    <row r="107">
      <c r="C107" s="31" t="s">
        <v>3335</v>
      </c>
      <c r="E107" s="31" t="s">
        <v>1226</v>
      </c>
      <c r="F107" s="31" t="s">
        <v>890</v>
      </c>
      <c r="G107" s="31" t="s">
        <v>3536</v>
      </c>
      <c r="I107" s="31" t="s">
        <v>3537</v>
      </c>
    </row>
    <row r="108">
      <c r="C108" s="31" t="s">
        <v>903</v>
      </c>
      <c r="E108" s="31" t="s">
        <v>3538</v>
      </c>
      <c r="F108" s="31" t="s">
        <v>898</v>
      </c>
      <c r="G108" s="31" t="s">
        <v>1813</v>
      </c>
      <c r="I108" s="31" t="s">
        <v>886</v>
      </c>
    </row>
    <row r="109">
      <c r="E109" s="31" t="s">
        <v>1247</v>
      </c>
      <c r="G109" s="31" t="s">
        <v>890</v>
      </c>
      <c r="I109" s="31" t="s">
        <v>1138</v>
      </c>
    </row>
    <row r="110">
      <c r="E110" s="31" t="s">
        <v>3539</v>
      </c>
      <c r="G110" s="31" t="s">
        <v>1226</v>
      </c>
      <c r="I110" s="31" t="s">
        <v>1826</v>
      </c>
    </row>
    <row r="111">
      <c r="E111" s="31" t="s">
        <v>677</v>
      </c>
      <c r="I111" s="31" t="s">
        <v>1226</v>
      </c>
    </row>
    <row r="112">
      <c r="E112" s="31" t="s">
        <v>3540</v>
      </c>
      <c r="I112" s="31" t="s">
        <v>3541</v>
      </c>
    </row>
    <row r="113">
      <c r="E113" s="31" t="s">
        <v>844</v>
      </c>
      <c r="I113" s="31" t="s">
        <v>1795</v>
      </c>
    </row>
    <row r="114">
      <c r="I114" s="31" t="s">
        <v>890</v>
      </c>
    </row>
    <row r="115">
      <c r="I115" s="31" t="s">
        <v>898</v>
      </c>
    </row>
    <row r="116">
      <c r="I116" s="31" t="s">
        <v>1226</v>
      </c>
    </row>
    <row r="117">
      <c r="I117" s="31" t="s">
        <v>3542</v>
      </c>
    </row>
    <row r="118">
      <c r="I118" s="31" t="s">
        <v>1232</v>
      </c>
    </row>
    <row r="119">
      <c r="A119" s="100" t="s">
        <v>913</v>
      </c>
      <c r="I119" s="31" t="s">
        <v>890</v>
      </c>
    </row>
    <row r="120">
      <c r="A120" s="100">
        <f>A123</f>
        <v>182200</v>
      </c>
      <c r="I120" s="31" t="s">
        <v>898</v>
      </c>
    </row>
    <row r="121">
      <c r="A121" s="100">
        <v>2026.0</v>
      </c>
      <c r="I121" s="31" t="s">
        <v>1226</v>
      </c>
    </row>
    <row r="122">
      <c r="A122" s="100" t="s">
        <v>368</v>
      </c>
      <c r="I122" s="31" t="s">
        <v>3543</v>
      </c>
    </row>
    <row r="123">
      <c r="A123" s="100">
        <f>A126+B126+C126+D126+E126+F126+G126+H126</f>
        <v>182200</v>
      </c>
      <c r="I123" s="31" t="s">
        <v>1232</v>
      </c>
    </row>
    <row r="124">
      <c r="A124" s="50" t="s">
        <v>914</v>
      </c>
      <c r="B124" s="50" t="s">
        <v>246</v>
      </c>
      <c r="C124" s="50" t="s">
        <v>247</v>
      </c>
      <c r="D124" s="50" t="s">
        <v>249</v>
      </c>
      <c r="E124" s="50" t="s">
        <v>915</v>
      </c>
      <c r="F124" s="50" t="s">
        <v>916</v>
      </c>
      <c r="G124" s="50" t="s">
        <v>253</v>
      </c>
      <c r="H124" s="50" t="s">
        <v>252</v>
      </c>
    </row>
    <row r="125">
      <c r="A125" s="33" t="s">
        <v>377</v>
      </c>
      <c r="B125" s="33" t="s">
        <v>377</v>
      </c>
      <c r="C125" s="33" t="s">
        <v>377</v>
      </c>
      <c r="D125" s="33" t="s">
        <v>377</v>
      </c>
      <c r="E125" s="33" t="s">
        <v>377</v>
      </c>
      <c r="F125" s="33" t="s">
        <v>377</v>
      </c>
      <c r="G125" s="33" t="s">
        <v>377</v>
      </c>
      <c r="H125" s="33" t="s">
        <v>377</v>
      </c>
    </row>
    <row r="126">
      <c r="A126" s="50">
        <v>1000.0</v>
      </c>
      <c r="B126" s="50">
        <v>0.0</v>
      </c>
      <c r="C126" s="50">
        <f>8000+12400</f>
        <v>20400</v>
      </c>
      <c r="D126" s="50">
        <f>11500+(2*44400)</f>
        <v>100300</v>
      </c>
      <c r="E126" s="50">
        <v>27000.0</v>
      </c>
      <c r="F126" s="50">
        <v>1000.0</v>
      </c>
      <c r="G126" s="50">
        <v>32500.0</v>
      </c>
      <c r="H126" s="50">
        <v>0.0</v>
      </c>
    </row>
    <row r="127">
      <c r="A127" s="31" t="s">
        <v>3544</v>
      </c>
      <c r="C127" s="31" t="s">
        <v>3067</v>
      </c>
      <c r="D127" s="31" t="s">
        <v>3533</v>
      </c>
      <c r="E127" s="31" t="s">
        <v>3545</v>
      </c>
      <c r="F127" s="31" t="s">
        <v>3546</v>
      </c>
      <c r="G127" s="31" t="s">
        <v>3547</v>
      </c>
    </row>
    <row r="128">
      <c r="A128" s="31" t="s">
        <v>677</v>
      </c>
      <c r="C128" s="31" t="s">
        <v>779</v>
      </c>
      <c r="D128" s="31" t="s">
        <v>677</v>
      </c>
      <c r="E128" s="31" t="s">
        <v>886</v>
      </c>
      <c r="F128" s="31" t="s">
        <v>677</v>
      </c>
      <c r="G128" s="31" t="s">
        <v>885</v>
      </c>
    </row>
    <row r="129">
      <c r="C129" s="31" t="s">
        <v>1836</v>
      </c>
      <c r="D129" s="31" t="s">
        <v>1612</v>
      </c>
      <c r="E129" s="31" t="s">
        <v>1179</v>
      </c>
      <c r="G129" s="31" t="s">
        <v>920</v>
      </c>
    </row>
    <row r="130">
      <c r="D130" s="31" t="s">
        <v>1613</v>
      </c>
      <c r="E130" s="31" t="s">
        <v>885</v>
      </c>
      <c r="G130" s="31" t="s">
        <v>1834</v>
      </c>
    </row>
    <row r="131">
      <c r="D131" s="31" t="s">
        <v>2534</v>
      </c>
      <c r="G131" s="31" t="s">
        <v>3548</v>
      </c>
    </row>
    <row r="132">
      <c r="D132" s="31" t="s">
        <v>779</v>
      </c>
      <c r="G132" s="31" t="s">
        <v>704</v>
      </c>
    </row>
    <row r="133">
      <c r="D133" s="31" t="s">
        <v>1612</v>
      </c>
      <c r="G133" s="31" t="s">
        <v>920</v>
      </c>
    </row>
    <row r="134">
      <c r="D134" s="31" t="s">
        <v>1613</v>
      </c>
      <c r="G134" s="31" t="s">
        <v>1612</v>
      </c>
    </row>
    <row r="137">
      <c r="A137" s="205" t="s">
        <v>928</v>
      </c>
    </row>
    <row r="138">
      <c r="A138" s="205">
        <f>A141</f>
        <v>597000</v>
      </c>
    </row>
    <row r="139">
      <c r="A139" s="205">
        <v>2026.0</v>
      </c>
    </row>
    <row r="140">
      <c r="A140" s="205" t="s">
        <v>368</v>
      </c>
    </row>
    <row r="141">
      <c r="A141" s="206">
        <f>A144+B144+C144+D144+E144+F144+G144+H144+I144+J144</f>
        <v>597000</v>
      </c>
    </row>
    <row r="142">
      <c r="A142" s="103" t="s">
        <v>929</v>
      </c>
      <c r="B142" s="103" t="s">
        <v>930</v>
      </c>
      <c r="C142" s="103" t="s">
        <v>931</v>
      </c>
      <c r="D142" s="103" t="s">
        <v>932</v>
      </c>
      <c r="E142" s="103" t="s">
        <v>933</v>
      </c>
      <c r="F142" s="103" t="s">
        <v>934</v>
      </c>
      <c r="G142" s="103" t="s">
        <v>935</v>
      </c>
      <c r="H142" s="103" t="s">
        <v>936</v>
      </c>
      <c r="I142" s="103" t="s">
        <v>937</v>
      </c>
      <c r="J142" s="103" t="s">
        <v>938</v>
      </c>
    </row>
    <row r="143">
      <c r="A143" s="64" t="s">
        <v>377</v>
      </c>
      <c r="B143" s="64" t="s">
        <v>377</v>
      </c>
      <c r="C143" s="64" t="s">
        <v>377</v>
      </c>
      <c r="D143" s="64" t="s">
        <v>377</v>
      </c>
      <c r="E143" s="64" t="s">
        <v>377</v>
      </c>
      <c r="F143" s="64" t="s">
        <v>377</v>
      </c>
      <c r="G143" s="64" t="s">
        <v>377</v>
      </c>
      <c r="H143" s="64" t="s">
        <v>377</v>
      </c>
      <c r="I143" s="64" t="s">
        <v>377</v>
      </c>
      <c r="J143" s="64" t="s">
        <v>377</v>
      </c>
    </row>
    <row r="144">
      <c r="A144" s="99">
        <v>32000.0</v>
      </c>
      <c r="B144" s="103">
        <v>0.0</v>
      </c>
      <c r="C144" s="99">
        <v>15000.0</v>
      </c>
      <c r="D144" s="99">
        <f>45000+114000</f>
        <v>159000</v>
      </c>
      <c r="E144" s="103">
        <v>0.0</v>
      </c>
      <c r="F144" s="103">
        <v>0.0</v>
      </c>
      <c r="G144" s="99">
        <v>127000.0</v>
      </c>
      <c r="H144" s="99">
        <v>205000.0</v>
      </c>
      <c r="I144" s="103">
        <v>0.0</v>
      </c>
      <c r="J144" s="99">
        <f>2000+57000</f>
        <v>59000</v>
      </c>
    </row>
    <row r="145">
      <c r="A145" s="31" t="s">
        <v>3503</v>
      </c>
      <c r="C145" s="31" t="s">
        <v>3078</v>
      </c>
      <c r="D145" s="31" t="s">
        <v>3544</v>
      </c>
      <c r="G145" s="31" t="s">
        <v>3520</v>
      </c>
      <c r="H145" s="31" t="s">
        <v>1155</v>
      </c>
      <c r="J145" s="31" t="s">
        <v>3549</v>
      </c>
    </row>
    <row r="146">
      <c r="A146" s="31" t="s">
        <v>951</v>
      </c>
      <c r="C146" s="31" t="s">
        <v>1316</v>
      </c>
      <c r="D146" s="31" t="s">
        <v>1831</v>
      </c>
      <c r="G146" s="31" t="s">
        <v>826</v>
      </c>
      <c r="H146" s="31" t="s">
        <v>1236</v>
      </c>
      <c r="J146" s="31" t="s">
        <v>826</v>
      </c>
    </row>
    <row r="147">
      <c r="A147" s="31" t="s">
        <v>764</v>
      </c>
      <c r="D147" s="76" t="s">
        <v>1853</v>
      </c>
      <c r="G147" s="31" t="s">
        <v>2534</v>
      </c>
      <c r="H147" s="31" t="s">
        <v>1179</v>
      </c>
      <c r="J147" s="76" t="s">
        <v>946</v>
      </c>
    </row>
    <row r="148">
      <c r="A148" s="31" t="s">
        <v>826</v>
      </c>
      <c r="G148" s="31" t="s">
        <v>2599</v>
      </c>
      <c r="H148" s="31" t="s">
        <v>942</v>
      </c>
    </row>
    <row r="149">
      <c r="G149" s="31" t="s">
        <v>944</v>
      </c>
      <c r="H149" s="31" t="s">
        <v>3550</v>
      </c>
    </row>
    <row r="150">
      <c r="G150" s="31" t="s">
        <v>945</v>
      </c>
      <c r="H150" s="31" t="s">
        <v>3551</v>
      </c>
    </row>
    <row r="151">
      <c r="G151" s="31" t="s">
        <v>3552</v>
      </c>
      <c r="H151" s="31" t="s">
        <v>3553</v>
      </c>
    </row>
    <row r="152">
      <c r="G152" s="31" t="s">
        <v>2599</v>
      </c>
      <c r="H152" s="31" t="s">
        <v>826</v>
      </c>
    </row>
    <row r="153">
      <c r="G153" s="31" t="s">
        <v>723</v>
      </c>
      <c r="H153" s="31" t="s">
        <v>3554</v>
      </c>
    </row>
    <row r="154">
      <c r="G154" s="31" t="s">
        <v>1606</v>
      </c>
      <c r="H154" s="31" t="s">
        <v>826</v>
      </c>
    </row>
    <row r="158">
      <c r="A158" s="48" t="s">
        <v>367</v>
      </c>
    </row>
    <row r="159">
      <c r="A159" s="49">
        <f>A162</f>
        <v>1432250</v>
      </c>
    </row>
    <row r="160">
      <c r="A160" s="49">
        <v>2026.0</v>
      </c>
    </row>
    <row r="161">
      <c r="A161" s="49" t="s">
        <v>368</v>
      </c>
    </row>
    <row r="162">
      <c r="A162" s="49">
        <f>A165+B165+C165+D165+E165+F165+G165+H165</f>
        <v>1432250</v>
      </c>
    </row>
    <row r="163">
      <c r="A163" s="33" t="s">
        <v>369</v>
      </c>
      <c r="B163" s="33" t="s">
        <v>370</v>
      </c>
      <c r="C163" s="33" t="s">
        <v>371</v>
      </c>
      <c r="D163" s="33" t="s">
        <v>372</v>
      </c>
      <c r="E163" s="33" t="s">
        <v>373</v>
      </c>
      <c r="F163" s="33" t="s">
        <v>374</v>
      </c>
      <c r="G163" s="33" t="s">
        <v>375</v>
      </c>
      <c r="H163" s="33" t="s">
        <v>376</v>
      </c>
      <c r="I163" s="103"/>
      <c r="J163" s="103"/>
    </row>
    <row r="164">
      <c r="A164" s="33" t="s">
        <v>377</v>
      </c>
      <c r="B164" s="33" t="s">
        <v>377</v>
      </c>
      <c r="C164" s="33" t="s">
        <v>377</v>
      </c>
      <c r="D164" s="33" t="s">
        <v>377</v>
      </c>
      <c r="E164" s="33" t="s">
        <v>377</v>
      </c>
      <c r="F164" s="33" t="s">
        <v>377</v>
      </c>
      <c r="G164" s="33" t="s">
        <v>377</v>
      </c>
      <c r="H164" s="33" t="s">
        <v>377</v>
      </c>
    </row>
    <row r="165">
      <c r="A165" s="50">
        <f>32000+59825</f>
        <v>91825</v>
      </c>
      <c r="B165" s="50">
        <f>85000+33725</f>
        <v>118725</v>
      </c>
      <c r="C165" s="50">
        <v>450000.0</v>
      </c>
      <c r="D165" s="50">
        <v>0.0</v>
      </c>
      <c r="E165" s="50">
        <v>0.0</v>
      </c>
      <c r="F165" s="50">
        <v>0.0</v>
      </c>
      <c r="G165" s="50">
        <f>265000+(119175*4)</f>
        <v>741700</v>
      </c>
      <c r="H165" s="50">
        <v>30000.0</v>
      </c>
    </row>
    <row r="166">
      <c r="A166" s="31" t="s">
        <v>1603</v>
      </c>
      <c r="B166" s="31" t="s">
        <v>746</v>
      </c>
      <c r="C166" s="31" t="s">
        <v>3078</v>
      </c>
      <c r="G166" s="31" t="s">
        <v>1155</v>
      </c>
      <c r="H166" s="31" t="s">
        <v>3544</v>
      </c>
    </row>
    <row r="167">
      <c r="A167" s="31" t="s">
        <v>826</v>
      </c>
      <c r="B167" s="31" t="s">
        <v>2862</v>
      </c>
      <c r="C167" s="31" t="s">
        <v>1236</v>
      </c>
      <c r="G167" s="31" t="s">
        <v>2858</v>
      </c>
      <c r="H167" s="31" t="s">
        <v>951</v>
      </c>
    </row>
    <row r="168">
      <c r="A168" s="31" t="s">
        <v>380</v>
      </c>
      <c r="B168" s="76" t="s">
        <v>955</v>
      </c>
      <c r="C168" s="31" t="s">
        <v>380</v>
      </c>
      <c r="G168" s="76" t="s">
        <v>958</v>
      </c>
    </row>
    <row r="169">
      <c r="A169" s="31" t="s">
        <v>1240</v>
      </c>
      <c r="C169" s="31" t="s">
        <v>1240</v>
      </c>
      <c r="G169" s="31" t="s">
        <v>3518</v>
      </c>
    </row>
    <row r="170">
      <c r="A170" s="76" t="s">
        <v>954</v>
      </c>
      <c r="C170" s="31" t="s">
        <v>1179</v>
      </c>
      <c r="G170" s="31" t="s">
        <v>918</v>
      </c>
    </row>
    <row r="171">
      <c r="C171" s="31" t="s">
        <v>1841</v>
      </c>
      <c r="G171" s="31" t="s">
        <v>380</v>
      </c>
    </row>
    <row r="172">
      <c r="C172" s="31" t="s">
        <v>3555</v>
      </c>
      <c r="G172" s="31" t="s">
        <v>1240</v>
      </c>
    </row>
    <row r="173">
      <c r="C173" s="31" t="s">
        <v>1832</v>
      </c>
      <c r="G173" s="76" t="s">
        <v>958</v>
      </c>
    </row>
    <row r="174">
      <c r="A174" s="75"/>
      <c r="B174" s="75"/>
      <c r="C174" s="31" t="s">
        <v>381</v>
      </c>
      <c r="D174" s="75"/>
      <c r="E174" s="105"/>
      <c r="F174" s="105"/>
      <c r="G174" s="31" t="s">
        <v>3556</v>
      </c>
      <c r="H174" s="75"/>
      <c r="I174" s="105"/>
    </row>
    <row r="175">
      <c r="A175" s="75"/>
      <c r="B175" s="105"/>
      <c r="C175" s="31" t="s">
        <v>3557</v>
      </c>
      <c r="D175" s="75"/>
      <c r="E175" s="105"/>
      <c r="F175" s="105"/>
      <c r="G175" s="31" t="s">
        <v>2862</v>
      </c>
      <c r="H175" s="75"/>
      <c r="I175" s="105"/>
    </row>
    <row r="176">
      <c r="A176" s="105"/>
      <c r="B176" s="105"/>
      <c r="C176" s="31" t="s">
        <v>1841</v>
      </c>
      <c r="D176" s="75"/>
      <c r="E176" s="105"/>
      <c r="F176" s="105"/>
      <c r="G176" s="31" t="s">
        <v>944</v>
      </c>
      <c r="H176" s="75"/>
      <c r="I176" s="105"/>
    </row>
    <row r="177">
      <c r="A177" s="105"/>
      <c r="B177" s="105"/>
      <c r="C177" s="75" t="s">
        <v>945</v>
      </c>
      <c r="D177" s="75"/>
      <c r="E177" s="105"/>
      <c r="F177" s="105"/>
      <c r="G177" s="75" t="s">
        <v>3132</v>
      </c>
      <c r="H177" s="75"/>
      <c r="I177" s="105"/>
    </row>
    <row r="178">
      <c r="A178" s="105"/>
      <c r="B178" s="105"/>
      <c r="C178" s="75" t="s">
        <v>3558</v>
      </c>
      <c r="D178" s="105"/>
      <c r="E178" s="105"/>
      <c r="F178" s="105"/>
      <c r="G178" s="76" t="s">
        <v>958</v>
      </c>
      <c r="H178" s="105"/>
      <c r="I178" s="105"/>
    </row>
    <row r="179">
      <c r="A179" s="105"/>
      <c r="B179" s="105"/>
      <c r="C179" s="75" t="s">
        <v>848</v>
      </c>
      <c r="D179" s="105"/>
      <c r="E179" s="105"/>
      <c r="F179" s="105"/>
      <c r="G179" s="75" t="s">
        <v>3559</v>
      </c>
      <c r="H179" s="105"/>
      <c r="I179" s="105"/>
    </row>
    <row r="180">
      <c r="A180" s="105"/>
      <c r="B180" s="105"/>
      <c r="C180" s="75" t="s">
        <v>3560</v>
      </c>
      <c r="D180" s="105"/>
      <c r="E180" s="105"/>
      <c r="F180" s="105"/>
      <c r="G180" s="75" t="s">
        <v>379</v>
      </c>
      <c r="H180" s="105"/>
      <c r="I180" s="105"/>
    </row>
    <row r="181">
      <c r="A181" s="105"/>
      <c r="B181" s="105"/>
      <c r="C181" s="75" t="s">
        <v>1252</v>
      </c>
      <c r="D181" s="105"/>
      <c r="E181" s="105"/>
      <c r="F181" s="105"/>
      <c r="G181" s="76" t="s">
        <v>958</v>
      </c>
      <c r="H181" s="105"/>
      <c r="I181" s="105"/>
    </row>
    <row r="182">
      <c r="C182" s="75" t="s">
        <v>945</v>
      </c>
    </row>
  </sheetData>
  <mergeCells count="92">
    <mergeCell ref="H29:H31"/>
    <mergeCell ref="H32:H34"/>
    <mergeCell ref="F38:F40"/>
    <mergeCell ref="H38:H40"/>
    <mergeCell ref="F41:F43"/>
    <mergeCell ref="H41:H43"/>
    <mergeCell ref="K15:K16"/>
    <mergeCell ref="K17:K20"/>
    <mergeCell ref="F24:H24"/>
    <mergeCell ref="F26:F28"/>
    <mergeCell ref="H26:H28"/>
    <mergeCell ref="F29:F31"/>
    <mergeCell ref="F32:F34"/>
    <mergeCell ref="F35:F37"/>
    <mergeCell ref="H35:H37"/>
    <mergeCell ref="A45:H45"/>
    <mergeCell ref="A46:H46"/>
    <mergeCell ref="A47:H47"/>
    <mergeCell ref="A48:H48"/>
    <mergeCell ref="A49:H49"/>
    <mergeCell ref="A50:H50"/>
    <mergeCell ref="A51:H51"/>
    <mergeCell ref="A69:J69"/>
    <mergeCell ref="A70:J70"/>
    <mergeCell ref="A71:J71"/>
    <mergeCell ref="A72:J72"/>
    <mergeCell ref="A73:J73"/>
    <mergeCell ref="A140:J140"/>
    <mergeCell ref="A141:J141"/>
    <mergeCell ref="A158:H158"/>
    <mergeCell ref="A159:H159"/>
    <mergeCell ref="A160:H160"/>
    <mergeCell ref="A161:H161"/>
    <mergeCell ref="A162:H162"/>
    <mergeCell ref="A120:H120"/>
    <mergeCell ref="A121:H121"/>
    <mergeCell ref="A122:H122"/>
    <mergeCell ref="A123:H123"/>
    <mergeCell ref="A137:J137"/>
    <mergeCell ref="A138:J138"/>
    <mergeCell ref="A139:J139"/>
    <mergeCell ref="A1:S1"/>
    <mergeCell ref="A2:S2"/>
    <mergeCell ref="A3:S3"/>
    <mergeCell ref="A4:S4"/>
    <mergeCell ref="A5:S5"/>
    <mergeCell ref="A6:S6"/>
    <mergeCell ref="F7:H7"/>
    <mergeCell ref="O7:S7"/>
    <mergeCell ref="I7:K7"/>
    <mergeCell ref="L7:N7"/>
    <mergeCell ref="F8:H8"/>
    <mergeCell ref="I8:K8"/>
    <mergeCell ref="L8:N8"/>
    <mergeCell ref="O8:S8"/>
    <mergeCell ref="L9:N9"/>
    <mergeCell ref="I9:K9"/>
    <mergeCell ref="I10:K10"/>
    <mergeCell ref="L10:N10"/>
    <mergeCell ref="O10:O14"/>
    <mergeCell ref="I12:I14"/>
    <mergeCell ref="K12:K14"/>
    <mergeCell ref="N12:N13"/>
    <mergeCell ref="P14:Q14"/>
    <mergeCell ref="L14:L16"/>
    <mergeCell ref="L18:L20"/>
    <mergeCell ref="L21:L22"/>
    <mergeCell ref="L23:L24"/>
    <mergeCell ref="L25:L27"/>
    <mergeCell ref="L28:L29"/>
    <mergeCell ref="L31:M31"/>
    <mergeCell ref="L32:M32"/>
    <mergeCell ref="O17:O20"/>
    <mergeCell ref="P20:Q20"/>
    <mergeCell ref="N21:N22"/>
    <mergeCell ref="N23:N24"/>
    <mergeCell ref="N25:N27"/>
    <mergeCell ref="N28:N29"/>
    <mergeCell ref="L12:L13"/>
    <mergeCell ref="N14:N16"/>
    <mergeCell ref="I15:I16"/>
    <mergeCell ref="O15:O16"/>
    <mergeCell ref="P16:Q16"/>
    <mergeCell ref="I17:I20"/>
    <mergeCell ref="N18:N20"/>
    <mergeCell ref="A96:J96"/>
    <mergeCell ref="A97:J97"/>
    <mergeCell ref="A98:J98"/>
    <mergeCell ref="A99:J99"/>
    <mergeCell ref="A100:J100"/>
    <mergeCell ref="A101:J101"/>
    <mergeCell ref="A119:H119"/>
  </mergeCells>
  <hyperlinks>
    <hyperlink r:id="rId1" ref="A4"/>
    <hyperlink r:id="rId2" ref="A5"/>
  </hyperlinks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5.13"/>
    <col customWidth="1" min="3" max="3" width="23.5"/>
    <col customWidth="1" min="4" max="4" width="33.0"/>
    <col customWidth="1" min="5" max="5" width="37.0"/>
    <col customWidth="1" min="6" max="6" width="39.88"/>
    <col customWidth="1" min="7" max="7" width="17.38"/>
    <col customWidth="1" min="8" max="8" width="24.5"/>
  </cols>
  <sheetData>
    <row r="1">
      <c r="A1" s="63" t="s">
        <v>3561</v>
      </c>
    </row>
    <row r="2">
      <c r="A2" s="63" t="s">
        <v>3562</v>
      </c>
    </row>
    <row r="3">
      <c r="A3" s="330" t="s">
        <v>338</v>
      </c>
    </row>
    <row r="4">
      <c r="A4" s="331">
        <f>100000+B6+A25+G6+D6+C6+F6+F11</f>
        <v>134000</v>
      </c>
    </row>
    <row r="5">
      <c r="A5" s="33" t="s">
        <v>339</v>
      </c>
      <c r="B5" s="33" t="s">
        <v>340</v>
      </c>
      <c r="C5" s="33" t="s">
        <v>341</v>
      </c>
      <c r="D5" s="33" t="s">
        <v>342</v>
      </c>
      <c r="E5" s="33" t="s">
        <v>344</v>
      </c>
      <c r="F5" s="25" t="s">
        <v>386</v>
      </c>
      <c r="G5" s="332" t="s">
        <v>422</v>
      </c>
    </row>
    <row r="6">
      <c r="A6" s="31" t="s">
        <v>3563</v>
      </c>
      <c r="B6" s="285">
        <v>15000.0</v>
      </c>
      <c r="C6" s="333">
        <v>-30000.0</v>
      </c>
      <c r="D6" s="333">
        <v>0.0</v>
      </c>
      <c r="E6" s="31" t="s">
        <v>3564</v>
      </c>
      <c r="F6" s="334">
        <v>1000.0</v>
      </c>
      <c r="G6" s="335">
        <f>J11</f>
        <v>18000</v>
      </c>
    </row>
    <row r="7">
      <c r="A7" s="31" t="s">
        <v>2861</v>
      </c>
      <c r="B7" s="31" t="s">
        <v>3565</v>
      </c>
      <c r="C7" s="55" t="s">
        <v>349</v>
      </c>
      <c r="D7" s="31" t="s">
        <v>3566</v>
      </c>
      <c r="E7" s="31" t="s">
        <v>3567</v>
      </c>
      <c r="F7" s="31" t="s">
        <v>2119</v>
      </c>
      <c r="G7" s="19" t="s">
        <v>436</v>
      </c>
      <c r="H7" s="19" t="s">
        <v>437</v>
      </c>
      <c r="I7" s="19" t="s">
        <v>438</v>
      </c>
      <c r="J7" s="19" t="s">
        <v>0</v>
      </c>
      <c r="K7" s="19" t="s">
        <v>439</v>
      </c>
    </row>
    <row r="8">
      <c r="A8" s="31" t="s">
        <v>3568</v>
      </c>
      <c r="B8" s="31" t="s">
        <v>3569</v>
      </c>
      <c r="C8" s="4" t="s">
        <v>3570</v>
      </c>
      <c r="D8" s="31" t="s">
        <v>3571</v>
      </c>
      <c r="G8" s="336" t="s">
        <v>3572</v>
      </c>
      <c r="H8" s="26" t="s">
        <v>447</v>
      </c>
      <c r="I8" s="26">
        <v>1.0</v>
      </c>
      <c r="J8" s="26">
        <f>I8*1000</f>
        <v>1000</v>
      </c>
      <c r="K8" s="9">
        <f>I8*20</f>
        <v>20</v>
      </c>
    </row>
    <row r="9">
      <c r="A9" s="31" t="s">
        <v>3573</v>
      </c>
      <c r="B9" s="31" t="s">
        <v>3574</v>
      </c>
      <c r="C9" s="55" t="s">
        <v>48</v>
      </c>
      <c r="D9" s="31" t="s">
        <v>3575</v>
      </c>
      <c r="H9" s="26" t="s">
        <v>500</v>
      </c>
      <c r="I9" s="26">
        <v>5.0</v>
      </c>
      <c r="J9" s="9">
        <f>I9*3000</f>
        <v>15000</v>
      </c>
      <c r="K9" s="9">
        <f t="shared" ref="K9:K10" si="1">I9*40</f>
        <v>200</v>
      </c>
    </row>
    <row r="10">
      <c r="A10" s="31" t="s">
        <v>3576</v>
      </c>
      <c r="B10" s="31" t="s">
        <v>3577</v>
      </c>
      <c r="C10" s="4" t="s">
        <v>60</v>
      </c>
      <c r="D10" s="31" t="s">
        <v>3578</v>
      </c>
      <c r="F10" s="33" t="s">
        <v>400</v>
      </c>
      <c r="H10" s="26" t="s">
        <v>523</v>
      </c>
      <c r="I10" s="26">
        <v>1.0</v>
      </c>
      <c r="J10" s="9">
        <f>I10*2000</f>
        <v>2000</v>
      </c>
      <c r="K10" s="9">
        <f t="shared" si="1"/>
        <v>40</v>
      </c>
    </row>
    <row r="11">
      <c r="A11" s="31" t="s">
        <v>3579</v>
      </c>
      <c r="B11" s="31" t="s">
        <v>3580</v>
      </c>
      <c r="C11" s="55" t="s">
        <v>69</v>
      </c>
      <c r="D11" s="31" t="s">
        <v>3581</v>
      </c>
      <c r="F11" s="334">
        <v>0.0</v>
      </c>
      <c r="H11" s="17" t="s">
        <v>470</v>
      </c>
      <c r="J11" s="67">
        <f t="shared" ref="J11:K11" si="2">J9+J8+J10</f>
        <v>18000</v>
      </c>
      <c r="K11" s="67">
        <f t="shared" si="2"/>
        <v>260</v>
      </c>
    </row>
    <row r="12">
      <c r="A12" s="31" t="s">
        <v>3582</v>
      </c>
      <c r="B12" s="31" t="s">
        <v>3583</v>
      </c>
      <c r="C12" s="4" t="s">
        <v>60</v>
      </c>
    </row>
    <row r="13">
      <c r="A13" s="31" t="s">
        <v>3584</v>
      </c>
      <c r="B13" s="31" t="s">
        <v>3585</v>
      </c>
      <c r="C13" s="4"/>
    </row>
    <row r="14">
      <c r="A14" s="31" t="s">
        <v>3586</v>
      </c>
      <c r="B14" s="31" t="s">
        <v>3587</v>
      </c>
      <c r="C14" s="4"/>
    </row>
    <row r="15">
      <c r="A15" s="31" t="s">
        <v>3588</v>
      </c>
      <c r="B15" s="31" t="s">
        <v>3589</v>
      </c>
    </row>
    <row r="16">
      <c r="A16" s="31" t="s">
        <v>3590</v>
      </c>
      <c r="B16" s="31" t="s">
        <v>3591</v>
      </c>
    </row>
    <row r="17">
      <c r="A17" s="31" t="s">
        <v>3592</v>
      </c>
      <c r="B17" s="31" t="s">
        <v>3593</v>
      </c>
    </row>
    <row r="18">
      <c r="A18" s="31" t="s">
        <v>3594</v>
      </c>
      <c r="B18" s="31" t="s">
        <v>3595</v>
      </c>
    </row>
    <row r="19">
      <c r="A19" s="31" t="s">
        <v>3596</v>
      </c>
    </row>
    <row r="20">
      <c r="A20" s="31" t="s">
        <v>3597</v>
      </c>
    </row>
    <row r="21">
      <c r="A21" s="31" t="s">
        <v>3598</v>
      </c>
    </row>
    <row r="24">
      <c r="A24" s="47" t="s">
        <v>366</v>
      </c>
    </row>
    <row r="25">
      <c r="A25" s="47">
        <f>A27</f>
        <v>30000</v>
      </c>
    </row>
    <row r="26">
      <c r="A26" s="48" t="s">
        <v>367</v>
      </c>
    </row>
    <row r="27">
      <c r="A27" s="49">
        <f>A30</f>
        <v>30000</v>
      </c>
    </row>
    <row r="28">
      <c r="A28" s="49">
        <v>2026.0</v>
      </c>
    </row>
    <row r="29">
      <c r="A29" s="49" t="s">
        <v>368</v>
      </c>
    </row>
    <row r="30">
      <c r="A30" s="49">
        <f>A33+B33+C33+D33+E33+F33+G33+H33</f>
        <v>30000</v>
      </c>
    </row>
    <row r="31">
      <c r="A31" s="33" t="s">
        <v>369</v>
      </c>
      <c r="B31" s="33" t="s">
        <v>370</v>
      </c>
      <c r="C31" s="33" t="s">
        <v>371</v>
      </c>
      <c r="D31" s="33" t="s">
        <v>372</v>
      </c>
      <c r="E31" s="33" t="s">
        <v>373</v>
      </c>
      <c r="F31" s="33" t="s">
        <v>374</v>
      </c>
      <c r="G31" s="33" t="s">
        <v>375</v>
      </c>
      <c r="H31" s="33" t="s">
        <v>376</v>
      </c>
    </row>
    <row r="32">
      <c r="A32" s="33" t="s">
        <v>377</v>
      </c>
      <c r="B32" s="33" t="s">
        <v>377</v>
      </c>
      <c r="C32" s="33" t="s">
        <v>377</v>
      </c>
      <c r="D32" s="33" t="s">
        <v>377</v>
      </c>
      <c r="E32" s="33" t="s">
        <v>377</v>
      </c>
      <c r="F32" s="33" t="s">
        <v>377</v>
      </c>
      <c r="G32" s="33" t="s">
        <v>377</v>
      </c>
      <c r="H32" s="33" t="s">
        <v>377</v>
      </c>
    </row>
    <row r="33">
      <c r="A33" s="50">
        <v>0.0</v>
      </c>
      <c r="B33" s="50">
        <v>0.0</v>
      </c>
      <c r="C33" s="50">
        <v>0.0</v>
      </c>
      <c r="D33" s="50">
        <v>25000.0</v>
      </c>
      <c r="E33" s="50">
        <v>5000.0</v>
      </c>
      <c r="F33" s="50">
        <v>0.0</v>
      </c>
      <c r="G33" s="50">
        <v>0.0</v>
      </c>
      <c r="H33" s="50">
        <v>0.0</v>
      </c>
    </row>
    <row r="34">
      <c r="D34" s="31" t="s">
        <v>3563</v>
      </c>
      <c r="E34" s="31" t="s">
        <v>3599</v>
      </c>
    </row>
    <row r="35">
      <c r="D35" s="31" t="s">
        <v>3600</v>
      </c>
      <c r="E35" s="31" t="s">
        <v>3600</v>
      </c>
    </row>
    <row r="36">
      <c r="D36" s="31" t="s">
        <v>944</v>
      </c>
      <c r="E36" s="31" t="s">
        <v>381</v>
      </c>
    </row>
    <row r="37">
      <c r="D37" s="31" t="s">
        <v>2861</v>
      </c>
    </row>
    <row r="38">
      <c r="D38" s="31" t="s">
        <v>3600</v>
      </c>
    </row>
    <row r="39">
      <c r="D39" s="31" t="s">
        <v>1240</v>
      </c>
    </row>
    <row r="40">
      <c r="D40" s="31" t="s">
        <v>3601</v>
      </c>
    </row>
    <row r="41">
      <c r="D41" s="31" t="s">
        <v>3600</v>
      </c>
    </row>
    <row r="42">
      <c r="D42" s="31" t="s">
        <v>945</v>
      </c>
    </row>
  </sheetData>
  <mergeCells count="15">
    <mergeCell ref="H11:I11"/>
    <mergeCell ref="A24:H24"/>
    <mergeCell ref="A25:H25"/>
    <mergeCell ref="A26:H26"/>
    <mergeCell ref="A27:H27"/>
    <mergeCell ref="A28:H28"/>
    <mergeCell ref="A29:H29"/>
    <mergeCell ref="A30:H30"/>
    <mergeCell ref="A1:L1"/>
    <mergeCell ref="A2:L2"/>
    <mergeCell ref="A3:L3"/>
    <mergeCell ref="A4:L4"/>
    <mergeCell ref="G5:K5"/>
    <mergeCell ref="G6:K6"/>
    <mergeCell ref="G8:G1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5.0"/>
    <col customWidth="1" min="3" max="3" width="31.63"/>
    <col customWidth="1" min="4" max="4" width="30.13"/>
    <col customWidth="1" min="5" max="5" width="31.0"/>
    <col customWidth="1" min="6" max="6" width="33.13"/>
    <col customWidth="1" min="7" max="7" width="22.88"/>
    <col customWidth="1" min="8" max="9" width="31.13"/>
    <col customWidth="1" min="10" max="10" width="23.0"/>
    <col customWidth="1" min="11" max="11" width="23.25"/>
    <col customWidth="1" min="13" max="13" width="21.75"/>
    <col customWidth="1" min="14" max="14" width="26.0"/>
    <col customWidth="1" min="17" max="17" width="15.88"/>
    <col customWidth="1" min="23" max="23" width="24.5"/>
  </cols>
  <sheetData>
    <row r="1">
      <c r="A1" s="51" t="s">
        <v>3602</v>
      </c>
    </row>
    <row r="2">
      <c r="A2" s="52" t="s">
        <v>3603</v>
      </c>
    </row>
    <row r="3">
      <c r="A3" s="52" t="s">
        <v>338</v>
      </c>
    </row>
    <row r="4">
      <c r="A4" s="337">
        <f>100000+B6+C6+E6+F6+G6+A34+J6+M6</f>
        <v>1654300</v>
      </c>
    </row>
    <row r="5">
      <c r="A5" s="33" t="s">
        <v>339</v>
      </c>
      <c r="B5" s="33" t="s">
        <v>341</v>
      </c>
      <c r="C5" s="33" t="s">
        <v>342</v>
      </c>
      <c r="D5" s="33" t="s">
        <v>344</v>
      </c>
      <c r="E5" s="33" t="s">
        <v>1324</v>
      </c>
      <c r="F5" s="33" t="s">
        <v>2620</v>
      </c>
      <c r="G5" s="33" t="s">
        <v>419</v>
      </c>
      <c r="J5" s="33" t="s">
        <v>3604</v>
      </c>
      <c r="M5" s="33" t="s">
        <v>3605</v>
      </c>
      <c r="P5" s="144" t="s">
        <v>422</v>
      </c>
      <c r="W5" s="33"/>
    </row>
    <row r="6">
      <c r="A6" s="31" t="s">
        <v>3606</v>
      </c>
      <c r="B6" s="228">
        <v>-60000.0</v>
      </c>
      <c r="C6" s="228">
        <v>88000.0</v>
      </c>
      <c r="D6" s="31" t="s">
        <v>3607</v>
      </c>
      <c r="E6" s="228">
        <v>16400.0</v>
      </c>
      <c r="F6" s="228">
        <v>1000.0</v>
      </c>
      <c r="G6" s="228">
        <f>G8+H8+I8</f>
        <v>-7500</v>
      </c>
      <c r="J6" s="227">
        <f>J8</f>
        <v>8000</v>
      </c>
      <c r="M6" s="338">
        <f>M8</f>
        <v>532000</v>
      </c>
      <c r="P6" s="227">
        <f>S12+S14+S16</f>
        <v>30500</v>
      </c>
      <c r="W6" s="339"/>
    </row>
    <row r="7">
      <c r="A7" s="31" t="s">
        <v>3608</v>
      </c>
      <c r="B7" s="55" t="s">
        <v>349</v>
      </c>
      <c r="C7" s="31" t="s">
        <v>3609</v>
      </c>
      <c r="D7" s="31" t="s">
        <v>3610</v>
      </c>
      <c r="E7" s="31" t="s">
        <v>445</v>
      </c>
      <c r="F7" s="31" t="s">
        <v>3611</v>
      </c>
      <c r="G7" s="149" t="s">
        <v>432</v>
      </c>
      <c r="H7" s="149" t="s">
        <v>433</v>
      </c>
      <c r="I7" s="149" t="s">
        <v>434</v>
      </c>
      <c r="J7" s="33" t="s">
        <v>435</v>
      </c>
      <c r="M7" s="33" t="s">
        <v>435</v>
      </c>
      <c r="P7" s="149" t="s">
        <v>436</v>
      </c>
      <c r="Q7" s="149" t="s">
        <v>437</v>
      </c>
      <c r="R7" s="149" t="s">
        <v>438</v>
      </c>
      <c r="S7" s="149" t="s">
        <v>0</v>
      </c>
      <c r="T7" s="149" t="s">
        <v>439</v>
      </c>
    </row>
    <row r="8">
      <c r="A8" s="31" t="s">
        <v>3612</v>
      </c>
      <c r="B8" s="4" t="s">
        <v>31</v>
      </c>
      <c r="C8" s="31" t="s">
        <v>3613</v>
      </c>
      <c r="D8" s="31" t="s">
        <v>3614</v>
      </c>
      <c r="E8" s="31" t="s">
        <v>3615</v>
      </c>
      <c r="G8" s="340">
        <f>I24+I27+I30+I33+I36+I39+I42+I45</f>
        <v>9500</v>
      </c>
      <c r="H8" s="340">
        <v>-12000.0</v>
      </c>
      <c r="I8" s="340">
        <v>-5000.0</v>
      </c>
      <c r="J8" s="341">
        <f>L10+L12+L13+L14+L15</f>
        <v>8000</v>
      </c>
      <c r="M8" s="342">
        <f>O10+O13+O17+O18+O20+O22+O23+O24</f>
        <v>532000</v>
      </c>
      <c r="P8" s="151" t="s">
        <v>3616</v>
      </c>
      <c r="Q8" s="152" t="s">
        <v>447</v>
      </c>
      <c r="R8" s="152">
        <v>18.0</v>
      </c>
      <c r="S8" s="152">
        <f>R8*1000</f>
        <v>18000</v>
      </c>
      <c r="T8" s="153">
        <f>R8*20</f>
        <v>360</v>
      </c>
    </row>
    <row r="9">
      <c r="A9" s="31" t="s">
        <v>3617</v>
      </c>
      <c r="B9" s="4" t="s">
        <v>47</v>
      </c>
      <c r="C9" s="31" t="s">
        <v>3618</v>
      </c>
      <c r="D9" s="31" t="s">
        <v>3619</v>
      </c>
      <c r="E9" s="31" t="s">
        <v>3620</v>
      </c>
      <c r="G9" s="25"/>
      <c r="H9" s="31" t="s">
        <v>3621</v>
      </c>
      <c r="I9" s="149" t="s">
        <v>455</v>
      </c>
      <c r="J9" s="248" t="s">
        <v>456</v>
      </c>
      <c r="K9" s="248" t="s">
        <v>457</v>
      </c>
      <c r="L9" s="248" t="s">
        <v>0</v>
      </c>
      <c r="M9" s="248" t="s">
        <v>456</v>
      </c>
      <c r="N9" s="248" t="s">
        <v>457</v>
      </c>
      <c r="O9" s="248" t="s">
        <v>0</v>
      </c>
      <c r="Q9" s="152" t="s">
        <v>654</v>
      </c>
      <c r="R9" s="152">
        <v>1.0</v>
      </c>
      <c r="S9" s="153">
        <f>R9*8000</f>
        <v>8000</v>
      </c>
      <c r="T9" s="153">
        <f>R9*80</f>
        <v>80</v>
      </c>
    </row>
    <row r="10">
      <c r="A10" s="31" t="s">
        <v>3622</v>
      </c>
      <c r="B10" s="55" t="s">
        <v>48</v>
      </c>
      <c r="C10" s="31" t="s">
        <v>3623</v>
      </c>
      <c r="D10" s="31" t="s">
        <v>3624</v>
      </c>
      <c r="E10" s="31" t="s">
        <v>495</v>
      </c>
      <c r="H10" s="31" t="s">
        <v>3625</v>
      </c>
      <c r="I10" s="31" t="s">
        <v>3626</v>
      </c>
      <c r="J10" s="71" t="s">
        <v>3627</v>
      </c>
      <c r="K10" s="4" t="s">
        <v>1040</v>
      </c>
      <c r="L10" s="71">
        <v>3000.0</v>
      </c>
      <c r="M10" s="71" t="s">
        <v>3628</v>
      </c>
      <c r="N10" s="71" t="s">
        <v>469</v>
      </c>
      <c r="O10" s="71">
        <v>10000.0</v>
      </c>
      <c r="Q10" s="152" t="s">
        <v>533</v>
      </c>
    </row>
    <row r="11">
      <c r="A11" s="31" t="s">
        <v>3629</v>
      </c>
      <c r="B11" s="4" t="s">
        <v>60</v>
      </c>
      <c r="C11" s="31" t="s">
        <v>3630</v>
      </c>
      <c r="D11" s="31" t="s">
        <v>3631</v>
      </c>
      <c r="E11" s="31" t="s">
        <v>2653</v>
      </c>
      <c r="H11" s="31" t="s">
        <v>3632</v>
      </c>
      <c r="I11" s="31" t="s">
        <v>3633</v>
      </c>
      <c r="K11" s="4" t="s">
        <v>2246</v>
      </c>
      <c r="N11" s="4" t="s">
        <v>1963</v>
      </c>
      <c r="Q11" s="152" t="s">
        <v>657</v>
      </c>
      <c r="R11" s="152">
        <v>1.0</v>
      </c>
      <c r="S11" s="153">
        <f>R11*1500</f>
        <v>1500</v>
      </c>
      <c r="T11" s="153">
        <f>R11*40</f>
        <v>40</v>
      </c>
    </row>
    <row r="12">
      <c r="A12" s="31" t="s">
        <v>3634</v>
      </c>
      <c r="B12" s="55" t="s">
        <v>69</v>
      </c>
      <c r="C12" s="31" t="s">
        <v>2235</v>
      </c>
      <c r="D12" s="31" t="s">
        <v>3635</v>
      </c>
      <c r="E12" s="31" t="s">
        <v>3636</v>
      </c>
      <c r="H12" s="31" t="s">
        <v>2977</v>
      </c>
      <c r="I12" s="31" t="s">
        <v>3637</v>
      </c>
      <c r="J12" s="4" t="s">
        <v>3638</v>
      </c>
      <c r="K12" s="4" t="s">
        <v>1990</v>
      </c>
      <c r="L12" s="4">
        <v>2000.0</v>
      </c>
      <c r="N12" s="71" t="s">
        <v>1035</v>
      </c>
      <c r="Q12" s="155" t="s">
        <v>470</v>
      </c>
      <c r="S12" s="156">
        <f t="shared" ref="S12:T12" si="1">S8+S9+S11</f>
        <v>27500</v>
      </c>
      <c r="T12" s="156">
        <f t="shared" si="1"/>
        <v>480</v>
      </c>
    </row>
    <row r="13">
      <c r="A13" s="31" t="s">
        <v>3639</v>
      </c>
      <c r="B13" s="4" t="s">
        <v>60</v>
      </c>
      <c r="C13" s="31" t="s">
        <v>3640</v>
      </c>
      <c r="D13" s="31" t="s">
        <v>3641</v>
      </c>
      <c r="E13" s="31" t="s">
        <v>475</v>
      </c>
      <c r="H13" s="31" t="s">
        <v>1016</v>
      </c>
      <c r="I13" s="31" t="s">
        <v>3642</v>
      </c>
      <c r="J13" s="4" t="s">
        <v>3643</v>
      </c>
      <c r="K13" s="4" t="s">
        <v>1406</v>
      </c>
      <c r="L13" s="4">
        <v>1000.0</v>
      </c>
      <c r="M13" s="71" t="s">
        <v>3644</v>
      </c>
      <c r="N13" s="4" t="s">
        <v>543</v>
      </c>
      <c r="O13" s="71">
        <v>8000.0</v>
      </c>
      <c r="P13" s="151" t="s">
        <v>3645</v>
      </c>
      <c r="Q13" s="152" t="s">
        <v>447</v>
      </c>
      <c r="R13" s="152">
        <v>2.0</v>
      </c>
      <c r="S13" s="152">
        <f>R13*1000</f>
        <v>2000</v>
      </c>
      <c r="T13" s="153">
        <f>R13*20</f>
        <v>40</v>
      </c>
    </row>
    <row r="14">
      <c r="A14" s="31" t="s">
        <v>3646</v>
      </c>
      <c r="C14" s="31" t="s">
        <v>3647</v>
      </c>
      <c r="D14" s="31" t="s">
        <v>3648</v>
      </c>
      <c r="E14" s="31" t="s">
        <v>1495</v>
      </c>
      <c r="H14" s="31" t="s">
        <v>3649</v>
      </c>
      <c r="J14" s="4" t="s">
        <v>3650</v>
      </c>
      <c r="K14" s="4" t="s">
        <v>2246</v>
      </c>
      <c r="L14" s="4">
        <v>1000.0</v>
      </c>
      <c r="N14" s="4" t="s">
        <v>1963</v>
      </c>
      <c r="Q14" s="155" t="s">
        <v>470</v>
      </c>
      <c r="S14" s="156">
        <f t="shared" ref="S14:T14" si="2">S13</f>
        <v>2000</v>
      </c>
      <c r="T14" s="156">
        <f t="shared" si="2"/>
        <v>40</v>
      </c>
    </row>
    <row r="15">
      <c r="A15" s="31" t="s">
        <v>3651</v>
      </c>
      <c r="C15" s="31" t="s">
        <v>3652</v>
      </c>
      <c r="D15" s="31" t="s">
        <v>3653</v>
      </c>
      <c r="E15" s="31" t="s">
        <v>3654</v>
      </c>
      <c r="H15" s="31" t="s">
        <v>3655</v>
      </c>
      <c r="J15" s="4" t="s">
        <v>3656</v>
      </c>
      <c r="K15" s="4" t="s">
        <v>1406</v>
      </c>
      <c r="L15" s="4">
        <v>1000.0</v>
      </c>
      <c r="N15" s="71" t="s">
        <v>1025</v>
      </c>
      <c r="P15" s="151" t="s">
        <v>3657</v>
      </c>
      <c r="Q15" s="152" t="s">
        <v>447</v>
      </c>
      <c r="R15" s="152">
        <v>1.0</v>
      </c>
      <c r="S15" s="152">
        <f>R15*1000</f>
        <v>1000</v>
      </c>
      <c r="T15" s="153">
        <f>R15*20</f>
        <v>20</v>
      </c>
    </row>
    <row r="16">
      <c r="A16" s="31" t="s">
        <v>3658</v>
      </c>
      <c r="C16" s="31" t="s">
        <v>1050</v>
      </c>
      <c r="D16" s="31" t="s">
        <v>3659</v>
      </c>
      <c r="E16" s="31" t="s">
        <v>495</v>
      </c>
      <c r="H16" s="31" t="s">
        <v>3660</v>
      </c>
      <c r="J16" s="8"/>
      <c r="K16" s="8"/>
      <c r="L16" s="8"/>
      <c r="N16" s="71" t="s">
        <v>572</v>
      </c>
      <c r="Q16" s="155" t="s">
        <v>470</v>
      </c>
      <c r="S16" s="156">
        <f t="shared" ref="S16:T16" si="3">S15</f>
        <v>1000</v>
      </c>
      <c r="T16" s="156">
        <f t="shared" si="3"/>
        <v>20</v>
      </c>
    </row>
    <row r="17">
      <c r="A17" s="31" t="s">
        <v>3661</v>
      </c>
      <c r="C17" s="31" t="s">
        <v>1016</v>
      </c>
      <c r="E17" s="31" t="s">
        <v>1412</v>
      </c>
      <c r="H17" s="31" t="s">
        <v>1674</v>
      </c>
      <c r="J17" s="8"/>
      <c r="K17" s="8"/>
      <c r="L17" s="8"/>
      <c r="M17" s="4" t="s">
        <v>3662</v>
      </c>
      <c r="N17" s="4" t="s">
        <v>543</v>
      </c>
      <c r="O17" s="4">
        <v>3000.0</v>
      </c>
    </row>
    <row r="18">
      <c r="A18" s="31" t="s">
        <v>3663</v>
      </c>
      <c r="C18" s="31" t="s">
        <v>3454</v>
      </c>
      <c r="E18" s="31" t="s">
        <v>3664</v>
      </c>
      <c r="H18" s="31" t="s">
        <v>3665</v>
      </c>
      <c r="J18" s="8"/>
      <c r="K18" s="8"/>
      <c r="L18" s="8"/>
      <c r="M18" s="71" t="s">
        <v>3650</v>
      </c>
      <c r="N18" s="71" t="s">
        <v>469</v>
      </c>
      <c r="O18" s="71">
        <v>6000.0</v>
      </c>
    </row>
    <row r="19">
      <c r="A19" s="31" t="s">
        <v>3666</v>
      </c>
      <c r="C19" s="31" t="s">
        <v>632</v>
      </c>
      <c r="E19" s="31" t="s">
        <v>495</v>
      </c>
      <c r="H19" s="31" t="s">
        <v>3667</v>
      </c>
      <c r="J19" s="8"/>
      <c r="K19" s="8"/>
      <c r="L19" s="8"/>
      <c r="N19" s="71" t="s">
        <v>1025</v>
      </c>
    </row>
    <row r="20">
      <c r="A20" s="31" t="s">
        <v>3668</v>
      </c>
      <c r="C20" s="31" t="s">
        <v>1956</v>
      </c>
      <c r="E20" s="31" t="s">
        <v>1665</v>
      </c>
      <c r="H20" s="31" t="s">
        <v>2444</v>
      </c>
      <c r="J20" s="8"/>
      <c r="K20" s="8"/>
      <c r="L20" s="8"/>
      <c r="M20" s="71" t="s">
        <v>3669</v>
      </c>
      <c r="N20" s="71" t="s">
        <v>543</v>
      </c>
      <c r="O20" s="71">
        <v>4000.0</v>
      </c>
    </row>
    <row r="21">
      <c r="A21" s="31" t="s">
        <v>3670</v>
      </c>
      <c r="C21" s="31" t="s">
        <v>3671</v>
      </c>
      <c r="E21" s="31" t="s">
        <v>612</v>
      </c>
      <c r="J21" s="8"/>
      <c r="K21" s="8"/>
      <c r="L21" s="8"/>
      <c r="N21" s="71" t="s">
        <v>572</v>
      </c>
    </row>
    <row r="22">
      <c r="A22" s="31" t="s">
        <v>3672</v>
      </c>
      <c r="C22" s="31" t="s">
        <v>1900</v>
      </c>
      <c r="G22" s="340" t="s">
        <v>594</v>
      </c>
      <c r="J22" s="8"/>
      <c r="K22" s="8"/>
      <c r="L22" s="8"/>
      <c r="M22" s="4" t="s">
        <v>3673</v>
      </c>
      <c r="N22" s="71" t="s">
        <v>572</v>
      </c>
      <c r="O22" s="4">
        <v>1000.0</v>
      </c>
    </row>
    <row r="23">
      <c r="A23" s="31" t="s">
        <v>3674</v>
      </c>
      <c r="C23" s="31" t="s">
        <v>3675</v>
      </c>
      <c r="E23" s="84" t="s">
        <v>1750</v>
      </c>
      <c r="G23" s="343" t="s">
        <v>456</v>
      </c>
      <c r="H23" s="343" t="s">
        <v>457</v>
      </c>
      <c r="I23" s="343" t="s">
        <v>0</v>
      </c>
      <c r="J23" s="8"/>
      <c r="K23" s="8"/>
      <c r="L23" s="8"/>
      <c r="M23" s="33" t="s">
        <v>578</v>
      </c>
      <c r="O23" s="4">
        <v>200000.0</v>
      </c>
    </row>
    <row r="24">
      <c r="E24" s="31" t="s">
        <v>3620</v>
      </c>
      <c r="G24" s="71" t="s">
        <v>3676</v>
      </c>
      <c r="H24" s="71" t="s">
        <v>650</v>
      </c>
      <c r="I24" s="71">
        <v>1000.0</v>
      </c>
      <c r="M24" s="33" t="s">
        <v>3677</v>
      </c>
      <c r="O24" s="78">
        <v>300000.0</v>
      </c>
    </row>
    <row r="25">
      <c r="E25" s="31" t="s">
        <v>3678</v>
      </c>
      <c r="H25" s="71" t="s">
        <v>635</v>
      </c>
    </row>
    <row r="26">
      <c r="E26" s="84" t="s">
        <v>3679</v>
      </c>
      <c r="H26" s="71" t="s">
        <v>625</v>
      </c>
    </row>
    <row r="27">
      <c r="E27" s="84" t="s">
        <v>3680</v>
      </c>
      <c r="G27" s="71" t="s">
        <v>3681</v>
      </c>
      <c r="H27" s="71" t="s">
        <v>631</v>
      </c>
      <c r="I27" s="71">
        <v>2000.0</v>
      </c>
    </row>
    <row r="28">
      <c r="E28" s="84"/>
      <c r="H28" s="71" t="s">
        <v>644</v>
      </c>
    </row>
    <row r="29">
      <c r="E29" s="84"/>
      <c r="H29" s="71" t="s">
        <v>613</v>
      </c>
    </row>
    <row r="30">
      <c r="E30" s="84"/>
      <c r="G30" s="71" t="s">
        <v>3682</v>
      </c>
      <c r="H30" s="71" t="s">
        <v>631</v>
      </c>
      <c r="I30" s="71">
        <v>1500.0</v>
      </c>
    </row>
    <row r="31">
      <c r="H31" s="71" t="s">
        <v>644</v>
      </c>
      <c r="V31" s="31"/>
    </row>
    <row r="32">
      <c r="H32" s="71" t="s">
        <v>652</v>
      </c>
    </row>
    <row r="33">
      <c r="A33" s="47" t="s">
        <v>366</v>
      </c>
      <c r="G33" s="71" t="s">
        <v>3683</v>
      </c>
      <c r="H33" s="71" t="s">
        <v>605</v>
      </c>
      <c r="I33" s="71">
        <v>3000.0</v>
      </c>
    </row>
    <row r="34">
      <c r="A34" s="47">
        <f>A36+A52+A75+A97+A117+A138+A159+A186</f>
        <v>976400</v>
      </c>
      <c r="H34" s="71" t="s">
        <v>635</v>
      </c>
    </row>
    <row r="35">
      <c r="A35" s="82" t="s">
        <v>1123</v>
      </c>
      <c r="H35" s="71" t="s">
        <v>625</v>
      </c>
    </row>
    <row r="36">
      <c r="A36" s="82">
        <v>29550.0</v>
      </c>
      <c r="G36" s="71" t="s">
        <v>3669</v>
      </c>
      <c r="H36" s="71" t="s">
        <v>650</v>
      </c>
      <c r="I36" s="71">
        <v>500.0</v>
      </c>
    </row>
    <row r="37">
      <c r="A37" s="82">
        <v>2026.0</v>
      </c>
      <c r="H37" s="71" t="s">
        <v>644</v>
      </c>
    </row>
    <row r="38">
      <c r="A38" s="50" t="s">
        <v>665</v>
      </c>
      <c r="B38" s="50" t="s">
        <v>119</v>
      </c>
      <c r="C38" s="50" t="s">
        <v>142</v>
      </c>
      <c r="D38" s="50" t="s">
        <v>126</v>
      </c>
      <c r="E38" s="50" t="s">
        <v>130</v>
      </c>
      <c r="H38" s="71" t="s">
        <v>652</v>
      </c>
    </row>
    <row r="39">
      <c r="A39" s="31" t="s">
        <v>3684</v>
      </c>
      <c r="C39" s="31" t="s">
        <v>3685</v>
      </c>
      <c r="D39" s="31" t="s">
        <v>3686</v>
      </c>
      <c r="E39" s="84" t="s">
        <v>3687</v>
      </c>
      <c r="G39" s="71" t="s">
        <v>3688</v>
      </c>
      <c r="H39" s="71" t="s">
        <v>650</v>
      </c>
      <c r="I39" s="71">
        <v>500.0</v>
      </c>
    </row>
    <row r="40">
      <c r="A40" s="31" t="s">
        <v>672</v>
      </c>
      <c r="C40" s="31" t="s">
        <v>684</v>
      </c>
      <c r="D40" s="31" t="s">
        <v>704</v>
      </c>
      <c r="E40" s="31" t="s">
        <v>3676</v>
      </c>
      <c r="H40" s="71" t="s">
        <v>635</v>
      </c>
    </row>
    <row r="41">
      <c r="A41" s="31" t="s">
        <v>3689</v>
      </c>
      <c r="D41" s="31" t="s">
        <v>680</v>
      </c>
      <c r="E41" s="31" t="s">
        <v>672</v>
      </c>
      <c r="H41" s="71" t="s">
        <v>613</v>
      </c>
    </row>
    <row r="42">
      <c r="A42" s="31" t="s">
        <v>1759</v>
      </c>
      <c r="E42" s="31" t="s">
        <v>2760</v>
      </c>
      <c r="G42" s="71" t="s">
        <v>3690</v>
      </c>
      <c r="H42" s="71" t="s">
        <v>650</v>
      </c>
      <c r="I42" s="71">
        <v>500.0</v>
      </c>
    </row>
    <row r="43">
      <c r="A43" s="181" t="s">
        <v>3691</v>
      </c>
      <c r="E43" s="31" t="s">
        <v>3692</v>
      </c>
      <c r="H43" s="71" t="s">
        <v>635</v>
      </c>
    </row>
    <row r="44">
      <c r="A44" s="181" t="s">
        <v>677</v>
      </c>
      <c r="E44" s="31" t="s">
        <v>1759</v>
      </c>
      <c r="H44" s="71" t="s">
        <v>613</v>
      </c>
    </row>
    <row r="45">
      <c r="A45" s="31" t="s">
        <v>3693</v>
      </c>
      <c r="E45" s="31" t="s">
        <v>2760</v>
      </c>
      <c r="G45" s="71" t="s">
        <v>3694</v>
      </c>
      <c r="H45" s="71" t="s">
        <v>650</v>
      </c>
      <c r="I45" s="71">
        <v>500.0</v>
      </c>
    </row>
    <row r="46">
      <c r="A46" s="31" t="s">
        <v>677</v>
      </c>
      <c r="E46" s="31" t="s">
        <v>3695</v>
      </c>
      <c r="H46" s="71" t="s">
        <v>644</v>
      </c>
    </row>
    <row r="47">
      <c r="E47" s="31" t="s">
        <v>677</v>
      </c>
      <c r="H47" s="71" t="s">
        <v>652</v>
      </c>
    </row>
    <row r="48">
      <c r="E48" s="31" t="s">
        <v>2760</v>
      </c>
    </row>
    <row r="50">
      <c r="A50" s="85"/>
    </row>
    <row r="51">
      <c r="A51" s="86" t="s">
        <v>3696</v>
      </c>
    </row>
    <row r="52">
      <c r="A52" s="86">
        <v>37140.0</v>
      </c>
    </row>
    <row r="53">
      <c r="A53" s="87">
        <v>2026.0</v>
      </c>
    </row>
    <row r="54">
      <c r="A54" s="50" t="s">
        <v>687</v>
      </c>
      <c r="B54" s="50" t="s">
        <v>688</v>
      </c>
      <c r="C54" s="50" t="s">
        <v>689</v>
      </c>
      <c r="D54" s="50" t="s">
        <v>690</v>
      </c>
      <c r="E54" s="50" t="s">
        <v>691</v>
      </c>
      <c r="F54" s="50" t="s">
        <v>692</v>
      </c>
    </row>
    <row r="55">
      <c r="A55" s="84" t="s">
        <v>3697</v>
      </c>
      <c r="B55" s="84" t="s">
        <v>3698</v>
      </c>
      <c r="E55" s="84" t="s">
        <v>3699</v>
      </c>
      <c r="F55" s="84" t="s">
        <v>3700</v>
      </c>
    </row>
    <row r="56">
      <c r="A56" s="31" t="s">
        <v>3627</v>
      </c>
      <c r="B56" s="31" t="s">
        <v>3701</v>
      </c>
      <c r="E56" s="31" t="s">
        <v>3684</v>
      </c>
      <c r="F56" s="31" t="s">
        <v>3702</v>
      </c>
    </row>
    <row r="57">
      <c r="A57" s="31" t="s">
        <v>677</v>
      </c>
      <c r="B57" s="31" t="s">
        <v>728</v>
      </c>
      <c r="E57" s="31" t="s">
        <v>3703</v>
      </c>
      <c r="F57" s="31" t="s">
        <v>703</v>
      </c>
    </row>
    <row r="58">
      <c r="A58" s="31" t="s">
        <v>1133</v>
      </c>
      <c r="E58" s="31" t="s">
        <v>1769</v>
      </c>
      <c r="F58" s="31" t="s">
        <v>713</v>
      </c>
    </row>
    <row r="59">
      <c r="A59" s="31" t="s">
        <v>3704</v>
      </c>
      <c r="E59" s="31" t="s">
        <v>3705</v>
      </c>
      <c r="F59" s="31" t="s">
        <v>3706</v>
      </c>
    </row>
    <row r="60">
      <c r="A60" s="31" t="s">
        <v>677</v>
      </c>
      <c r="E60" s="31" t="s">
        <v>910</v>
      </c>
      <c r="F60" s="31" t="s">
        <v>703</v>
      </c>
    </row>
    <row r="61">
      <c r="A61" s="31" t="s">
        <v>1133</v>
      </c>
      <c r="E61" s="31" t="s">
        <v>2490</v>
      </c>
      <c r="F61" s="31" t="s">
        <v>713</v>
      </c>
    </row>
    <row r="62">
      <c r="E62" s="31" t="s">
        <v>1769</v>
      </c>
    </row>
    <row r="63">
      <c r="E63" s="31" t="s">
        <v>3707</v>
      </c>
    </row>
    <row r="64">
      <c r="E64" s="31" t="s">
        <v>703</v>
      </c>
    </row>
    <row r="65">
      <c r="E65" s="31" t="s">
        <v>1769</v>
      </c>
    </row>
    <row r="66">
      <c r="E66" s="31" t="s">
        <v>3708</v>
      </c>
    </row>
    <row r="67">
      <c r="E67" s="31" t="s">
        <v>703</v>
      </c>
    </row>
    <row r="68">
      <c r="E68" s="31" t="s">
        <v>1545</v>
      </c>
    </row>
    <row r="69">
      <c r="E69" s="31" t="s">
        <v>1769</v>
      </c>
    </row>
    <row r="70">
      <c r="E70" s="31" t="s">
        <v>3709</v>
      </c>
    </row>
    <row r="71">
      <c r="E71" s="31" t="s">
        <v>703</v>
      </c>
    </row>
    <row r="72">
      <c r="E72" s="31" t="s">
        <v>1769</v>
      </c>
    </row>
    <row r="73">
      <c r="A73" s="85"/>
    </row>
    <row r="74">
      <c r="A74" s="22" t="s">
        <v>3710</v>
      </c>
    </row>
    <row r="75">
      <c r="A75" s="22">
        <v>44500.0</v>
      </c>
    </row>
    <row r="76">
      <c r="A76" s="19">
        <v>2026.0</v>
      </c>
    </row>
    <row r="77">
      <c r="A77" s="88" t="s">
        <v>3711</v>
      </c>
    </row>
    <row r="78">
      <c r="A78" s="50" t="s">
        <v>733</v>
      </c>
      <c r="B78" s="50" t="s">
        <v>191</v>
      </c>
      <c r="C78" s="50" t="s">
        <v>734</v>
      </c>
      <c r="D78" s="50" t="s">
        <v>735</v>
      </c>
      <c r="E78" s="50" t="s">
        <v>187</v>
      </c>
      <c r="F78" s="50" t="s">
        <v>736</v>
      </c>
      <c r="G78" s="50" t="s">
        <v>179</v>
      </c>
      <c r="H78" s="50" t="s">
        <v>737</v>
      </c>
    </row>
    <row r="79">
      <c r="A79" s="76" t="s">
        <v>3712</v>
      </c>
      <c r="B79" s="76" t="s">
        <v>377</v>
      </c>
      <c r="C79" s="76" t="s">
        <v>377</v>
      </c>
      <c r="D79" s="76" t="s">
        <v>2316</v>
      </c>
      <c r="E79" s="76" t="s">
        <v>3713</v>
      </c>
      <c r="F79" s="76" t="s">
        <v>3714</v>
      </c>
      <c r="G79" s="76" t="s">
        <v>377</v>
      </c>
      <c r="H79" s="76" t="s">
        <v>377</v>
      </c>
    </row>
    <row r="80">
      <c r="A80" s="31" t="s">
        <v>3715</v>
      </c>
      <c r="D80" s="31" t="s">
        <v>3716</v>
      </c>
      <c r="E80" s="31" t="s">
        <v>3717</v>
      </c>
      <c r="F80" s="31" t="s">
        <v>3676</v>
      </c>
    </row>
    <row r="81">
      <c r="A81" s="31" t="s">
        <v>677</v>
      </c>
      <c r="D81" s="31" t="s">
        <v>718</v>
      </c>
      <c r="E81" s="31" t="s">
        <v>826</v>
      </c>
      <c r="F81" s="31" t="s">
        <v>702</v>
      </c>
    </row>
    <row r="82">
      <c r="A82" s="31" t="s">
        <v>3718</v>
      </c>
      <c r="D82" s="31" t="s">
        <v>1159</v>
      </c>
      <c r="E82" s="31" t="s">
        <v>782</v>
      </c>
      <c r="F82" s="31" t="s">
        <v>3719</v>
      </c>
    </row>
    <row r="83">
      <c r="A83" s="31" t="s">
        <v>673</v>
      </c>
      <c r="D83" s="31" t="s">
        <v>613</v>
      </c>
      <c r="E83" s="31" t="s">
        <v>3720</v>
      </c>
      <c r="F83" s="31" t="s">
        <v>926</v>
      </c>
    </row>
    <row r="84">
      <c r="A84" s="31" t="s">
        <v>3721</v>
      </c>
      <c r="E84" s="31" t="s">
        <v>703</v>
      </c>
      <c r="F84" s="31" t="s">
        <v>3707</v>
      </c>
    </row>
    <row r="85">
      <c r="A85" s="31" t="s">
        <v>671</v>
      </c>
      <c r="E85" s="31" t="s">
        <v>782</v>
      </c>
      <c r="F85" s="31" t="s">
        <v>1759</v>
      </c>
    </row>
    <row r="86">
      <c r="A86" s="31" t="s">
        <v>3722</v>
      </c>
      <c r="E86" s="31" t="s">
        <v>3723</v>
      </c>
      <c r="F86" s="31" t="s">
        <v>3724</v>
      </c>
    </row>
    <row r="87">
      <c r="A87" s="31" t="s">
        <v>703</v>
      </c>
      <c r="E87" s="31" t="s">
        <v>3725</v>
      </c>
      <c r="F87" s="31" t="s">
        <v>677</v>
      </c>
    </row>
    <row r="88">
      <c r="E88" s="31" t="s">
        <v>613</v>
      </c>
      <c r="F88" s="31" t="s">
        <v>3709</v>
      </c>
    </row>
    <row r="89">
      <c r="E89" s="31" t="s">
        <v>782</v>
      </c>
      <c r="F89" s="31" t="s">
        <v>701</v>
      </c>
    </row>
    <row r="96">
      <c r="A96" s="90" t="s">
        <v>1172</v>
      </c>
    </row>
    <row r="97">
      <c r="A97" s="90">
        <f>A100</f>
        <v>145710</v>
      </c>
    </row>
    <row r="98">
      <c r="A98" s="90">
        <v>2026.0</v>
      </c>
    </row>
    <row r="99">
      <c r="A99" s="90" t="s">
        <v>368</v>
      </c>
    </row>
    <row r="100">
      <c r="A100" s="90">
        <f>A103+B103+C103+D103+E103+F103+G103+H103</f>
        <v>145710</v>
      </c>
    </row>
    <row r="101">
      <c r="A101" s="50" t="s">
        <v>789</v>
      </c>
      <c r="B101" s="50" t="s">
        <v>790</v>
      </c>
      <c r="C101" s="50" t="s">
        <v>215</v>
      </c>
      <c r="D101" s="50" t="s">
        <v>791</v>
      </c>
      <c r="E101" s="50" t="s">
        <v>202</v>
      </c>
      <c r="F101" s="50" t="s">
        <v>792</v>
      </c>
      <c r="G101" s="50" t="s">
        <v>793</v>
      </c>
      <c r="H101" s="50" t="s">
        <v>205</v>
      </c>
    </row>
    <row r="102">
      <c r="A102" s="33" t="s">
        <v>377</v>
      </c>
      <c r="B102" s="33" t="s">
        <v>377</v>
      </c>
      <c r="C102" s="33" t="s">
        <v>377</v>
      </c>
      <c r="D102" s="33" t="s">
        <v>377</v>
      </c>
      <c r="E102" s="33" t="s">
        <v>377</v>
      </c>
      <c r="F102" s="33" t="s">
        <v>377</v>
      </c>
      <c r="G102" s="33" t="s">
        <v>377</v>
      </c>
      <c r="H102" s="33" t="s">
        <v>377</v>
      </c>
    </row>
    <row r="103">
      <c r="A103" s="50">
        <v>8750.0</v>
      </c>
      <c r="B103" s="50">
        <v>20000.0</v>
      </c>
      <c r="C103" s="50">
        <v>14110.0</v>
      </c>
      <c r="D103" s="50">
        <v>0.0</v>
      </c>
      <c r="E103" s="50">
        <v>86600.0</v>
      </c>
      <c r="F103" s="50">
        <v>10250.0</v>
      </c>
      <c r="G103" s="50">
        <v>6000.0</v>
      </c>
      <c r="H103" s="50">
        <v>0.0</v>
      </c>
    </row>
    <row r="104">
      <c r="A104" s="31" t="s">
        <v>3685</v>
      </c>
      <c r="B104" s="31" t="s">
        <v>3616</v>
      </c>
      <c r="C104" s="31" t="s">
        <v>3726</v>
      </c>
      <c r="E104" s="31" t="s">
        <v>3716</v>
      </c>
      <c r="F104" s="31" t="s">
        <v>3727</v>
      </c>
      <c r="G104" s="31" t="s">
        <v>3684</v>
      </c>
    </row>
    <row r="105">
      <c r="A105" s="31" t="s">
        <v>844</v>
      </c>
      <c r="B105" s="31" t="s">
        <v>799</v>
      </c>
      <c r="C105" s="31" t="s">
        <v>677</v>
      </c>
      <c r="E105" s="31" t="s">
        <v>910</v>
      </c>
      <c r="F105" s="31" t="s">
        <v>910</v>
      </c>
      <c r="G105" s="31" t="s">
        <v>767</v>
      </c>
    </row>
    <row r="106">
      <c r="A106" s="31" t="s">
        <v>807</v>
      </c>
      <c r="C106" s="31" t="s">
        <v>811</v>
      </c>
      <c r="E106" s="31" t="s">
        <v>813</v>
      </c>
      <c r="F106" s="31" t="s">
        <v>806</v>
      </c>
    </row>
    <row r="107">
      <c r="A107" s="31" t="s">
        <v>3689</v>
      </c>
      <c r="C107" s="31" t="s">
        <v>3728</v>
      </c>
      <c r="E107" s="31" t="s">
        <v>3706</v>
      </c>
      <c r="F107" s="31" t="s">
        <v>3692</v>
      </c>
    </row>
    <row r="108">
      <c r="A108" s="31" t="s">
        <v>677</v>
      </c>
      <c r="C108" s="31" t="s">
        <v>826</v>
      </c>
      <c r="E108" s="31" t="s">
        <v>703</v>
      </c>
      <c r="F108" s="31" t="s">
        <v>718</v>
      </c>
    </row>
    <row r="109">
      <c r="A109" s="31" t="s">
        <v>3691</v>
      </c>
      <c r="C109" s="31" t="s">
        <v>811</v>
      </c>
      <c r="E109" s="31" t="s">
        <v>813</v>
      </c>
      <c r="F109" s="31" t="s">
        <v>3729</v>
      </c>
    </row>
    <row r="110">
      <c r="A110" s="31" t="s">
        <v>826</v>
      </c>
      <c r="E110" s="31" t="s">
        <v>3730</v>
      </c>
      <c r="F110" s="31" t="s">
        <v>677</v>
      </c>
    </row>
    <row r="111">
      <c r="E111" s="31" t="s">
        <v>703</v>
      </c>
    </row>
    <row r="112">
      <c r="E112" s="31" t="s">
        <v>813</v>
      </c>
    </row>
    <row r="113">
      <c r="E113" s="31" t="s">
        <v>3731</v>
      </c>
    </row>
    <row r="114">
      <c r="E114" s="31" t="s">
        <v>703</v>
      </c>
    </row>
    <row r="115">
      <c r="E115" s="31" t="s">
        <v>813</v>
      </c>
    </row>
    <row r="116">
      <c r="A116" s="344" t="s">
        <v>828</v>
      </c>
    </row>
    <row r="117">
      <c r="A117" s="344">
        <f>A120</f>
        <v>45800</v>
      </c>
    </row>
    <row r="118">
      <c r="A118" s="344">
        <v>2026.0</v>
      </c>
    </row>
    <row r="119">
      <c r="A119" s="344" t="s">
        <v>368</v>
      </c>
    </row>
    <row r="120">
      <c r="A120" s="345">
        <f>A123+B123+C123+D123+E123+F123+G123+H123+I123+J123</f>
        <v>45800</v>
      </c>
    </row>
    <row r="121">
      <c r="A121" s="327" t="s">
        <v>829</v>
      </c>
      <c r="B121" s="327" t="s">
        <v>830</v>
      </c>
      <c r="C121" s="327" t="s">
        <v>831</v>
      </c>
      <c r="D121" s="327" t="s">
        <v>832</v>
      </c>
      <c r="E121" s="327" t="s">
        <v>833</v>
      </c>
      <c r="F121" s="327" t="s">
        <v>834</v>
      </c>
      <c r="G121" s="103" t="s">
        <v>835</v>
      </c>
      <c r="H121" s="103" t="s">
        <v>836</v>
      </c>
      <c r="I121" s="139" t="s">
        <v>837</v>
      </c>
      <c r="J121" s="139" t="s">
        <v>838</v>
      </c>
    </row>
    <row r="122">
      <c r="A122" s="346" t="s">
        <v>377</v>
      </c>
      <c r="B122" s="346" t="s">
        <v>377</v>
      </c>
      <c r="C122" s="346" t="s">
        <v>377</v>
      </c>
      <c r="D122" s="346" t="s">
        <v>377</v>
      </c>
      <c r="E122" s="346" t="s">
        <v>377</v>
      </c>
      <c r="F122" s="346" t="s">
        <v>377</v>
      </c>
      <c r="G122" s="64" t="s">
        <v>377</v>
      </c>
      <c r="H122" s="64" t="s">
        <v>377</v>
      </c>
      <c r="I122" s="64" t="s">
        <v>377</v>
      </c>
      <c r="J122" s="64" t="s">
        <v>377</v>
      </c>
    </row>
    <row r="123">
      <c r="A123" s="327">
        <v>0.0</v>
      </c>
      <c r="B123" s="99">
        <v>1300.0</v>
      </c>
      <c r="C123" s="99">
        <v>9000.0</v>
      </c>
      <c r="D123" s="327">
        <v>0.0</v>
      </c>
      <c r="E123" s="327">
        <v>0.0</v>
      </c>
      <c r="F123" s="327">
        <v>0.0</v>
      </c>
      <c r="G123" s="99">
        <v>4000.0</v>
      </c>
      <c r="H123" s="99">
        <v>5500.0</v>
      </c>
      <c r="I123" s="99">
        <v>23900.0</v>
      </c>
      <c r="J123" s="99">
        <v>2100.0</v>
      </c>
    </row>
    <row r="124">
      <c r="B124" s="31" t="s">
        <v>3727</v>
      </c>
      <c r="C124" s="31" t="s">
        <v>3716</v>
      </c>
      <c r="G124" s="31" t="s">
        <v>3732</v>
      </c>
      <c r="H124" s="31" t="s">
        <v>3733</v>
      </c>
      <c r="I124" s="31" t="s">
        <v>3616</v>
      </c>
      <c r="J124" s="31" t="s">
        <v>3702</v>
      </c>
    </row>
    <row r="125">
      <c r="B125" s="31" t="s">
        <v>1219</v>
      </c>
      <c r="C125" s="31" t="s">
        <v>907</v>
      </c>
      <c r="G125" s="31" t="s">
        <v>704</v>
      </c>
      <c r="H125" s="31" t="s">
        <v>2508</v>
      </c>
      <c r="I125" s="31" t="s">
        <v>848</v>
      </c>
      <c r="J125" s="31" t="s">
        <v>703</v>
      </c>
    </row>
    <row r="126">
      <c r="C126" s="31" t="s">
        <v>3689</v>
      </c>
      <c r="H126" s="31" t="s">
        <v>3636</v>
      </c>
      <c r="I126" s="31" t="s">
        <v>3734</v>
      </c>
      <c r="J126" s="31" t="s">
        <v>3692</v>
      </c>
    </row>
    <row r="127">
      <c r="C127" s="31" t="s">
        <v>907</v>
      </c>
      <c r="H127" s="31" t="s">
        <v>726</v>
      </c>
      <c r="I127" s="31" t="s">
        <v>728</v>
      </c>
      <c r="J127" s="31" t="s">
        <v>1216</v>
      </c>
    </row>
    <row r="128">
      <c r="H128" s="31" t="s">
        <v>3735</v>
      </c>
      <c r="I128" s="31" t="s">
        <v>3736</v>
      </c>
    </row>
    <row r="129">
      <c r="H129" s="31" t="s">
        <v>1212</v>
      </c>
      <c r="I129" s="31" t="s">
        <v>703</v>
      </c>
    </row>
    <row r="130">
      <c r="H130" s="31" t="s">
        <v>3737</v>
      </c>
      <c r="I130" s="31" t="s">
        <v>3738</v>
      </c>
    </row>
    <row r="131">
      <c r="H131" s="31" t="s">
        <v>726</v>
      </c>
      <c r="I131" s="31" t="s">
        <v>703</v>
      </c>
    </row>
    <row r="132">
      <c r="I132" s="31" t="s">
        <v>3739</v>
      </c>
    </row>
    <row r="133">
      <c r="I133" s="31" t="s">
        <v>3740</v>
      </c>
    </row>
    <row r="134">
      <c r="I134" s="31" t="s">
        <v>3741</v>
      </c>
    </row>
    <row r="135">
      <c r="I135" s="31" t="s">
        <v>703</v>
      </c>
    </row>
    <row r="136">
      <c r="A136" s="96" t="s">
        <v>871</v>
      </c>
    </row>
    <row r="137">
      <c r="A137" s="97" t="s">
        <v>872</v>
      </c>
    </row>
    <row r="138">
      <c r="A138" s="97">
        <f>A141</f>
        <v>86400</v>
      </c>
    </row>
    <row r="139">
      <c r="A139" s="97">
        <v>2026.0</v>
      </c>
    </row>
    <row r="140">
      <c r="A140" s="97" t="s">
        <v>368</v>
      </c>
    </row>
    <row r="141">
      <c r="A141" s="98">
        <f>A144+B144+C144+D144+E144+F144+G144+H144+I144+J144</f>
        <v>86400</v>
      </c>
    </row>
    <row r="142">
      <c r="A142" s="50" t="s">
        <v>873</v>
      </c>
      <c r="B142" s="50" t="s">
        <v>874</v>
      </c>
      <c r="C142" s="50" t="s">
        <v>875</v>
      </c>
      <c r="D142" s="50" t="s">
        <v>876</v>
      </c>
      <c r="E142" s="50" t="s">
        <v>877</v>
      </c>
      <c r="F142" s="50" t="s">
        <v>878</v>
      </c>
      <c r="G142" s="94" t="s">
        <v>879</v>
      </c>
      <c r="H142" s="99" t="s">
        <v>880</v>
      </c>
      <c r="I142" s="99" t="s">
        <v>881</v>
      </c>
      <c r="J142" s="99" t="s">
        <v>882</v>
      </c>
    </row>
    <row r="143">
      <c r="A143" s="33" t="s">
        <v>377</v>
      </c>
      <c r="B143" s="33" t="s">
        <v>377</v>
      </c>
      <c r="C143" s="33" t="s">
        <v>377</v>
      </c>
      <c r="D143" s="33" t="s">
        <v>377</v>
      </c>
      <c r="E143" s="33" t="s">
        <v>377</v>
      </c>
      <c r="F143" s="33" t="s">
        <v>377</v>
      </c>
      <c r="G143" s="33" t="s">
        <v>377</v>
      </c>
      <c r="H143" s="64" t="s">
        <v>377</v>
      </c>
      <c r="I143" s="64" t="s">
        <v>377</v>
      </c>
      <c r="J143" s="64" t="s">
        <v>377</v>
      </c>
    </row>
    <row r="144">
      <c r="A144" s="50"/>
      <c r="B144" s="50"/>
      <c r="C144" s="50">
        <v>10000.0</v>
      </c>
      <c r="D144" s="50">
        <f>24500+19400</f>
        <v>43900</v>
      </c>
      <c r="E144" s="50">
        <v>12000.0</v>
      </c>
      <c r="F144" s="50"/>
      <c r="G144" s="50">
        <v>6500.0</v>
      </c>
      <c r="H144" s="50"/>
      <c r="I144" s="50"/>
      <c r="J144" s="50">
        <v>14000.0</v>
      </c>
    </row>
    <row r="145">
      <c r="C145" s="31" t="s">
        <v>3727</v>
      </c>
      <c r="D145" s="31" t="s">
        <v>3616</v>
      </c>
      <c r="E145" s="31" t="s">
        <v>3732</v>
      </c>
      <c r="G145" s="31" t="s">
        <v>3733</v>
      </c>
      <c r="J145" s="31" t="s">
        <v>3742</v>
      </c>
    </row>
    <row r="146">
      <c r="C146" s="31" t="s">
        <v>820</v>
      </c>
      <c r="D146" s="31" t="s">
        <v>1813</v>
      </c>
      <c r="E146" s="31" t="s">
        <v>1247</v>
      </c>
      <c r="G146" s="31" t="s">
        <v>809</v>
      </c>
      <c r="J146" s="31" t="s">
        <v>677</v>
      </c>
    </row>
    <row r="147">
      <c r="D147" s="31" t="s">
        <v>890</v>
      </c>
      <c r="J147" s="31" t="s">
        <v>3636</v>
      </c>
    </row>
    <row r="148">
      <c r="D148" s="31" t="s">
        <v>896</v>
      </c>
      <c r="J148" s="31" t="s">
        <v>677</v>
      </c>
    </row>
    <row r="149">
      <c r="D149" s="31" t="s">
        <v>1821</v>
      </c>
      <c r="J149" s="31" t="s">
        <v>3743</v>
      </c>
    </row>
    <row r="150">
      <c r="J150" s="31" t="s">
        <v>1247</v>
      </c>
    </row>
    <row r="158">
      <c r="A158" s="100" t="s">
        <v>913</v>
      </c>
    </row>
    <row r="159">
      <c r="A159" s="100">
        <f>A162</f>
        <v>108300</v>
      </c>
    </row>
    <row r="160">
      <c r="A160" s="100">
        <v>2026.0</v>
      </c>
    </row>
    <row r="161">
      <c r="A161" s="100" t="s">
        <v>368</v>
      </c>
    </row>
    <row r="162">
      <c r="A162" s="100">
        <f>A165+B165+C165+D165+E165+F165+G165+H165</f>
        <v>108300</v>
      </c>
    </row>
    <row r="163">
      <c r="A163" s="50" t="s">
        <v>914</v>
      </c>
      <c r="B163" s="50" t="s">
        <v>246</v>
      </c>
      <c r="C163" s="50" t="s">
        <v>247</v>
      </c>
      <c r="D163" s="50" t="s">
        <v>249</v>
      </c>
      <c r="E163" s="50" t="s">
        <v>915</v>
      </c>
      <c r="F163" s="50" t="s">
        <v>916</v>
      </c>
      <c r="G163" s="50" t="s">
        <v>253</v>
      </c>
      <c r="H163" s="50" t="s">
        <v>252</v>
      </c>
    </row>
    <row r="164">
      <c r="A164" s="33" t="s">
        <v>377</v>
      </c>
      <c r="B164" s="33" t="s">
        <v>377</v>
      </c>
      <c r="C164" s="33" t="s">
        <v>377</v>
      </c>
      <c r="D164" s="33" t="s">
        <v>377</v>
      </c>
      <c r="E164" s="33" t="s">
        <v>377</v>
      </c>
      <c r="F164" s="33" t="s">
        <v>377</v>
      </c>
      <c r="G164" s="33" t="s">
        <v>377</v>
      </c>
      <c r="H164" s="33" t="s">
        <v>377</v>
      </c>
    </row>
    <row r="165">
      <c r="A165" s="50">
        <v>0.0</v>
      </c>
      <c r="B165" s="50">
        <v>0.0</v>
      </c>
      <c r="C165" s="50">
        <f>1000+12400</f>
        <v>13400</v>
      </c>
      <c r="D165" s="50">
        <f>10000+44400</f>
        <v>54400</v>
      </c>
      <c r="E165" s="50">
        <v>5000.0</v>
      </c>
      <c r="F165" s="50">
        <v>12500.0</v>
      </c>
      <c r="G165" s="50">
        <v>0.0</v>
      </c>
      <c r="H165" s="50">
        <f>1000+22000</f>
        <v>23000</v>
      </c>
    </row>
    <row r="166">
      <c r="C166" s="31" t="s">
        <v>3744</v>
      </c>
      <c r="D166" s="31" t="s">
        <v>3745</v>
      </c>
      <c r="E166" s="31" t="s">
        <v>3732</v>
      </c>
      <c r="F166" s="31" t="s">
        <v>3702</v>
      </c>
      <c r="H166" s="31" t="s">
        <v>3746</v>
      </c>
    </row>
    <row r="167">
      <c r="C167" s="31" t="s">
        <v>677</v>
      </c>
      <c r="D167" s="31" t="s">
        <v>820</v>
      </c>
      <c r="E167" s="31" t="s">
        <v>844</v>
      </c>
      <c r="F167" s="31" t="s">
        <v>677</v>
      </c>
      <c r="H167" s="31" t="s">
        <v>677</v>
      </c>
    </row>
    <row r="168">
      <c r="C168" s="31" t="s">
        <v>1836</v>
      </c>
      <c r="D168" s="31" t="s">
        <v>1613</v>
      </c>
      <c r="F168" s="31" t="s">
        <v>3747</v>
      </c>
      <c r="H168" s="31" t="s">
        <v>921</v>
      </c>
    </row>
    <row r="169">
      <c r="F169" s="31" t="s">
        <v>677</v>
      </c>
    </row>
    <row r="170">
      <c r="F170" s="31" t="s">
        <v>1835</v>
      </c>
    </row>
    <row r="171">
      <c r="F171" s="31" t="s">
        <v>927</v>
      </c>
    </row>
    <row r="174">
      <c r="A174" s="205" t="s">
        <v>928</v>
      </c>
    </row>
    <row r="175">
      <c r="A175" s="205">
        <f>A178</f>
        <v>0</v>
      </c>
    </row>
    <row r="176">
      <c r="A176" s="205">
        <v>2026.0</v>
      </c>
    </row>
    <row r="177">
      <c r="A177" s="205" t="s">
        <v>368</v>
      </c>
    </row>
    <row r="178">
      <c r="A178" s="206">
        <f>A181+B181+C181+D181+E181+F181+G181+H181+I181+J181</f>
        <v>0</v>
      </c>
    </row>
    <row r="179">
      <c r="A179" s="103" t="s">
        <v>929</v>
      </c>
      <c r="B179" s="103" t="s">
        <v>930</v>
      </c>
      <c r="C179" s="103" t="s">
        <v>931</v>
      </c>
      <c r="D179" s="103" t="s">
        <v>932</v>
      </c>
      <c r="E179" s="103" t="s">
        <v>933</v>
      </c>
      <c r="F179" s="103" t="s">
        <v>934</v>
      </c>
      <c r="G179" s="103" t="s">
        <v>935</v>
      </c>
      <c r="H179" s="103" t="s">
        <v>936</v>
      </c>
      <c r="I179" s="103" t="s">
        <v>937</v>
      </c>
      <c r="J179" s="103" t="s">
        <v>938</v>
      </c>
    </row>
    <row r="180">
      <c r="A180" s="64" t="s">
        <v>377</v>
      </c>
      <c r="B180" s="64" t="s">
        <v>377</v>
      </c>
      <c r="C180" s="64" t="s">
        <v>377</v>
      </c>
      <c r="D180" s="64" t="s">
        <v>377</v>
      </c>
      <c r="E180" s="64" t="s">
        <v>377</v>
      </c>
      <c r="F180" s="64" t="s">
        <v>377</v>
      </c>
      <c r="G180" s="64" t="s">
        <v>377</v>
      </c>
      <c r="H180" s="64" t="s">
        <v>377</v>
      </c>
      <c r="I180" s="64" t="s">
        <v>377</v>
      </c>
      <c r="J180" s="64" t="s">
        <v>377</v>
      </c>
    </row>
    <row r="181">
      <c r="A181" s="103">
        <v>0.0</v>
      </c>
      <c r="B181" s="103">
        <v>0.0</v>
      </c>
      <c r="C181" s="103">
        <v>0.0</v>
      </c>
      <c r="D181" s="103">
        <v>0.0</v>
      </c>
      <c r="E181" s="103">
        <v>0.0</v>
      </c>
      <c r="F181" s="103">
        <v>0.0</v>
      </c>
      <c r="G181" s="103">
        <v>0.0</v>
      </c>
      <c r="H181" s="103">
        <v>0.0</v>
      </c>
      <c r="I181" s="103">
        <v>0.0</v>
      </c>
      <c r="J181" s="103">
        <v>0.0</v>
      </c>
    </row>
    <row r="185">
      <c r="A185" s="48" t="s">
        <v>367</v>
      </c>
    </row>
    <row r="186">
      <c r="A186" s="49">
        <f>A189</f>
        <v>479000</v>
      </c>
    </row>
    <row r="187">
      <c r="A187" s="49">
        <v>2026.0</v>
      </c>
    </row>
    <row r="188">
      <c r="A188" s="49" t="s">
        <v>368</v>
      </c>
    </row>
    <row r="189">
      <c r="A189" s="49">
        <f>A192+B192+C192+D192+E192+F192+G192+H192</f>
        <v>479000</v>
      </c>
    </row>
    <row r="190">
      <c r="A190" s="33" t="s">
        <v>369</v>
      </c>
      <c r="B190" s="33" t="s">
        <v>370</v>
      </c>
      <c r="C190" s="33" t="s">
        <v>371</v>
      </c>
      <c r="D190" s="33" t="s">
        <v>372</v>
      </c>
      <c r="E190" s="33" t="s">
        <v>373</v>
      </c>
      <c r="F190" s="33" t="s">
        <v>374</v>
      </c>
      <c r="G190" s="33" t="s">
        <v>375</v>
      </c>
      <c r="H190" s="33" t="s">
        <v>376</v>
      </c>
      <c r="I190" s="103"/>
      <c r="J190" s="103"/>
    </row>
    <row r="191">
      <c r="A191" s="33" t="s">
        <v>377</v>
      </c>
      <c r="B191" s="33" t="s">
        <v>377</v>
      </c>
      <c r="C191" s="33" t="s">
        <v>377</v>
      </c>
      <c r="D191" s="33" t="s">
        <v>377</v>
      </c>
      <c r="E191" s="33" t="s">
        <v>377</v>
      </c>
      <c r="F191" s="33" t="s">
        <v>377</v>
      </c>
      <c r="G191" s="33" t="s">
        <v>377</v>
      </c>
      <c r="H191" s="33" t="s">
        <v>377</v>
      </c>
    </row>
    <row r="192">
      <c r="A192" s="50">
        <f>29000+59825</f>
        <v>88825</v>
      </c>
      <c r="B192" s="50">
        <v>0.0</v>
      </c>
      <c r="C192" s="50">
        <v>33000.0</v>
      </c>
      <c r="D192" s="50">
        <v>0.0</v>
      </c>
      <c r="E192" s="50">
        <v>165000.0</v>
      </c>
      <c r="F192" s="50">
        <v>66000.0</v>
      </c>
      <c r="G192" s="50">
        <f>7000+119175</f>
        <v>126175</v>
      </c>
      <c r="H192" s="50">
        <v>0.0</v>
      </c>
    </row>
    <row r="193">
      <c r="A193" s="31" t="s">
        <v>3748</v>
      </c>
      <c r="C193" s="31" t="s">
        <v>3749</v>
      </c>
      <c r="E193" s="31" t="s">
        <v>3676</v>
      </c>
      <c r="F193" s="31" t="s">
        <v>3750</v>
      </c>
      <c r="G193" s="31" t="s">
        <v>3628</v>
      </c>
    </row>
    <row r="194">
      <c r="A194" s="31" t="s">
        <v>926</v>
      </c>
      <c r="C194" s="31" t="s">
        <v>885</v>
      </c>
      <c r="E194" s="31" t="s">
        <v>1236</v>
      </c>
      <c r="F194" s="31" t="s">
        <v>826</v>
      </c>
      <c r="G194" s="31" t="s">
        <v>826</v>
      </c>
    </row>
    <row r="195">
      <c r="A195" s="31" t="s">
        <v>944</v>
      </c>
      <c r="C195" s="31" t="s">
        <v>944</v>
      </c>
      <c r="E195" s="31" t="s">
        <v>3704</v>
      </c>
      <c r="F195" s="31" t="s">
        <v>3638</v>
      </c>
      <c r="G195" s="31" t="s">
        <v>945</v>
      </c>
    </row>
    <row r="196">
      <c r="A196" s="31" t="s">
        <v>945</v>
      </c>
      <c r="C196" s="31" t="s">
        <v>381</v>
      </c>
      <c r="E196" s="31" t="s">
        <v>951</v>
      </c>
      <c r="F196" s="31" t="s">
        <v>826</v>
      </c>
      <c r="G196" s="76" t="s">
        <v>958</v>
      </c>
    </row>
    <row r="197">
      <c r="A197" s="76" t="s">
        <v>954</v>
      </c>
      <c r="E197" s="31" t="s">
        <v>3751</v>
      </c>
      <c r="F197" s="31" t="s">
        <v>3695</v>
      </c>
    </row>
    <row r="198">
      <c r="E198" s="31" t="s">
        <v>951</v>
      </c>
      <c r="F198" s="31" t="s">
        <v>864</v>
      </c>
    </row>
    <row r="199">
      <c r="A199" s="75"/>
      <c r="B199" s="75"/>
      <c r="C199" s="75"/>
      <c r="D199" s="75"/>
      <c r="E199" s="31" t="s">
        <v>945</v>
      </c>
      <c r="F199" s="75" t="s">
        <v>3752</v>
      </c>
      <c r="G199" s="75"/>
      <c r="H199" s="75"/>
      <c r="I199" s="105"/>
    </row>
    <row r="200">
      <c r="A200" s="75"/>
      <c r="B200" s="75"/>
      <c r="C200" s="75"/>
      <c r="D200" s="75"/>
      <c r="E200" s="75"/>
      <c r="F200" s="31" t="s">
        <v>901</v>
      </c>
      <c r="G200" s="75"/>
      <c r="H200" s="75"/>
      <c r="I200" s="105"/>
    </row>
    <row r="201">
      <c r="A201" s="75"/>
      <c r="B201" s="75"/>
      <c r="C201" s="75"/>
      <c r="D201" s="75"/>
      <c r="E201" s="75"/>
      <c r="F201" s="75"/>
      <c r="G201" s="75"/>
      <c r="H201" s="75"/>
      <c r="I201" s="105"/>
    </row>
    <row r="202">
      <c r="A202" s="75"/>
      <c r="B202" s="75"/>
      <c r="C202" s="75"/>
      <c r="D202" s="75"/>
      <c r="E202" s="75"/>
      <c r="F202" s="75"/>
      <c r="G202" s="75"/>
      <c r="H202" s="75"/>
      <c r="I202" s="105"/>
    </row>
    <row r="203">
      <c r="A203" s="75"/>
      <c r="B203" s="75"/>
      <c r="C203" s="75"/>
      <c r="D203" s="75"/>
      <c r="E203" s="75"/>
      <c r="F203" s="75"/>
      <c r="G203" s="75"/>
      <c r="H203" s="75"/>
      <c r="I203" s="105"/>
    </row>
    <row r="204">
      <c r="A204" s="75"/>
      <c r="B204" s="75"/>
      <c r="C204" s="75"/>
      <c r="D204" s="75"/>
      <c r="F204" s="75"/>
      <c r="G204" s="75"/>
      <c r="H204" s="75"/>
      <c r="I204" s="105"/>
    </row>
    <row r="205">
      <c r="A205" s="75"/>
      <c r="B205" s="105"/>
      <c r="C205" s="75"/>
      <c r="D205" s="75"/>
      <c r="E205" s="105"/>
      <c r="F205" s="75"/>
      <c r="G205" s="75"/>
      <c r="H205" s="75"/>
      <c r="I205" s="105"/>
    </row>
    <row r="206">
      <c r="A206" s="75"/>
      <c r="B206" s="105"/>
      <c r="C206" s="75"/>
      <c r="D206" s="75"/>
      <c r="E206" s="105"/>
      <c r="F206" s="75"/>
      <c r="G206" s="75"/>
      <c r="H206" s="75"/>
      <c r="I206" s="105"/>
    </row>
    <row r="207">
      <c r="A207" s="75"/>
      <c r="B207" s="105"/>
      <c r="C207" s="75"/>
      <c r="D207" s="75"/>
      <c r="E207" s="105"/>
      <c r="F207" s="75"/>
      <c r="G207" s="75"/>
      <c r="H207" s="75"/>
      <c r="I207" s="105"/>
    </row>
    <row r="208">
      <c r="A208" s="75"/>
      <c r="B208" s="105"/>
      <c r="C208" s="75"/>
      <c r="D208" s="105"/>
      <c r="E208" s="105"/>
      <c r="F208" s="105"/>
      <c r="G208" s="75"/>
      <c r="H208" s="105"/>
      <c r="I208" s="105"/>
    </row>
    <row r="209">
      <c r="A209" s="75"/>
      <c r="B209" s="105"/>
      <c r="C209" s="75"/>
      <c r="D209" s="105"/>
      <c r="E209" s="105"/>
      <c r="F209" s="105"/>
      <c r="G209" s="75"/>
      <c r="H209" s="105"/>
      <c r="I209" s="105"/>
    </row>
    <row r="210">
      <c r="A210" s="75"/>
      <c r="B210" s="105"/>
      <c r="C210" s="105"/>
      <c r="D210" s="105"/>
      <c r="E210" s="105"/>
      <c r="F210" s="105"/>
      <c r="G210" s="75"/>
      <c r="H210" s="105"/>
      <c r="I210" s="105"/>
    </row>
    <row r="211">
      <c r="A211" s="105"/>
      <c r="B211" s="105"/>
      <c r="C211" s="105"/>
      <c r="D211" s="105"/>
      <c r="E211" s="105"/>
      <c r="F211" s="105"/>
      <c r="G211" s="75"/>
      <c r="H211" s="105"/>
      <c r="I211" s="105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</row>
  </sheetData>
  <mergeCells count="97">
    <mergeCell ref="A1:T1"/>
    <mergeCell ref="A2:T2"/>
    <mergeCell ref="A3:T3"/>
    <mergeCell ref="A4:T4"/>
    <mergeCell ref="J5:L5"/>
    <mergeCell ref="M5:O5"/>
    <mergeCell ref="P5:T5"/>
    <mergeCell ref="G5:I5"/>
    <mergeCell ref="G6:I6"/>
    <mergeCell ref="J6:L6"/>
    <mergeCell ref="M6:O6"/>
    <mergeCell ref="P6:T6"/>
    <mergeCell ref="J7:L7"/>
    <mergeCell ref="M7:O7"/>
    <mergeCell ref="Q10:T10"/>
    <mergeCell ref="Q12:R12"/>
    <mergeCell ref="Q14:R14"/>
    <mergeCell ref="O10:O12"/>
    <mergeCell ref="O13:O16"/>
    <mergeCell ref="P13:P14"/>
    <mergeCell ref="P15:P16"/>
    <mergeCell ref="Q16:R16"/>
    <mergeCell ref="J8:L8"/>
    <mergeCell ref="M8:O8"/>
    <mergeCell ref="P8:P12"/>
    <mergeCell ref="J10:J11"/>
    <mergeCell ref="L10:L11"/>
    <mergeCell ref="M10:M12"/>
    <mergeCell ref="M13:M16"/>
    <mergeCell ref="M23:N23"/>
    <mergeCell ref="M24:N24"/>
    <mergeCell ref="A116:J116"/>
    <mergeCell ref="A117:J117"/>
    <mergeCell ref="A118:J118"/>
    <mergeCell ref="A119:J119"/>
    <mergeCell ref="A120:J120"/>
    <mergeCell ref="A136:J136"/>
    <mergeCell ref="A137:J137"/>
    <mergeCell ref="A138:J138"/>
    <mergeCell ref="A139:J139"/>
    <mergeCell ref="A140:J140"/>
    <mergeCell ref="A141:J141"/>
    <mergeCell ref="A158:H158"/>
    <mergeCell ref="A159:H159"/>
    <mergeCell ref="A160:H160"/>
    <mergeCell ref="A187:H187"/>
    <mergeCell ref="A188:H188"/>
    <mergeCell ref="A189:H189"/>
    <mergeCell ref="A174:J174"/>
    <mergeCell ref="A175:J175"/>
    <mergeCell ref="A176:J176"/>
    <mergeCell ref="A177:J177"/>
    <mergeCell ref="A178:J178"/>
    <mergeCell ref="A185:H185"/>
    <mergeCell ref="A186:H186"/>
    <mergeCell ref="M18:M19"/>
    <mergeCell ref="O18:O19"/>
    <mergeCell ref="M20:M21"/>
    <mergeCell ref="O20:O21"/>
    <mergeCell ref="G22:I22"/>
    <mergeCell ref="G24:G26"/>
    <mergeCell ref="G27:G29"/>
    <mergeCell ref="I24:I26"/>
    <mergeCell ref="I27:I29"/>
    <mergeCell ref="G30:G32"/>
    <mergeCell ref="I30:I32"/>
    <mergeCell ref="A33:E33"/>
    <mergeCell ref="G33:G35"/>
    <mergeCell ref="I33:I35"/>
    <mergeCell ref="G39:G41"/>
    <mergeCell ref="G42:G44"/>
    <mergeCell ref="I42:I44"/>
    <mergeCell ref="G45:G47"/>
    <mergeCell ref="I45:I47"/>
    <mergeCell ref="A34:E34"/>
    <mergeCell ref="A35:E35"/>
    <mergeCell ref="A36:E36"/>
    <mergeCell ref="G36:G38"/>
    <mergeCell ref="I36:I38"/>
    <mergeCell ref="A37:E37"/>
    <mergeCell ref="I39:I41"/>
    <mergeCell ref="A50:F50"/>
    <mergeCell ref="A51:F51"/>
    <mergeCell ref="A52:F52"/>
    <mergeCell ref="A53:F53"/>
    <mergeCell ref="A73:H73"/>
    <mergeCell ref="A74:H74"/>
    <mergeCell ref="A75:H75"/>
    <mergeCell ref="A76:H76"/>
    <mergeCell ref="A77:H77"/>
    <mergeCell ref="A96:H96"/>
    <mergeCell ref="A97:H97"/>
    <mergeCell ref="A98:H98"/>
    <mergeCell ref="A99:H99"/>
    <mergeCell ref="A100:H100"/>
    <mergeCell ref="A161:H161"/>
    <mergeCell ref="A162:H16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1.88"/>
    <col customWidth="1" min="3" max="3" width="32.75"/>
    <col customWidth="1" min="4" max="4" width="37.0"/>
    <col customWidth="1" min="5" max="5" width="17.63"/>
    <col customWidth="1" min="6" max="6" width="27.5"/>
    <col customWidth="1" min="7" max="7" width="24.38"/>
    <col customWidth="1" min="8" max="8" width="19.75"/>
    <col customWidth="1" min="9" max="9" width="28.25"/>
    <col customWidth="1" min="11" max="11" width="17.75"/>
    <col customWidth="1" min="12" max="12" width="22.13"/>
    <col customWidth="1" min="15" max="15" width="15.75"/>
  </cols>
  <sheetData>
    <row r="1">
      <c r="A1" s="347" t="s">
        <v>3753</v>
      </c>
    </row>
    <row r="2">
      <c r="A2" s="348" t="s">
        <v>3754</v>
      </c>
    </row>
    <row r="3">
      <c r="A3" s="347" t="s">
        <v>338</v>
      </c>
    </row>
    <row r="4">
      <c r="A4" s="226">
        <f>100000+B6+C6+E6+H6+K6+N6+Q18+A33</f>
        <v>468725</v>
      </c>
    </row>
    <row r="5">
      <c r="A5" s="33" t="s">
        <v>3439</v>
      </c>
      <c r="B5" s="33" t="s">
        <v>341</v>
      </c>
      <c r="C5" s="33" t="s">
        <v>384</v>
      </c>
      <c r="D5" s="33" t="s">
        <v>344</v>
      </c>
      <c r="E5" s="33" t="s">
        <v>975</v>
      </c>
      <c r="H5" s="145" t="s">
        <v>3755</v>
      </c>
      <c r="K5" s="145" t="s">
        <v>421</v>
      </c>
      <c r="N5" s="144" t="s">
        <v>422</v>
      </c>
    </row>
    <row r="6">
      <c r="A6" s="31" t="s">
        <v>3756</v>
      </c>
      <c r="B6" s="228">
        <v>-30000.0</v>
      </c>
      <c r="C6" s="228">
        <v>10000.0</v>
      </c>
      <c r="D6" s="31" t="s">
        <v>3757</v>
      </c>
      <c r="E6" s="349">
        <f>E8+F8+G8</f>
        <v>-36500</v>
      </c>
      <c r="H6" s="350">
        <f>H8</f>
        <v>28400</v>
      </c>
      <c r="K6" s="350">
        <f>K8</f>
        <v>233000</v>
      </c>
      <c r="N6" s="227">
        <f>Q12+Q15+Q18</f>
        <v>39000</v>
      </c>
    </row>
    <row r="7">
      <c r="A7" s="31" t="s">
        <v>2072</v>
      </c>
      <c r="B7" s="55" t="s">
        <v>349</v>
      </c>
      <c r="C7" s="31" t="s">
        <v>632</v>
      </c>
      <c r="D7" s="31" t="s">
        <v>3758</v>
      </c>
      <c r="E7" s="149" t="s">
        <v>432</v>
      </c>
      <c r="F7" s="149" t="s">
        <v>433</v>
      </c>
      <c r="G7" s="149" t="s">
        <v>434</v>
      </c>
      <c r="H7" s="150" t="s">
        <v>435</v>
      </c>
      <c r="K7" s="150" t="s">
        <v>435</v>
      </c>
      <c r="N7" s="149" t="s">
        <v>436</v>
      </c>
      <c r="O7" s="149" t="s">
        <v>437</v>
      </c>
      <c r="P7" s="149" t="s">
        <v>438</v>
      </c>
      <c r="Q7" s="149" t="s">
        <v>0</v>
      </c>
      <c r="R7" s="149" t="s">
        <v>439</v>
      </c>
    </row>
    <row r="8">
      <c r="A8" s="31" t="s">
        <v>3759</v>
      </c>
      <c r="B8" s="4" t="s">
        <v>32</v>
      </c>
      <c r="C8" s="31" t="s">
        <v>3760</v>
      </c>
      <c r="D8" s="31" t="s">
        <v>3761</v>
      </c>
      <c r="E8" s="340">
        <f>G17+G20+G23+G26+G29</f>
        <v>3500</v>
      </c>
      <c r="F8" s="340">
        <v>-35000.0</v>
      </c>
      <c r="G8" s="340">
        <v>-5000.0</v>
      </c>
      <c r="H8" s="351">
        <f>J10+J12+J13+J16+J17</f>
        <v>28400</v>
      </c>
      <c r="K8" s="351">
        <f>M10+M11+M12+M15+M16+M17+M18</f>
        <v>233000</v>
      </c>
      <c r="N8" s="71" t="s">
        <v>3762</v>
      </c>
      <c r="O8" s="26" t="s">
        <v>655</v>
      </c>
      <c r="P8" s="26">
        <v>2.0</v>
      </c>
      <c r="Q8" s="26">
        <f>P8*2000</f>
        <v>4000</v>
      </c>
      <c r="R8" s="9">
        <f t="shared" ref="R8:R9" si="1">P8*20</f>
        <v>40</v>
      </c>
    </row>
    <row r="9">
      <c r="A9" s="31" t="s">
        <v>3763</v>
      </c>
      <c r="B9" s="55" t="s">
        <v>48</v>
      </c>
      <c r="C9" s="31" t="s">
        <v>1033</v>
      </c>
      <c r="D9" s="31" t="s">
        <v>3764</v>
      </c>
      <c r="E9" s="25"/>
      <c r="F9" s="4" t="s">
        <v>3036</v>
      </c>
      <c r="G9" s="149" t="s">
        <v>455</v>
      </c>
      <c r="H9" s="352" t="s">
        <v>456</v>
      </c>
      <c r="I9" s="352" t="s">
        <v>457</v>
      </c>
      <c r="J9" s="352" t="s">
        <v>0</v>
      </c>
      <c r="K9" s="352" t="s">
        <v>456</v>
      </c>
      <c r="L9" s="352" t="s">
        <v>457</v>
      </c>
      <c r="M9" s="352" t="s">
        <v>0</v>
      </c>
      <c r="O9" s="26" t="s">
        <v>447</v>
      </c>
      <c r="P9" s="26">
        <v>0.5</v>
      </c>
      <c r="Q9" s="26">
        <f>P9*1000</f>
        <v>500</v>
      </c>
      <c r="R9" s="9">
        <f t="shared" si="1"/>
        <v>10</v>
      </c>
      <c r="U9" s="4"/>
      <c r="V9" s="4"/>
      <c r="W9" s="4"/>
    </row>
    <row r="10">
      <c r="A10" s="31" t="s">
        <v>3408</v>
      </c>
      <c r="B10" s="4" t="s">
        <v>60</v>
      </c>
      <c r="C10" s="31" t="s">
        <v>3765</v>
      </c>
      <c r="D10" s="31" t="s">
        <v>3766</v>
      </c>
      <c r="F10" s="4" t="s">
        <v>3767</v>
      </c>
      <c r="G10" s="4" t="s">
        <v>3768</v>
      </c>
      <c r="H10" s="71" t="s">
        <v>3769</v>
      </c>
      <c r="I10" s="71" t="s">
        <v>479</v>
      </c>
      <c r="J10" s="71">
        <v>4000.0</v>
      </c>
      <c r="K10" s="71" t="s">
        <v>3770</v>
      </c>
      <c r="L10" s="71" t="s">
        <v>2972</v>
      </c>
      <c r="M10" s="71">
        <v>6000.0</v>
      </c>
      <c r="O10" s="26" t="s">
        <v>654</v>
      </c>
      <c r="P10" s="26">
        <v>1.0</v>
      </c>
      <c r="Q10" s="9">
        <f>P10*8000</f>
        <v>8000</v>
      </c>
      <c r="R10" s="9">
        <f>P10*80</f>
        <v>80</v>
      </c>
      <c r="U10" s="4"/>
    </row>
    <row r="11">
      <c r="A11" s="31" t="s">
        <v>3771</v>
      </c>
      <c r="B11" s="55" t="s">
        <v>69</v>
      </c>
      <c r="C11" s="31" t="s">
        <v>1016</v>
      </c>
      <c r="D11" s="31" t="s">
        <v>3772</v>
      </c>
      <c r="F11" s="4" t="s">
        <v>2395</v>
      </c>
      <c r="G11" s="8"/>
      <c r="I11" s="71" t="s">
        <v>531</v>
      </c>
      <c r="K11" s="71" t="s">
        <v>3773</v>
      </c>
      <c r="L11" s="71" t="s">
        <v>543</v>
      </c>
      <c r="M11" s="71">
        <v>3000.0</v>
      </c>
      <c r="O11" s="26" t="s">
        <v>500</v>
      </c>
      <c r="P11" s="26">
        <v>1.0</v>
      </c>
      <c r="Q11" s="9">
        <f>P11*3000</f>
        <v>3000</v>
      </c>
      <c r="R11" s="9">
        <f>P11*40</f>
        <v>40</v>
      </c>
      <c r="U11" s="4"/>
    </row>
    <row r="12">
      <c r="A12" s="31" t="s">
        <v>3774</v>
      </c>
      <c r="B12" s="4" t="s">
        <v>60</v>
      </c>
      <c r="C12" s="31" t="s">
        <v>3775</v>
      </c>
      <c r="D12" s="31" t="s">
        <v>3776</v>
      </c>
      <c r="F12" s="4" t="s">
        <v>3777</v>
      </c>
      <c r="G12" s="8"/>
      <c r="H12" s="71" t="s">
        <v>1574</v>
      </c>
      <c r="I12" s="71" t="s">
        <v>467</v>
      </c>
      <c r="J12" s="71">
        <v>1000.0</v>
      </c>
      <c r="K12" s="71" t="s">
        <v>3778</v>
      </c>
      <c r="L12" s="71" t="s">
        <v>469</v>
      </c>
      <c r="M12" s="71">
        <v>10000.0</v>
      </c>
      <c r="O12" s="155" t="s">
        <v>470</v>
      </c>
      <c r="Q12" s="155">
        <f t="shared" ref="Q12:R12" si="2">Q8+Q9+Q10+Q11</f>
        <v>15500</v>
      </c>
      <c r="R12" s="156">
        <f t="shared" si="2"/>
        <v>170</v>
      </c>
      <c r="U12" s="4"/>
    </row>
    <row r="13">
      <c r="A13" s="31" t="s">
        <v>3779</v>
      </c>
      <c r="C13" s="31" t="s">
        <v>1956</v>
      </c>
      <c r="D13" s="31" t="s">
        <v>3780</v>
      </c>
      <c r="F13" s="4" t="s">
        <v>639</v>
      </c>
      <c r="G13" s="8"/>
      <c r="H13" s="71" t="s">
        <v>3781</v>
      </c>
      <c r="I13" s="71" t="s">
        <v>3782</v>
      </c>
      <c r="J13" s="71">
        <f>16000+5400</f>
        <v>21400</v>
      </c>
      <c r="L13" s="4" t="s">
        <v>1963</v>
      </c>
      <c r="N13" s="71" t="s">
        <v>3783</v>
      </c>
      <c r="O13" s="26" t="s">
        <v>511</v>
      </c>
      <c r="P13" s="26">
        <v>0.5</v>
      </c>
      <c r="Q13" s="9">
        <f>P13*10000</f>
        <v>5000</v>
      </c>
      <c r="R13" s="9">
        <f>P13*100</f>
        <v>50</v>
      </c>
      <c r="U13" s="4"/>
    </row>
    <row r="14">
      <c r="A14" s="31" t="s">
        <v>3784</v>
      </c>
      <c r="C14" s="31" t="s">
        <v>3785</v>
      </c>
      <c r="D14" s="31" t="s">
        <v>3786</v>
      </c>
      <c r="F14" s="31" t="s">
        <v>3667</v>
      </c>
      <c r="I14" s="33" t="s">
        <v>2272</v>
      </c>
      <c r="L14" s="71" t="s">
        <v>1035</v>
      </c>
      <c r="O14" s="26" t="s">
        <v>447</v>
      </c>
      <c r="P14" s="26">
        <v>0.5</v>
      </c>
      <c r="Q14" s="26">
        <f>P14*1000</f>
        <v>500</v>
      </c>
      <c r="R14" s="9">
        <f>P14*20</f>
        <v>10</v>
      </c>
      <c r="U14" s="4"/>
      <c r="W14" s="8"/>
    </row>
    <row r="15">
      <c r="A15" s="31" t="s">
        <v>3787</v>
      </c>
      <c r="C15" s="31" t="s">
        <v>1674</v>
      </c>
      <c r="D15" s="31" t="s">
        <v>3788</v>
      </c>
      <c r="E15" s="340" t="s">
        <v>594</v>
      </c>
      <c r="I15" s="33" t="s">
        <v>498</v>
      </c>
      <c r="K15" s="71" t="s">
        <v>3789</v>
      </c>
      <c r="L15" s="71" t="s">
        <v>1052</v>
      </c>
      <c r="M15" s="71">
        <v>10000.0</v>
      </c>
      <c r="O15" s="155" t="s">
        <v>470</v>
      </c>
      <c r="Q15" s="156">
        <f t="shared" ref="Q15:R15" si="3">Q14+Q13</f>
        <v>5500</v>
      </c>
      <c r="R15" s="156">
        <f t="shared" si="3"/>
        <v>60</v>
      </c>
      <c r="U15" s="4"/>
      <c r="V15" s="8"/>
      <c r="W15" s="8"/>
    </row>
    <row r="16">
      <c r="A16" s="31" t="s">
        <v>3790</v>
      </c>
      <c r="C16" s="31" t="s">
        <v>3791</v>
      </c>
      <c r="D16" s="31" t="s">
        <v>3792</v>
      </c>
      <c r="E16" s="343" t="s">
        <v>456</v>
      </c>
      <c r="F16" s="343" t="s">
        <v>457</v>
      </c>
      <c r="G16" s="343" t="s">
        <v>0</v>
      </c>
      <c r="H16" s="71" t="s">
        <v>3793</v>
      </c>
      <c r="I16" s="71" t="s">
        <v>479</v>
      </c>
      <c r="J16" s="71">
        <v>1000.0</v>
      </c>
      <c r="K16" s="4" t="s">
        <v>3794</v>
      </c>
      <c r="L16" s="71" t="s">
        <v>572</v>
      </c>
      <c r="M16" s="4">
        <v>1000.0</v>
      </c>
      <c r="N16" s="71" t="s">
        <v>3795</v>
      </c>
      <c r="O16" s="26" t="s">
        <v>511</v>
      </c>
      <c r="P16" s="26">
        <v>1.0</v>
      </c>
      <c r="Q16" s="9">
        <f>P16*10000</f>
        <v>10000</v>
      </c>
      <c r="R16" s="9">
        <f>P16*100</f>
        <v>100</v>
      </c>
      <c r="U16" s="4"/>
      <c r="V16" s="8"/>
      <c r="W16" s="8"/>
    </row>
    <row r="17">
      <c r="A17" s="31" t="s">
        <v>3796</v>
      </c>
      <c r="C17" s="31" t="s">
        <v>1900</v>
      </c>
      <c r="E17" s="71" t="s">
        <v>3797</v>
      </c>
      <c r="F17" s="71" t="s">
        <v>650</v>
      </c>
      <c r="G17" s="71">
        <v>500.0</v>
      </c>
      <c r="H17" s="71" t="s">
        <v>3798</v>
      </c>
      <c r="I17" s="71" t="s">
        <v>3782</v>
      </c>
      <c r="J17" s="71">
        <v>1000.0</v>
      </c>
      <c r="K17" s="71" t="s">
        <v>3799</v>
      </c>
      <c r="L17" s="4" t="s">
        <v>1963</v>
      </c>
      <c r="M17" s="71">
        <v>3000.0</v>
      </c>
      <c r="O17" s="26" t="s">
        <v>654</v>
      </c>
      <c r="P17" s="26">
        <v>1.0</v>
      </c>
      <c r="Q17" s="9">
        <f>P17*8000</f>
        <v>8000</v>
      </c>
      <c r="R17" s="9">
        <f>P17*80</f>
        <v>80</v>
      </c>
      <c r="U17" s="4"/>
      <c r="V17" s="8"/>
      <c r="W17" s="8"/>
    </row>
    <row r="18">
      <c r="A18" s="31" t="s">
        <v>3800</v>
      </c>
      <c r="C18" s="31" t="s">
        <v>1900</v>
      </c>
      <c r="F18" s="71" t="s">
        <v>644</v>
      </c>
      <c r="H18" s="71" t="s">
        <v>3801</v>
      </c>
      <c r="I18" s="71" t="s">
        <v>467</v>
      </c>
      <c r="J18" s="71">
        <f>1000+5400</f>
        <v>6400</v>
      </c>
      <c r="K18" s="33" t="s">
        <v>578</v>
      </c>
      <c r="M18" s="4">
        <v>200000.0</v>
      </c>
      <c r="O18" s="155" t="s">
        <v>470</v>
      </c>
      <c r="Q18" s="156">
        <f t="shared" ref="Q18:R18" si="4">Q16+Q17</f>
        <v>18000</v>
      </c>
      <c r="R18" s="156">
        <f t="shared" si="4"/>
        <v>180</v>
      </c>
      <c r="U18" s="4"/>
      <c r="V18" s="8"/>
      <c r="W18" s="8"/>
    </row>
    <row r="19">
      <c r="A19" s="31" t="s">
        <v>3802</v>
      </c>
      <c r="C19" s="31" t="s">
        <v>3803</v>
      </c>
      <c r="F19" s="71" t="s">
        <v>652</v>
      </c>
      <c r="I19" s="33" t="s">
        <v>498</v>
      </c>
      <c r="K19" s="71"/>
      <c r="L19" s="71"/>
      <c r="M19" s="71"/>
      <c r="U19" s="4"/>
      <c r="V19" s="8"/>
      <c r="W19" s="8"/>
    </row>
    <row r="20">
      <c r="A20" s="31" t="s">
        <v>3804</v>
      </c>
      <c r="C20" s="31" t="s">
        <v>3805</v>
      </c>
      <c r="E20" s="71" t="s">
        <v>1574</v>
      </c>
      <c r="F20" s="71" t="s">
        <v>650</v>
      </c>
      <c r="G20" s="71">
        <v>500.0</v>
      </c>
      <c r="H20" s="8"/>
      <c r="I20" s="8"/>
      <c r="J20" s="8"/>
      <c r="K20" s="8"/>
      <c r="L20" s="8"/>
      <c r="M20" s="8"/>
      <c r="U20" s="4"/>
      <c r="V20" s="8"/>
      <c r="W20" s="8"/>
    </row>
    <row r="21">
      <c r="A21" s="31" t="s">
        <v>3806</v>
      </c>
      <c r="C21" s="31" t="s">
        <v>1507</v>
      </c>
      <c r="F21" s="71" t="s">
        <v>644</v>
      </c>
      <c r="H21" s="8"/>
      <c r="I21" s="8"/>
      <c r="J21" s="8"/>
      <c r="K21" s="8"/>
      <c r="L21" s="8"/>
      <c r="M21" s="8"/>
      <c r="U21" s="4"/>
      <c r="V21" s="8"/>
      <c r="W21" s="8"/>
    </row>
    <row r="22">
      <c r="A22" s="31" t="s">
        <v>3807</v>
      </c>
      <c r="C22" s="31" t="s">
        <v>3808</v>
      </c>
      <c r="F22" s="71" t="s">
        <v>652</v>
      </c>
      <c r="H22" s="8"/>
      <c r="I22" s="8"/>
      <c r="J22" s="8"/>
      <c r="K22" s="8"/>
      <c r="L22" s="8"/>
      <c r="M22" s="8"/>
      <c r="U22" s="4"/>
      <c r="V22" s="8"/>
      <c r="W22" s="8"/>
    </row>
    <row r="23">
      <c r="A23" s="31" t="s">
        <v>3809</v>
      </c>
      <c r="C23" s="31" t="s">
        <v>3810</v>
      </c>
      <c r="E23" s="71" t="s">
        <v>3811</v>
      </c>
      <c r="F23" s="71" t="s">
        <v>650</v>
      </c>
      <c r="G23" s="71">
        <v>500.0</v>
      </c>
      <c r="H23" s="8"/>
      <c r="I23" s="8"/>
      <c r="J23" s="8"/>
      <c r="K23" s="8"/>
      <c r="L23" s="8"/>
      <c r="M23" s="8"/>
      <c r="U23" s="4"/>
      <c r="V23" s="8"/>
      <c r="W23" s="8"/>
    </row>
    <row r="24">
      <c r="A24" s="31" t="s">
        <v>3812</v>
      </c>
      <c r="C24" s="31" t="s">
        <v>3813</v>
      </c>
      <c r="F24" s="71" t="s">
        <v>635</v>
      </c>
      <c r="H24" s="8"/>
      <c r="I24" s="8"/>
      <c r="J24" s="8"/>
      <c r="K24" s="8"/>
      <c r="L24" s="8"/>
      <c r="M24" s="8"/>
      <c r="U24" s="4"/>
      <c r="V24" s="8"/>
      <c r="W24" s="8"/>
    </row>
    <row r="25">
      <c r="A25" s="31" t="s">
        <v>3814</v>
      </c>
      <c r="C25" s="31" t="s">
        <v>2469</v>
      </c>
      <c r="F25" s="71" t="s">
        <v>613</v>
      </c>
      <c r="H25" s="8"/>
      <c r="I25" s="8"/>
      <c r="J25" s="8"/>
      <c r="K25" s="8"/>
      <c r="L25" s="8"/>
      <c r="M25" s="8"/>
      <c r="U25" s="4"/>
      <c r="V25" s="8"/>
      <c r="W25" s="8"/>
    </row>
    <row r="26">
      <c r="A26" s="31" t="s">
        <v>3815</v>
      </c>
      <c r="C26" s="31" t="s">
        <v>3816</v>
      </c>
      <c r="E26" s="71" t="s">
        <v>3789</v>
      </c>
      <c r="F26" s="71" t="s">
        <v>631</v>
      </c>
      <c r="G26" s="71">
        <v>1500.0</v>
      </c>
      <c r="U26" s="4"/>
      <c r="V26" s="8"/>
      <c r="W26" s="8"/>
    </row>
    <row r="27">
      <c r="A27" s="31" t="s">
        <v>3817</v>
      </c>
      <c r="C27" s="31" t="s">
        <v>3818</v>
      </c>
      <c r="F27" s="71" t="s">
        <v>635</v>
      </c>
      <c r="U27" s="4"/>
      <c r="V27" s="8"/>
      <c r="W27" s="8"/>
    </row>
    <row r="28">
      <c r="A28" s="31" t="s">
        <v>3819</v>
      </c>
      <c r="F28" s="71" t="s">
        <v>613</v>
      </c>
    </row>
    <row r="29">
      <c r="E29" s="71" t="s">
        <v>3820</v>
      </c>
      <c r="F29" s="71" t="s">
        <v>650</v>
      </c>
      <c r="G29" s="71">
        <v>500.0</v>
      </c>
    </row>
    <row r="30">
      <c r="F30" s="71" t="s">
        <v>644</v>
      </c>
    </row>
    <row r="31">
      <c r="F31" s="71" t="s">
        <v>652</v>
      </c>
    </row>
    <row r="32">
      <c r="A32" s="47" t="s">
        <v>366</v>
      </c>
    </row>
    <row r="33">
      <c r="A33" s="47">
        <f>A35</f>
        <v>106825</v>
      </c>
    </row>
    <row r="34">
      <c r="A34" s="48" t="s">
        <v>367</v>
      </c>
    </row>
    <row r="35">
      <c r="A35" s="49">
        <f>A38</f>
        <v>106825</v>
      </c>
    </row>
    <row r="36">
      <c r="A36" s="49">
        <v>2026.0</v>
      </c>
    </row>
    <row r="37">
      <c r="A37" s="49" t="s">
        <v>368</v>
      </c>
    </row>
    <row r="38">
      <c r="A38" s="49">
        <f>A41+B41+C41+D41+E41+F41+G41+H41</f>
        <v>106825</v>
      </c>
    </row>
    <row r="39">
      <c r="A39" s="33" t="s">
        <v>369</v>
      </c>
      <c r="B39" s="33" t="s">
        <v>370</v>
      </c>
      <c r="C39" s="33" t="s">
        <v>371</v>
      </c>
      <c r="D39" s="33" t="s">
        <v>372</v>
      </c>
      <c r="E39" s="33" t="s">
        <v>373</v>
      </c>
      <c r="F39" s="33" t="s">
        <v>374</v>
      </c>
      <c r="G39" s="33" t="s">
        <v>375</v>
      </c>
      <c r="H39" s="33" t="s">
        <v>376</v>
      </c>
      <c r="I39" s="103"/>
      <c r="J39" s="103"/>
    </row>
    <row r="40">
      <c r="A40" s="33" t="s">
        <v>377</v>
      </c>
      <c r="B40" s="33" t="s">
        <v>377</v>
      </c>
      <c r="C40" s="33" t="s">
        <v>377</v>
      </c>
      <c r="D40" s="33" t="s">
        <v>377</v>
      </c>
      <c r="E40" s="33" t="s">
        <v>377</v>
      </c>
      <c r="F40" s="33" t="s">
        <v>377</v>
      </c>
      <c r="G40" s="33" t="s">
        <v>377</v>
      </c>
      <c r="H40" s="33" t="s">
        <v>377</v>
      </c>
    </row>
    <row r="41">
      <c r="A41" s="50">
        <f>27000+59825</f>
        <v>86825</v>
      </c>
      <c r="B41" s="50">
        <v>0.0</v>
      </c>
      <c r="C41" s="50">
        <v>0.0</v>
      </c>
      <c r="D41" s="50">
        <v>0.0</v>
      </c>
      <c r="E41" s="50">
        <v>0.0</v>
      </c>
      <c r="F41" s="50">
        <v>0.0</v>
      </c>
      <c r="G41" s="50">
        <v>0.0</v>
      </c>
      <c r="H41" s="50">
        <v>20000.0</v>
      </c>
    </row>
    <row r="42">
      <c r="A42" s="31" t="s">
        <v>3821</v>
      </c>
      <c r="H42" s="31" t="s">
        <v>3762</v>
      </c>
    </row>
    <row r="43">
      <c r="A43" s="31" t="s">
        <v>901</v>
      </c>
      <c r="H43" s="31" t="s">
        <v>848</v>
      </c>
    </row>
    <row r="44">
      <c r="A44" s="76" t="s">
        <v>954</v>
      </c>
    </row>
  </sheetData>
  <mergeCells count="49">
    <mergeCell ref="A1:R1"/>
    <mergeCell ref="A2:R2"/>
    <mergeCell ref="A3:R3"/>
    <mergeCell ref="A4:R4"/>
    <mergeCell ref="H5:J5"/>
    <mergeCell ref="K5:M5"/>
    <mergeCell ref="N5:R5"/>
    <mergeCell ref="E5:G5"/>
    <mergeCell ref="E6:G6"/>
    <mergeCell ref="H6:J6"/>
    <mergeCell ref="K6:M6"/>
    <mergeCell ref="N6:R6"/>
    <mergeCell ref="H7:J7"/>
    <mergeCell ref="K7:M7"/>
    <mergeCell ref="N8:N12"/>
    <mergeCell ref="N13:N15"/>
    <mergeCell ref="N16:N18"/>
    <mergeCell ref="O18:P18"/>
    <mergeCell ref="H8:J8"/>
    <mergeCell ref="K8:M8"/>
    <mergeCell ref="J10:J11"/>
    <mergeCell ref="K12:K14"/>
    <mergeCell ref="M12:M14"/>
    <mergeCell ref="O12:P12"/>
    <mergeCell ref="J13:J15"/>
    <mergeCell ref="O15:P15"/>
    <mergeCell ref="H10:H11"/>
    <mergeCell ref="H13:H15"/>
    <mergeCell ref="E15:G15"/>
    <mergeCell ref="G17:G19"/>
    <mergeCell ref="H18:H19"/>
    <mergeCell ref="J18:J19"/>
    <mergeCell ref="K18:L18"/>
    <mergeCell ref="E17:E19"/>
    <mergeCell ref="E20:E22"/>
    <mergeCell ref="G20:G22"/>
    <mergeCell ref="E23:E25"/>
    <mergeCell ref="G23:G25"/>
    <mergeCell ref="E26:E28"/>
    <mergeCell ref="E29:E31"/>
    <mergeCell ref="A37:H37"/>
    <mergeCell ref="A38:H38"/>
    <mergeCell ref="G26:G28"/>
    <mergeCell ref="G29:G31"/>
    <mergeCell ref="A32:H32"/>
    <mergeCell ref="A33:H33"/>
    <mergeCell ref="A34:H34"/>
    <mergeCell ref="A35:H35"/>
    <mergeCell ref="A36:H36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2.88"/>
    <col customWidth="1" min="3" max="3" width="33.5"/>
    <col customWidth="1" min="4" max="4" width="25.63"/>
    <col customWidth="1" min="5" max="5" width="17.5"/>
    <col customWidth="1" min="6" max="6" width="21.75"/>
    <col customWidth="1" min="7" max="7" width="16.25"/>
    <col customWidth="1" min="8" max="8" width="17.75"/>
    <col customWidth="1" min="9" max="9" width="22.0"/>
    <col customWidth="1" min="10" max="10" width="22.38"/>
    <col customWidth="1" min="11" max="11" width="22.63"/>
  </cols>
  <sheetData>
    <row r="1">
      <c r="A1" s="21" t="s">
        <v>3822</v>
      </c>
    </row>
    <row r="2">
      <c r="A2" s="22" t="s">
        <v>3823</v>
      </c>
    </row>
    <row r="3">
      <c r="A3" s="21" t="s">
        <v>338</v>
      </c>
    </row>
    <row r="4">
      <c r="A4" s="143">
        <f>100000+B6+C6+D6+E6+A34+J6</f>
        <v>174825</v>
      </c>
    </row>
    <row r="5">
      <c r="A5" s="33" t="s">
        <v>339</v>
      </c>
      <c r="B5" s="33" t="s">
        <v>414</v>
      </c>
      <c r="C5" s="33" t="s">
        <v>342</v>
      </c>
      <c r="D5" s="33" t="s">
        <v>2171</v>
      </c>
      <c r="E5" s="160" t="s">
        <v>422</v>
      </c>
      <c r="J5" s="145" t="s">
        <v>1262</v>
      </c>
    </row>
    <row r="6">
      <c r="A6" s="31" t="s">
        <v>3824</v>
      </c>
      <c r="B6" s="353">
        <v>-30000.0</v>
      </c>
      <c r="C6" s="353">
        <v>-20000.0</v>
      </c>
      <c r="D6" s="354">
        <v>-5000.0</v>
      </c>
      <c r="E6" s="354">
        <f>H9</f>
        <v>1000</v>
      </c>
      <c r="J6" s="148">
        <f>J8</f>
        <v>5000</v>
      </c>
    </row>
    <row r="7">
      <c r="A7" s="31" t="s">
        <v>3825</v>
      </c>
      <c r="B7" s="55" t="s">
        <v>349</v>
      </c>
      <c r="C7" s="31" t="s">
        <v>3826</v>
      </c>
      <c r="D7" s="31" t="s">
        <v>3827</v>
      </c>
      <c r="E7" s="25" t="s">
        <v>436</v>
      </c>
      <c r="F7" s="25" t="s">
        <v>437</v>
      </c>
      <c r="G7" s="25" t="s">
        <v>438</v>
      </c>
      <c r="H7" s="25" t="s">
        <v>0</v>
      </c>
      <c r="I7" s="25" t="s">
        <v>439</v>
      </c>
      <c r="J7" s="150" t="s">
        <v>435</v>
      </c>
    </row>
    <row r="8">
      <c r="A8" s="31" t="s">
        <v>3828</v>
      </c>
      <c r="B8" s="4" t="s">
        <v>3829</v>
      </c>
      <c r="C8" s="31" t="s">
        <v>632</v>
      </c>
      <c r="E8" s="71" t="s">
        <v>3783</v>
      </c>
      <c r="F8" s="26" t="s">
        <v>447</v>
      </c>
      <c r="G8" s="26">
        <v>1.0</v>
      </c>
      <c r="H8" s="26">
        <f>G8*1000</f>
        <v>1000</v>
      </c>
      <c r="I8" s="9">
        <f>G8*20</f>
        <v>20</v>
      </c>
      <c r="J8" s="154">
        <f>L10+L12+L13</f>
        <v>5000</v>
      </c>
    </row>
    <row r="9">
      <c r="A9" s="31" t="s">
        <v>2106</v>
      </c>
      <c r="B9" s="55" t="s">
        <v>48</v>
      </c>
      <c r="C9" s="31" t="s">
        <v>3830</v>
      </c>
      <c r="F9" s="355" t="s">
        <v>470</v>
      </c>
      <c r="H9" s="356">
        <f t="shared" ref="H9:I9" si="1">H8</f>
        <v>1000</v>
      </c>
      <c r="I9" s="356">
        <f t="shared" si="1"/>
        <v>20</v>
      </c>
      <c r="J9" s="157" t="s">
        <v>456</v>
      </c>
      <c r="K9" s="157" t="s">
        <v>457</v>
      </c>
      <c r="L9" s="157" t="s">
        <v>0</v>
      </c>
    </row>
    <row r="10">
      <c r="A10" s="31" t="s">
        <v>3831</v>
      </c>
      <c r="B10" s="4" t="s">
        <v>60</v>
      </c>
      <c r="C10" s="31" t="s">
        <v>3832</v>
      </c>
      <c r="J10" s="71" t="s">
        <v>3833</v>
      </c>
      <c r="K10" s="4" t="s">
        <v>1885</v>
      </c>
      <c r="L10" s="71">
        <v>3000.0</v>
      </c>
    </row>
    <row r="11">
      <c r="A11" s="31" t="s">
        <v>3834</v>
      </c>
      <c r="B11" s="55" t="s">
        <v>69</v>
      </c>
      <c r="K11" s="71" t="s">
        <v>3835</v>
      </c>
    </row>
    <row r="12">
      <c r="A12" s="31" t="s">
        <v>3836</v>
      </c>
      <c r="B12" s="4" t="s">
        <v>60</v>
      </c>
      <c r="J12" s="4" t="s">
        <v>3837</v>
      </c>
      <c r="K12" s="4" t="s">
        <v>467</v>
      </c>
      <c r="L12" s="4">
        <v>1000.0</v>
      </c>
    </row>
    <row r="13">
      <c r="A13" s="31" t="s">
        <v>3838</v>
      </c>
      <c r="J13" s="4" t="s">
        <v>3839</v>
      </c>
      <c r="K13" s="4" t="s">
        <v>467</v>
      </c>
      <c r="L13" s="4">
        <v>1000.0</v>
      </c>
    </row>
    <row r="14">
      <c r="A14" s="31" t="s">
        <v>3840</v>
      </c>
    </row>
    <row r="15">
      <c r="A15" s="31" t="s">
        <v>3841</v>
      </c>
    </row>
    <row r="16">
      <c r="A16" s="31" t="s">
        <v>3842</v>
      </c>
    </row>
    <row r="17">
      <c r="A17" s="31" t="s">
        <v>3843</v>
      </c>
    </row>
    <row r="18">
      <c r="A18" s="31" t="s">
        <v>3844</v>
      </c>
    </row>
    <row r="19">
      <c r="A19" s="31" t="s">
        <v>3845</v>
      </c>
    </row>
    <row r="20">
      <c r="A20" s="31" t="s">
        <v>3846</v>
      </c>
    </row>
    <row r="21">
      <c r="A21" s="31" t="s">
        <v>3847</v>
      </c>
    </row>
    <row r="22">
      <c r="A22" s="31" t="s">
        <v>3848</v>
      </c>
    </row>
    <row r="23">
      <c r="A23" s="31" t="s">
        <v>3849</v>
      </c>
    </row>
    <row r="24">
      <c r="A24" s="31" t="s">
        <v>3850</v>
      </c>
    </row>
    <row r="25">
      <c r="A25" s="31" t="s">
        <v>3851</v>
      </c>
    </row>
    <row r="26">
      <c r="A26" s="31" t="s">
        <v>3852</v>
      </c>
    </row>
    <row r="27">
      <c r="A27" s="31" t="s">
        <v>3853</v>
      </c>
    </row>
    <row r="28">
      <c r="A28" s="31" t="s">
        <v>3854</v>
      </c>
    </row>
    <row r="29">
      <c r="A29" s="31" t="s">
        <v>3855</v>
      </c>
    </row>
    <row r="30">
      <c r="A30" s="31" t="s">
        <v>3856</v>
      </c>
    </row>
    <row r="31">
      <c r="A31" s="31" t="s">
        <v>3857</v>
      </c>
    </row>
    <row r="32">
      <c r="A32" s="31" t="s">
        <v>3858</v>
      </c>
    </row>
    <row r="33">
      <c r="A33" s="47" t="s">
        <v>366</v>
      </c>
    </row>
    <row r="34">
      <c r="A34" s="47">
        <f>A36+A48</f>
        <v>123825</v>
      </c>
    </row>
    <row r="35">
      <c r="A35" s="205" t="s">
        <v>928</v>
      </c>
    </row>
    <row r="36">
      <c r="A36" s="205">
        <f>A39</f>
        <v>62000</v>
      </c>
    </row>
    <row r="37">
      <c r="A37" s="205">
        <v>2026.0</v>
      </c>
    </row>
    <row r="38">
      <c r="A38" s="205" t="s">
        <v>368</v>
      </c>
    </row>
    <row r="39">
      <c r="A39" s="206">
        <f>A42+B42+C42+D42+E42+F42+G42+H42+I42+J42</f>
        <v>62000</v>
      </c>
    </row>
    <row r="40">
      <c r="A40" s="103" t="s">
        <v>929</v>
      </c>
      <c r="B40" s="103" t="s">
        <v>930</v>
      </c>
      <c r="C40" s="103" t="s">
        <v>931</v>
      </c>
      <c r="D40" s="103" t="s">
        <v>932</v>
      </c>
      <c r="E40" s="103" t="s">
        <v>933</v>
      </c>
      <c r="F40" s="103" t="s">
        <v>934</v>
      </c>
      <c r="G40" s="103" t="s">
        <v>935</v>
      </c>
      <c r="H40" s="103" t="s">
        <v>936</v>
      </c>
      <c r="I40" s="103" t="s">
        <v>937</v>
      </c>
      <c r="J40" s="103" t="s">
        <v>938</v>
      </c>
    </row>
    <row r="41">
      <c r="A41" s="64" t="s">
        <v>377</v>
      </c>
      <c r="B41" s="64" t="s">
        <v>377</v>
      </c>
      <c r="C41" s="64" t="s">
        <v>377</v>
      </c>
      <c r="D41" s="64" t="s">
        <v>377</v>
      </c>
      <c r="E41" s="64" t="s">
        <v>377</v>
      </c>
      <c r="F41" s="64" t="s">
        <v>377</v>
      </c>
      <c r="G41" s="64" t="s">
        <v>377</v>
      </c>
      <c r="H41" s="64" t="s">
        <v>377</v>
      </c>
      <c r="I41" s="64" t="s">
        <v>377</v>
      </c>
      <c r="J41" s="64" t="s">
        <v>377</v>
      </c>
    </row>
    <row r="42">
      <c r="A42" s="99">
        <v>0.0</v>
      </c>
      <c r="B42" s="99">
        <v>0.0</v>
      </c>
      <c r="C42" s="99">
        <v>0.0</v>
      </c>
      <c r="D42" s="99">
        <v>0.0</v>
      </c>
      <c r="E42" s="99">
        <v>0.0</v>
      </c>
      <c r="F42" s="99">
        <v>0.0</v>
      </c>
      <c r="G42" s="99">
        <v>0.0</v>
      </c>
      <c r="H42" s="99">
        <v>0.0</v>
      </c>
      <c r="I42" s="99">
        <v>0.0</v>
      </c>
      <c r="J42" s="99">
        <f>5000+57000</f>
        <v>62000</v>
      </c>
    </row>
    <row r="43">
      <c r="J43" s="31" t="s">
        <v>3859</v>
      </c>
    </row>
    <row r="44">
      <c r="J44" s="31" t="s">
        <v>379</v>
      </c>
    </row>
    <row r="45">
      <c r="J45" s="31" t="s">
        <v>945</v>
      </c>
    </row>
    <row r="46">
      <c r="J46" s="76" t="s">
        <v>946</v>
      </c>
    </row>
    <row r="47">
      <c r="A47" s="48" t="s">
        <v>367</v>
      </c>
    </row>
    <row r="48">
      <c r="A48" s="49">
        <f>A51</f>
        <v>61825</v>
      </c>
    </row>
    <row r="49">
      <c r="A49" s="49">
        <v>2026.0</v>
      </c>
    </row>
    <row r="50">
      <c r="A50" s="49" t="s">
        <v>368</v>
      </c>
    </row>
    <row r="51">
      <c r="A51" s="49">
        <f>A54+B54+C54+D54+E54+F54+G54+H54</f>
        <v>61825</v>
      </c>
    </row>
    <row r="52">
      <c r="A52" s="33" t="s">
        <v>369</v>
      </c>
      <c r="B52" s="33" t="s">
        <v>370</v>
      </c>
      <c r="C52" s="33" t="s">
        <v>371</v>
      </c>
      <c r="D52" s="33" t="s">
        <v>372</v>
      </c>
      <c r="E52" s="33" t="s">
        <v>373</v>
      </c>
      <c r="F52" s="33" t="s">
        <v>374</v>
      </c>
      <c r="G52" s="33" t="s">
        <v>375</v>
      </c>
      <c r="H52" s="33" t="s">
        <v>376</v>
      </c>
    </row>
    <row r="53">
      <c r="A53" s="33" t="s">
        <v>377</v>
      </c>
      <c r="B53" s="33" t="s">
        <v>377</v>
      </c>
      <c r="C53" s="33" t="s">
        <v>377</v>
      </c>
      <c r="D53" s="33" t="s">
        <v>377</v>
      </c>
      <c r="E53" s="33" t="s">
        <v>377</v>
      </c>
      <c r="F53" s="33" t="s">
        <v>377</v>
      </c>
      <c r="G53" s="33" t="s">
        <v>377</v>
      </c>
      <c r="H53" s="33" t="s">
        <v>377</v>
      </c>
    </row>
    <row r="54">
      <c r="A54" s="50">
        <f>2000+59825</f>
        <v>61825</v>
      </c>
      <c r="B54" s="50">
        <v>0.0</v>
      </c>
      <c r="C54" s="50">
        <v>0.0</v>
      </c>
      <c r="D54" s="50">
        <v>0.0</v>
      </c>
      <c r="E54" s="50">
        <v>0.0</v>
      </c>
      <c r="F54" s="50">
        <v>0.0</v>
      </c>
      <c r="G54" s="50">
        <v>0.0</v>
      </c>
      <c r="H54" s="50">
        <v>0.0</v>
      </c>
    </row>
    <row r="55">
      <c r="A55" s="31" t="s">
        <v>3860</v>
      </c>
    </row>
    <row r="56">
      <c r="A56" s="76" t="s">
        <v>954</v>
      </c>
    </row>
    <row r="57">
      <c r="I57" s="103"/>
      <c r="J57" s="103"/>
    </row>
  </sheetData>
  <mergeCells count="26">
    <mergeCell ref="A1:L1"/>
    <mergeCell ref="A2:L2"/>
    <mergeCell ref="A3:L3"/>
    <mergeCell ref="A4:L4"/>
    <mergeCell ref="E5:I5"/>
    <mergeCell ref="J5:L5"/>
    <mergeCell ref="E6:I6"/>
    <mergeCell ref="J6:L6"/>
    <mergeCell ref="J7:L7"/>
    <mergeCell ref="E8:E9"/>
    <mergeCell ref="J8:L8"/>
    <mergeCell ref="F9:G9"/>
    <mergeCell ref="J10:J11"/>
    <mergeCell ref="L10:L11"/>
    <mergeCell ref="A47:H47"/>
    <mergeCell ref="A48:H48"/>
    <mergeCell ref="A49:H49"/>
    <mergeCell ref="A50:H50"/>
    <mergeCell ref="A51:H51"/>
    <mergeCell ref="A33:J33"/>
    <mergeCell ref="A34:J34"/>
    <mergeCell ref="A35:J35"/>
    <mergeCell ref="A36:J36"/>
    <mergeCell ref="A37:J37"/>
    <mergeCell ref="A38:J38"/>
    <mergeCell ref="A39:J39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8.0"/>
    <col customWidth="1" min="3" max="3" width="27.0"/>
    <col customWidth="1" min="4" max="4" width="35.63"/>
    <col customWidth="1" min="5" max="5" width="31.38"/>
    <col customWidth="1" min="6" max="6" width="43.75"/>
    <col customWidth="1" min="7" max="7" width="22.38"/>
    <col customWidth="1" min="8" max="8" width="29.13"/>
    <col customWidth="1" min="12" max="12" width="14.0"/>
    <col customWidth="1" min="13" max="13" width="23.25"/>
    <col customWidth="1" min="14" max="14" width="14.25"/>
  </cols>
  <sheetData>
    <row r="1">
      <c r="A1" s="141" t="s">
        <v>3861</v>
      </c>
    </row>
    <row r="2">
      <c r="A2" s="142" t="s">
        <v>3862</v>
      </c>
    </row>
    <row r="3">
      <c r="A3" s="141" t="s">
        <v>338</v>
      </c>
    </row>
    <row r="4">
      <c r="A4" s="357">
        <f>100000+B6+C6+D6+F6+L6+A31</f>
        <v>944725</v>
      </c>
    </row>
    <row r="5">
      <c r="A5" s="33" t="s">
        <v>339</v>
      </c>
      <c r="B5" s="33" t="s">
        <v>340</v>
      </c>
      <c r="C5" s="33" t="s">
        <v>341</v>
      </c>
      <c r="D5" s="33" t="s">
        <v>342</v>
      </c>
      <c r="E5" s="76" t="s">
        <v>3863</v>
      </c>
      <c r="F5" s="25" t="s">
        <v>1068</v>
      </c>
      <c r="G5" s="160" t="s">
        <v>422</v>
      </c>
      <c r="L5" s="145" t="s">
        <v>1262</v>
      </c>
    </row>
    <row r="6">
      <c r="A6" s="31" t="s">
        <v>3864</v>
      </c>
      <c r="B6" s="185">
        <v>111000.0</v>
      </c>
      <c r="C6" s="357">
        <v>-30000.0</v>
      </c>
      <c r="D6" s="358">
        <v>58000.0</v>
      </c>
      <c r="E6" s="31" t="s">
        <v>3865</v>
      </c>
      <c r="F6" s="357">
        <v>1000.0</v>
      </c>
      <c r="G6" s="185">
        <f>J13+J17</f>
        <v>42000</v>
      </c>
      <c r="L6" s="359">
        <f>L8</f>
        <v>63000</v>
      </c>
    </row>
    <row r="7">
      <c r="A7" s="31" t="s">
        <v>3866</v>
      </c>
      <c r="B7" s="31" t="s">
        <v>3867</v>
      </c>
      <c r="C7" s="55" t="s">
        <v>349</v>
      </c>
      <c r="D7" s="31" t="s">
        <v>3868</v>
      </c>
      <c r="E7" s="31" t="s">
        <v>3869</v>
      </c>
      <c r="F7" s="31" t="s">
        <v>3870</v>
      </c>
      <c r="G7" s="46" t="s">
        <v>436</v>
      </c>
      <c r="H7" s="46" t="s">
        <v>437</v>
      </c>
      <c r="I7" s="46" t="s">
        <v>438</v>
      </c>
      <c r="J7" s="46" t="s">
        <v>0</v>
      </c>
      <c r="K7" s="46" t="s">
        <v>439</v>
      </c>
      <c r="L7" s="150" t="s">
        <v>435</v>
      </c>
    </row>
    <row r="8">
      <c r="A8" s="31" t="s">
        <v>3871</v>
      </c>
      <c r="B8" s="31" t="s">
        <v>3872</v>
      </c>
      <c r="C8" s="4" t="s">
        <v>3873</v>
      </c>
      <c r="D8" s="31" t="s">
        <v>3874</v>
      </c>
      <c r="E8" s="31" t="s">
        <v>3875</v>
      </c>
      <c r="G8" s="71" t="s">
        <v>3876</v>
      </c>
      <c r="H8" s="174" t="s">
        <v>447</v>
      </c>
      <c r="I8" s="174">
        <v>3.0</v>
      </c>
      <c r="J8" s="174">
        <f>I8*1000</f>
        <v>3000</v>
      </c>
      <c r="K8" s="175">
        <f>I8*20</f>
        <v>60</v>
      </c>
      <c r="L8" s="360">
        <f>N10+N13</f>
        <v>63000</v>
      </c>
    </row>
    <row r="9">
      <c r="A9" s="31" t="s">
        <v>3877</v>
      </c>
      <c r="B9" s="31" t="s">
        <v>3878</v>
      </c>
      <c r="C9" s="55" t="s">
        <v>48</v>
      </c>
      <c r="D9" s="31" t="s">
        <v>2472</v>
      </c>
      <c r="E9" s="31" t="s">
        <v>3879</v>
      </c>
      <c r="H9" s="26" t="s">
        <v>1488</v>
      </c>
      <c r="I9" s="26">
        <v>1.0</v>
      </c>
      <c r="J9" s="9">
        <f>I9*4000</f>
        <v>4000</v>
      </c>
      <c r="K9" s="9">
        <f t="shared" ref="K9:K10" si="1">I9*80</f>
        <v>80</v>
      </c>
      <c r="L9" s="361" t="s">
        <v>456</v>
      </c>
      <c r="M9" s="361" t="s">
        <v>457</v>
      </c>
      <c r="N9" s="361" t="s">
        <v>0</v>
      </c>
    </row>
    <row r="10">
      <c r="A10" s="31" t="s">
        <v>1242</v>
      </c>
      <c r="B10" s="31" t="s">
        <v>3880</v>
      </c>
      <c r="C10" s="4" t="s">
        <v>60</v>
      </c>
      <c r="D10" s="31" t="s">
        <v>2309</v>
      </c>
      <c r="E10" s="31" t="s">
        <v>3881</v>
      </c>
      <c r="H10" s="174" t="s">
        <v>654</v>
      </c>
      <c r="I10" s="174">
        <v>3.0</v>
      </c>
      <c r="J10" s="175">
        <f>I10*8000</f>
        <v>24000</v>
      </c>
      <c r="K10" s="175">
        <f t="shared" si="1"/>
        <v>240</v>
      </c>
      <c r="L10" s="71" t="s">
        <v>3882</v>
      </c>
      <c r="M10" s="71" t="s">
        <v>1040</v>
      </c>
      <c r="N10" s="71">
        <v>13000.0</v>
      </c>
    </row>
    <row r="11">
      <c r="A11" s="31" t="s">
        <v>3883</v>
      </c>
      <c r="B11" s="31" t="s">
        <v>3884</v>
      </c>
      <c r="C11" s="55" t="s">
        <v>69</v>
      </c>
      <c r="D11" s="31" t="s">
        <v>627</v>
      </c>
      <c r="E11" s="31" t="s">
        <v>3885</v>
      </c>
      <c r="H11" s="174" t="s">
        <v>523</v>
      </c>
      <c r="I11" s="174">
        <v>1.0</v>
      </c>
      <c r="J11" s="175">
        <f>I11*2000</f>
        <v>2000</v>
      </c>
      <c r="K11" s="175">
        <f t="shared" ref="K11:K12" si="2">I11*40</f>
        <v>40</v>
      </c>
      <c r="M11" s="71" t="s">
        <v>489</v>
      </c>
    </row>
    <row r="12">
      <c r="A12" s="31" t="s">
        <v>3886</v>
      </c>
      <c r="B12" s="31" t="s">
        <v>3887</v>
      </c>
      <c r="C12" s="4" t="s">
        <v>60</v>
      </c>
      <c r="D12" s="31" t="s">
        <v>1889</v>
      </c>
      <c r="E12" s="31" t="s">
        <v>3888</v>
      </c>
      <c r="H12" s="52" t="s">
        <v>500</v>
      </c>
      <c r="I12" s="52">
        <v>1.0</v>
      </c>
      <c r="J12" s="192">
        <f>I12*3000</f>
        <v>3000</v>
      </c>
      <c r="K12" s="192">
        <f t="shared" si="2"/>
        <v>40</v>
      </c>
      <c r="M12" s="33" t="s">
        <v>3889</v>
      </c>
    </row>
    <row r="13">
      <c r="A13" s="31" t="s">
        <v>3890</v>
      </c>
      <c r="B13" s="31" t="s">
        <v>3891</v>
      </c>
      <c r="D13" s="31" t="s">
        <v>1672</v>
      </c>
      <c r="E13" s="31" t="s">
        <v>3892</v>
      </c>
      <c r="H13" s="183" t="s">
        <v>470</v>
      </c>
      <c r="J13" s="362">
        <f t="shared" ref="J13:K13" si="3">J9+J10+J11+J8+J12</f>
        <v>36000</v>
      </c>
      <c r="K13" s="362">
        <f t="shared" si="3"/>
        <v>460</v>
      </c>
      <c r="L13" s="33" t="s">
        <v>286</v>
      </c>
      <c r="N13" s="4">
        <v>50000.0</v>
      </c>
    </row>
    <row r="14">
      <c r="A14" s="31" t="s">
        <v>3893</v>
      </c>
      <c r="B14" s="31" t="s">
        <v>3894</v>
      </c>
      <c r="D14" s="31" t="s">
        <v>1672</v>
      </c>
      <c r="E14" s="31" t="s">
        <v>3895</v>
      </c>
      <c r="G14" s="71" t="s">
        <v>3896</v>
      </c>
      <c r="H14" s="174" t="s">
        <v>523</v>
      </c>
      <c r="I14" s="174">
        <v>1.0</v>
      </c>
      <c r="J14" s="175">
        <f>I14*2000</f>
        <v>2000</v>
      </c>
      <c r="K14" s="175">
        <f>I14*40</f>
        <v>40</v>
      </c>
    </row>
    <row r="15">
      <c r="A15" s="31" t="s">
        <v>3897</v>
      </c>
      <c r="B15" s="31" t="s">
        <v>3898</v>
      </c>
      <c r="D15" s="31" t="s">
        <v>3899</v>
      </c>
      <c r="H15" s="174" t="s">
        <v>447</v>
      </c>
      <c r="I15" s="174">
        <v>1.0</v>
      </c>
      <c r="J15" s="174">
        <f>I15*1000</f>
        <v>1000</v>
      </c>
      <c r="K15" s="175">
        <f>I15*20</f>
        <v>20</v>
      </c>
    </row>
    <row r="16">
      <c r="A16" s="31" t="s">
        <v>3900</v>
      </c>
      <c r="B16" s="31" t="s">
        <v>3901</v>
      </c>
      <c r="D16" s="31" t="s">
        <v>529</v>
      </c>
      <c r="H16" s="52" t="s">
        <v>500</v>
      </c>
      <c r="I16" s="52">
        <v>1.0</v>
      </c>
      <c r="J16" s="192">
        <f>I16*3000</f>
        <v>3000</v>
      </c>
      <c r="K16" s="192">
        <f>I16*40</f>
        <v>40</v>
      </c>
    </row>
    <row r="17">
      <c r="A17" s="31" t="s">
        <v>3902</v>
      </c>
      <c r="B17" s="31" t="s">
        <v>3903</v>
      </c>
      <c r="D17" s="31" t="s">
        <v>1306</v>
      </c>
      <c r="H17" s="183" t="s">
        <v>470</v>
      </c>
      <c r="J17" s="362">
        <f t="shared" ref="J17:K17" si="4">J15+J14+J16</f>
        <v>6000</v>
      </c>
      <c r="K17" s="362">
        <f t="shared" si="4"/>
        <v>100</v>
      </c>
    </row>
    <row r="18">
      <c r="A18" s="31" t="s">
        <v>3904</v>
      </c>
      <c r="B18" s="31" t="s">
        <v>3905</v>
      </c>
      <c r="D18" s="31" t="s">
        <v>1909</v>
      </c>
    </row>
    <row r="19">
      <c r="A19" s="31" t="s">
        <v>3906</v>
      </c>
      <c r="B19" s="31" t="s">
        <v>3907</v>
      </c>
      <c r="D19" s="31" t="s">
        <v>3908</v>
      </c>
    </row>
    <row r="20">
      <c r="A20" s="31" t="s">
        <v>3909</v>
      </c>
      <c r="B20" s="31" t="s">
        <v>3910</v>
      </c>
      <c r="D20" s="31" t="s">
        <v>2680</v>
      </c>
    </row>
    <row r="21">
      <c r="A21" s="31" t="s">
        <v>3911</v>
      </c>
      <c r="B21" s="31" t="s">
        <v>3912</v>
      </c>
      <c r="D21" s="31" t="s">
        <v>3913</v>
      </c>
    </row>
    <row r="22">
      <c r="A22" s="31" t="s">
        <v>3914</v>
      </c>
      <c r="B22" s="31" t="s">
        <v>3915</v>
      </c>
      <c r="D22" s="31" t="s">
        <v>3916</v>
      </c>
    </row>
    <row r="23">
      <c r="A23" s="31" t="s">
        <v>3917</v>
      </c>
      <c r="B23" s="31" t="s">
        <v>3918</v>
      </c>
      <c r="D23" s="31" t="s">
        <v>3919</v>
      </c>
    </row>
    <row r="24">
      <c r="A24" s="31" t="s">
        <v>3920</v>
      </c>
      <c r="B24" s="31" t="s">
        <v>3921</v>
      </c>
    </row>
    <row r="25">
      <c r="A25" s="31" t="s">
        <v>3922</v>
      </c>
      <c r="B25" s="31" t="s">
        <v>3923</v>
      </c>
    </row>
    <row r="26">
      <c r="B26" s="31" t="s">
        <v>3924</v>
      </c>
    </row>
    <row r="30">
      <c r="A30" s="47" t="s">
        <v>366</v>
      </c>
    </row>
    <row r="31">
      <c r="A31" s="47">
        <f>A33</f>
        <v>641725</v>
      </c>
    </row>
    <row r="32">
      <c r="A32" s="48" t="s">
        <v>367</v>
      </c>
    </row>
    <row r="33">
      <c r="A33" s="49">
        <f>A36</f>
        <v>641725</v>
      </c>
    </row>
    <row r="34">
      <c r="A34" s="49">
        <v>2026.0</v>
      </c>
    </row>
    <row r="35">
      <c r="A35" s="49" t="s">
        <v>368</v>
      </c>
    </row>
    <row r="36">
      <c r="A36" s="49">
        <f>A39+B39+C39+D39+E39+F39+G39+H39</f>
        <v>641725</v>
      </c>
    </row>
    <row r="37">
      <c r="A37" s="33" t="s">
        <v>369</v>
      </c>
      <c r="B37" s="33" t="s">
        <v>370</v>
      </c>
      <c r="C37" s="33" t="s">
        <v>371</v>
      </c>
      <c r="D37" s="33" t="s">
        <v>372</v>
      </c>
      <c r="E37" s="33" t="s">
        <v>373</v>
      </c>
      <c r="F37" s="33" t="s">
        <v>374</v>
      </c>
      <c r="G37" s="33" t="s">
        <v>375</v>
      </c>
      <c r="H37" s="33" t="s">
        <v>376</v>
      </c>
      <c r="I37" s="103"/>
      <c r="J37" s="103"/>
    </row>
    <row r="38">
      <c r="A38" s="33" t="s">
        <v>377</v>
      </c>
      <c r="B38" s="33" t="s">
        <v>377</v>
      </c>
      <c r="C38" s="33" t="s">
        <v>377</v>
      </c>
      <c r="D38" s="33" t="s">
        <v>377</v>
      </c>
      <c r="E38" s="33" t="s">
        <v>377</v>
      </c>
      <c r="F38" s="33" t="s">
        <v>377</v>
      </c>
      <c r="G38" s="33" t="s">
        <v>377</v>
      </c>
      <c r="H38" s="33" t="s">
        <v>377</v>
      </c>
    </row>
    <row r="39">
      <c r="A39" s="50">
        <v>0.0</v>
      </c>
      <c r="B39" s="50">
        <f>75000+33725</f>
        <v>108725</v>
      </c>
      <c r="C39" s="50">
        <v>22000.0</v>
      </c>
      <c r="D39" s="50">
        <v>52000.0</v>
      </c>
      <c r="E39" s="50">
        <v>218000.0</v>
      </c>
      <c r="F39" s="50">
        <v>31000.0</v>
      </c>
      <c r="G39" s="50">
        <f>45000</f>
        <v>45000</v>
      </c>
      <c r="H39" s="50">
        <v>165000.0</v>
      </c>
    </row>
    <row r="40">
      <c r="B40" s="31" t="s">
        <v>3925</v>
      </c>
      <c r="C40" s="31" t="s">
        <v>3926</v>
      </c>
      <c r="D40" s="31" t="s">
        <v>3927</v>
      </c>
      <c r="E40" s="31" t="s">
        <v>3928</v>
      </c>
      <c r="F40" s="31" t="s">
        <v>3929</v>
      </c>
      <c r="G40" s="104" t="s">
        <v>3930</v>
      </c>
      <c r="H40" s="31" t="s">
        <v>3931</v>
      </c>
    </row>
    <row r="41">
      <c r="B41" s="31" t="s">
        <v>2617</v>
      </c>
      <c r="C41" s="31" t="s">
        <v>1605</v>
      </c>
      <c r="D41" s="31" t="s">
        <v>765</v>
      </c>
      <c r="E41" s="31" t="s">
        <v>951</v>
      </c>
      <c r="F41" s="31" t="s">
        <v>3932</v>
      </c>
      <c r="G41" s="104" t="s">
        <v>1831</v>
      </c>
      <c r="H41" s="31" t="s">
        <v>952</v>
      </c>
    </row>
    <row r="42">
      <c r="B42" s="31" t="s">
        <v>944</v>
      </c>
      <c r="D42" s="31" t="s">
        <v>3933</v>
      </c>
      <c r="E42" s="31" t="s">
        <v>944</v>
      </c>
      <c r="F42" s="31" t="s">
        <v>3934</v>
      </c>
      <c r="G42" s="76"/>
      <c r="H42" s="31" t="s">
        <v>3935</v>
      </c>
    </row>
    <row r="43">
      <c r="B43" s="76" t="s">
        <v>955</v>
      </c>
      <c r="D43" s="31" t="s">
        <v>1831</v>
      </c>
      <c r="E43" s="31" t="s">
        <v>1240</v>
      </c>
      <c r="F43" s="31" t="s">
        <v>826</v>
      </c>
      <c r="H43" s="31" t="s">
        <v>1841</v>
      </c>
    </row>
    <row r="44">
      <c r="E44" s="31" t="s">
        <v>3936</v>
      </c>
      <c r="F44" s="31" t="s">
        <v>3937</v>
      </c>
      <c r="H44" s="31" t="s">
        <v>3938</v>
      </c>
    </row>
    <row r="45">
      <c r="E45" s="31" t="s">
        <v>1252</v>
      </c>
      <c r="F45" s="31" t="s">
        <v>926</v>
      </c>
      <c r="H45" s="31" t="s">
        <v>951</v>
      </c>
    </row>
    <row r="46">
      <c r="E46" s="31" t="s">
        <v>3939</v>
      </c>
      <c r="F46" s="31" t="s">
        <v>3132</v>
      </c>
      <c r="H46" s="31" t="s">
        <v>945</v>
      </c>
    </row>
    <row r="47">
      <c r="E47" s="31" t="s">
        <v>1832</v>
      </c>
    </row>
    <row r="48">
      <c r="A48" s="75"/>
      <c r="B48" s="75"/>
      <c r="C48" s="75"/>
      <c r="D48" s="75"/>
      <c r="E48" s="31" t="s">
        <v>3940</v>
      </c>
      <c r="F48" s="75"/>
      <c r="G48" s="75"/>
      <c r="H48" s="75"/>
    </row>
    <row r="49">
      <c r="A49" s="75"/>
      <c r="B49" s="75"/>
      <c r="C49" s="75"/>
      <c r="D49" s="75"/>
      <c r="E49" s="31" t="s">
        <v>718</v>
      </c>
      <c r="F49" s="75"/>
      <c r="G49" s="75"/>
      <c r="H49" s="75"/>
    </row>
    <row r="50">
      <c r="A50" s="75"/>
      <c r="B50" s="75"/>
      <c r="C50" s="75"/>
      <c r="D50" s="75"/>
      <c r="E50" s="75"/>
      <c r="F50" s="75"/>
      <c r="G50" s="75"/>
      <c r="H50" s="75"/>
    </row>
    <row r="51">
      <c r="A51" s="75"/>
      <c r="B51" s="75"/>
      <c r="C51" s="75"/>
      <c r="D51" s="75"/>
      <c r="E51" s="75"/>
      <c r="F51" s="75"/>
      <c r="G51" s="75"/>
      <c r="H51" s="75"/>
    </row>
    <row r="52">
      <c r="A52" s="75"/>
      <c r="B52" s="75"/>
      <c r="C52" s="75"/>
      <c r="D52" s="75"/>
      <c r="E52" s="75"/>
      <c r="F52" s="75"/>
      <c r="G52" s="75"/>
      <c r="H52" s="75"/>
    </row>
    <row r="53">
      <c r="A53" s="75"/>
      <c r="B53" s="75"/>
      <c r="C53" s="75"/>
      <c r="D53" s="105"/>
      <c r="E53" s="105"/>
      <c r="F53" s="75"/>
      <c r="G53" s="75"/>
      <c r="H53" s="75"/>
    </row>
    <row r="54">
      <c r="A54" s="105"/>
      <c r="B54" s="105"/>
      <c r="C54" s="75"/>
      <c r="D54" s="105"/>
      <c r="E54" s="105"/>
      <c r="F54" s="75"/>
      <c r="G54" s="75"/>
      <c r="H54" s="105"/>
    </row>
    <row r="55">
      <c r="A55" s="105"/>
      <c r="B55" s="105"/>
      <c r="C55" s="75"/>
      <c r="D55" s="105"/>
      <c r="E55" s="105"/>
      <c r="F55" s="105"/>
      <c r="G55" s="75"/>
      <c r="H55" s="105"/>
    </row>
    <row r="56">
      <c r="A56" s="105"/>
      <c r="B56" s="105"/>
      <c r="C56" s="105"/>
      <c r="D56" s="105"/>
      <c r="E56" s="105"/>
      <c r="F56" s="105"/>
      <c r="H56" s="105"/>
    </row>
    <row r="57">
      <c r="A57" s="105"/>
      <c r="B57" s="105"/>
      <c r="C57" s="105"/>
      <c r="D57" s="105"/>
      <c r="E57" s="105"/>
      <c r="F57" s="105"/>
      <c r="G57" s="75"/>
      <c r="H57" s="105"/>
    </row>
    <row r="58">
      <c r="A58" s="105"/>
      <c r="B58" s="105"/>
      <c r="C58" s="105"/>
      <c r="D58" s="105"/>
      <c r="E58" s="105"/>
      <c r="F58" s="105"/>
      <c r="G58" s="105"/>
      <c r="H58" s="105"/>
    </row>
    <row r="59">
      <c r="A59" s="105"/>
      <c r="B59" s="105"/>
      <c r="C59" s="105"/>
      <c r="D59" s="105"/>
      <c r="E59" s="105"/>
      <c r="F59" s="105"/>
      <c r="G59" s="105"/>
      <c r="H59" s="105"/>
    </row>
    <row r="60">
      <c r="A60" s="105"/>
      <c r="B60" s="105"/>
      <c r="C60" s="105"/>
      <c r="D60" s="105"/>
      <c r="E60" s="105"/>
      <c r="F60" s="105"/>
      <c r="G60" s="105"/>
      <c r="H60" s="105"/>
    </row>
    <row r="61">
      <c r="A61" s="105"/>
      <c r="B61" s="105"/>
      <c r="C61" s="105"/>
      <c r="D61" s="105"/>
      <c r="E61" s="105"/>
      <c r="F61" s="105"/>
      <c r="G61" s="105"/>
      <c r="H61" s="105"/>
    </row>
    <row r="62">
      <c r="A62" s="105"/>
      <c r="B62" s="105"/>
      <c r="C62" s="105"/>
      <c r="D62" s="105"/>
      <c r="E62" s="105"/>
      <c r="F62" s="105"/>
      <c r="G62" s="105"/>
      <c r="H62" s="105"/>
    </row>
  </sheetData>
  <mergeCells count="24">
    <mergeCell ref="A1:N1"/>
    <mergeCell ref="A2:N2"/>
    <mergeCell ref="A3:N3"/>
    <mergeCell ref="A4:N4"/>
    <mergeCell ref="G5:K5"/>
    <mergeCell ref="L5:N5"/>
    <mergeCell ref="G6:K6"/>
    <mergeCell ref="L6:N6"/>
    <mergeCell ref="L7:N7"/>
    <mergeCell ref="L8:N8"/>
    <mergeCell ref="L10:L12"/>
    <mergeCell ref="N10:N12"/>
    <mergeCell ref="H13:I13"/>
    <mergeCell ref="L13:M13"/>
    <mergeCell ref="A34:H34"/>
    <mergeCell ref="A35:H35"/>
    <mergeCell ref="A36:H36"/>
    <mergeCell ref="G8:G13"/>
    <mergeCell ref="G14:G17"/>
    <mergeCell ref="H17:I17"/>
    <mergeCell ref="A30:H30"/>
    <mergeCell ref="A31:H31"/>
    <mergeCell ref="A32:H32"/>
    <mergeCell ref="A33:H33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55.13"/>
    <col customWidth="1" min="3" max="3" width="42.0"/>
    <col customWidth="1" min="4" max="4" width="37.5"/>
    <col customWidth="1" min="5" max="5" width="32.25"/>
    <col customWidth="1" min="6" max="6" width="29.63"/>
    <col customWidth="1" min="7" max="7" width="32.25"/>
    <col customWidth="1" min="8" max="8" width="34.13"/>
    <col customWidth="1" min="9" max="9" width="27.38"/>
    <col customWidth="1" min="10" max="10" width="34.38"/>
    <col customWidth="1" min="11" max="11" width="26.0"/>
    <col customWidth="1" min="12" max="12" width="23.0"/>
    <col customWidth="1" min="13" max="13" width="16.63"/>
    <col customWidth="1" min="14" max="14" width="27.38"/>
    <col customWidth="1" min="17" max="17" width="16.13"/>
    <col customWidth="1" min="19" max="19" width="17.13"/>
    <col customWidth="1" min="20" max="20" width="22.38"/>
    <col customWidth="1" min="22" max="22" width="16.63"/>
    <col customWidth="1" min="23" max="23" width="16.75"/>
    <col customWidth="1" min="29" max="29" width="27.75"/>
  </cols>
  <sheetData>
    <row r="1">
      <c r="A1" s="293" t="s">
        <v>3941</v>
      </c>
    </row>
    <row r="2">
      <c r="A2" s="293" t="s">
        <v>3942</v>
      </c>
    </row>
    <row r="3">
      <c r="A3" s="363" t="s">
        <v>3943</v>
      </c>
    </row>
    <row r="4">
      <c r="A4" s="293" t="s">
        <v>338</v>
      </c>
    </row>
    <row r="5">
      <c r="A5" s="232">
        <f>100000+B7+C7+E7+F7+I7+I12+J7+A80+K7+D40+M7+V7+P7+S7+J12</f>
        <v>6625225</v>
      </c>
      <c r="AC5" s="33"/>
    </row>
    <row r="6">
      <c r="A6" s="33" t="s">
        <v>339</v>
      </c>
      <c r="B6" s="33" t="s">
        <v>341</v>
      </c>
      <c r="C6" s="33" t="s">
        <v>384</v>
      </c>
      <c r="D6" s="33" t="s">
        <v>344</v>
      </c>
      <c r="E6" s="33" t="s">
        <v>417</v>
      </c>
      <c r="F6" s="33" t="s">
        <v>419</v>
      </c>
      <c r="I6" s="33" t="s">
        <v>1472</v>
      </c>
      <c r="J6" s="33" t="s">
        <v>2620</v>
      </c>
      <c r="K6" s="33" t="s">
        <v>1325</v>
      </c>
      <c r="M6" s="57" t="s">
        <v>420</v>
      </c>
      <c r="P6" s="25" t="s">
        <v>978</v>
      </c>
      <c r="S6" s="57" t="s">
        <v>979</v>
      </c>
      <c r="V6" s="235" t="s">
        <v>422</v>
      </c>
      <c r="AC6" s="255"/>
    </row>
    <row r="7">
      <c r="A7" s="31" t="s">
        <v>3944</v>
      </c>
      <c r="B7" s="232">
        <v>-260000.0</v>
      </c>
      <c r="C7" s="232">
        <v>105500.0</v>
      </c>
      <c r="D7" s="31" t="s">
        <v>3945</v>
      </c>
      <c r="E7" s="232">
        <v>35100.0</v>
      </c>
      <c r="F7" s="232">
        <f>F9+G9+H9</f>
        <v>17000</v>
      </c>
      <c r="I7" s="232">
        <v>-30000.0</v>
      </c>
      <c r="J7" s="232">
        <v>3000.0</v>
      </c>
      <c r="K7" s="296">
        <v>40000.0</v>
      </c>
      <c r="M7" s="236">
        <f>M9</f>
        <v>21900</v>
      </c>
      <c r="P7" s="334">
        <f>P9</f>
        <v>20000</v>
      </c>
      <c r="S7" s="236">
        <f>S9</f>
        <v>856000</v>
      </c>
      <c r="V7" s="232">
        <f>Y16+Y20+Y24+Y27+Y30+Y34+Y37+Y41+Y44+Y47+Y50</f>
        <v>65750</v>
      </c>
    </row>
    <row r="8">
      <c r="A8" s="31" t="s">
        <v>3946</v>
      </c>
      <c r="B8" s="55" t="s">
        <v>349</v>
      </c>
      <c r="C8" s="31" t="s">
        <v>3947</v>
      </c>
      <c r="D8" s="31" t="s">
        <v>3948</v>
      </c>
      <c r="E8" s="31" t="s">
        <v>445</v>
      </c>
      <c r="F8" s="288" t="s">
        <v>432</v>
      </c>
      <c r="G8" s="288" t="s">
        <v>433</v>
      </c>
      <c r="H8" s="288" t="s">
        <v>434</v>
      </c>
      <c r="I8" s="31" t="s">
        <v>431</v>
      </c>
      <c r="J8" s="31" t="s">
        <v>3949</v>
      </c>
      <c r="K8" s="84" t="s">
        <v>1335</v>
      </c>
      <c r="L8" s="84" t="s">
        <v>133</v>
      </c>
      <c r="M8" s="150" t="s">
        <v>435</v>
      </c>
      <c r="P8" s="33" t="s">
        <v>435</v>
      </c>
      <c r="S8" s="150" t="s">
        <v>435</v>
      </c>
      <c r="V8" s="239" t="s">
        <v>436</v>
      </c>
      <c r="W8" s="239" t="s">
        <v>437</v>
      </c>
      <c r="X8" s="239" t="s">
        <v>438</v>
      </c>
      <c r="Y8" s="239" t="s">
        <v>0</v>
      </c>
      <c r="Z8" s="239" t="s">
        <v>439</v>
      </c>
    </row>
    <row r="9">
      <c r="A9" s="31" t="s">
        <v>770</v>
      </c>
      <c r="B9" s="4" t="s">
        <v>33</v>
      </c>
      <c r="C9" s="31" t="s">
        <v>3950</v>
      </c>
      <c r="D9" s="31" t="s">
        <v>3951</v>
      </c>
      <c r="E9" s="31" t="s">
        <v>3952</v>
      </c>
      <c r="F9" s="289">
        <f>H24+H27+H30+H33+H36+H39+H42+H45+H48+H51+H54+H57</f>
        <v>13000</v>
      </c>
      <c r="G9" s="289">
        <v>9000.0</v>
      </c>
      <c r="H9" s="289">
        <v>-5000.0</v>
      </c>
      <c r="I9" s="31" t="s">
        <v>2218</v>
      </c>
      <c r="J9" s="31" t="s">
        <v>3953</v>
      </c>
      <c r="K9" s="31" t="s">
        <v>1343</v>
      </c>
      <c r="L9" s="31" t="s">
        <v>1344</v>
      </c>
      <c r="M9" s="240">
        <f>O11+O13+O14+O16+O17+O18</f>
        <v>21900</v>
      </c>
      <c r="P9" s="364">
        <f>R11</f>
        <v>20000</v>
      </c>
      <c r="S9" s="240">
        <f>U11+U13+U15+U20+U24+U25+U28+U30</f>
        <v>856000</v>
      </c>
      <c r="V9" s="241" t="s">
        <v>3954</v>
      </c>
      <c r="W9" s="242" t="s">
        <v>447</v>
      </c>
      <c r="X9" s="242">
        <v>5.0</v>
      </c>
      <c r="Y9" s="242">
        <f>X9*1000</f>
        <v>5000</v>
      </c>
      <c r="Z9" s="243">
        <f>X9*20</f>
        <v>100</v>
      </c>
    </row>
    <row r="10">
      <c r="A10" s="31" t="s">
        <v>3955</v>
      </c>
      <c r="B10" s="4" t="s">
        <v>49</v>
      </c>
      <c r="C10" s="31" t="s">
        <v>3956</v>
      </c>
      <c r="D10" s="31" t="s">
        <v>3957</v>
      </c>
      <c r="E10" s="31" t="s">
        <v>3958</v>
      </c>
      <c r="F10" s="25"/>
      <c r="G10" s="31" t="s">
        <v>3959</v>
      </c>
      <c r="H10" s="288" t="s">
        <v>455</v>
      </c>
      <c r="I10" s="31" t="s">
        <v>3960</v>
      </c>
      <c r="J10" s="31" t="s">
        <v>3961</v>
      </c>
      <c r="K10" s="31" t="s">
        <v>1353</v>
      </c>
      <c r="L10" s="31" t="s">
        <v>3962</v>
      </c>
      <c r="M10" s="157" t="s">
        <v>456</v>
      </c>
      <c r="N10" s="157" t="s">
        <v>457</v>
      </c>
      <c r="O10" s="157" t="s">
        <v>0</v>
      </c>
      <c r="P10" s="38" t="s">
        <v>456</v>
      </c>
      <c r="Q10" s="38" t="s">
        <v>457</v>
      </c>
      <c r="R10" s="38" t="s">
        <v>0</v>
      </c>
      <c r="S10" s="157" t="s">
        <v>456</v>
      </c>
      <c r="T10" s="157" t="s">
        <v>457</v>
      </c>
      <c r="U10" s="157" t="s">
        <v>0</v>
      </c>
      <c r="W10" s="242" t="s">
        <v>511</v>
      </c>
      <c r="X10" s="242">
        <v>0.5</v>
      </c>
      <c r="Y10" s="243">
        <f>X10*10000</f>
        <v>5000</v>
      </c>
      <c r="Z10" s="243">
        <f>X10*100</f>
        <v>50</v>
      </c>
    </row>
    <row r="11">
      <c r="A11" s="31" t="s">
        <v>3963</v>
      </c>
      <c r="B11" s="4" t="s">
        <v>61</v>
      </c>
      <c r="C11" s="31" t="s">
        <v>3964</v>
      </c>
      <c r="D11" s="31" t="s">
        <v>3965</v>
      </c>
      <c r="E11" s="31" t="s">
        <v>3966</v>
      </c>
      <c r="G11" s="31" t="s">
        <v>3967</v>
      </c>
      <c r="H11" s="31" t="s">
        <v>3968</v>
      </c>
      <c r="I11" s="33" t="s">
        <v>340</v>
      </c>
      <c r="J11" s="33" t="s">
        <v>359</v>
      </c>
      <c r="K11" s="31" t="s">
        <v>3969</v>
      </c>
      <c r="L11" s="31" t="s">
        <v>3970</v>
      </c>
      <c r="M11" s="71" t="s">
        <v>3971</v>
      </c>
      <c r="N11" s="71" t="s">
        <v>1040</v>
      </c>
      <c r="O11" s="71">
        <v>3000.0</v>
      </c>
      <c r="P11" s="26" t="s">
        <v>272</v>
      </c>
      <c r="R11" s="25">
        <v>20000.0</v>
      </c>
      <c r="S11" s="71" t="s">
        <v>3324</v>
      </c>
      <c r="T11" s="71" t="s">
        <v>1953</v>
      </c>
      <c r="U11" s="71">
        <v>4000.0</v>
      </c>
      <c r="W11" s="242" t="s">
        <v>655</v>
      </c>
      <c r="X11" s="242">
        <v>1.0</v>
      </c>
      <c r="Y11" s="242">
        <f>X11*2000</f>
        <v>2000</v>
      </c>
      <c r="Z11" s="243">
        <f>X11*20</f>
        <v>20</v>
      </c>
    </row>
    <row r="12">
      <c r="A12" s="31" t="s">
        <v>3972</v>
      </c>
      <c r="B12" s="4" t="s">
        <v>70</v>
      </c>
      <c r="C12" s="31" t="s">
        <v>3973</v>
      </c>
      <c r="D12" s="31" t="s">
        <v>3974</v>
      </c>
      <c r="E12" s="31" t="s">
        <v>1467</v>
      </c>
      <c r="G12" s="31" t="s">
        <v>2698</v>
      </c>
      <c r="H12" s="31" t="s">
        <v>3975</v>
      </c>
      <c r="I12" s="232">
        <v>570000.0</v>
      </c>
      <c r="J12" s="232">
        <v>-1000.0</v>
      </c>
      <c r="N12" s="71" t="s">
        <v>1406</v>
      </c>
      <c r="P12" s="4"/>
      <c r="Q12" s="4"/>
      <c r="R12" s="4"/>
      <c r="T12" s="71" t="s">
        <v>572</v>
      </c>
      <c r="W12" s="242" t="s">
        <v>654</v>
      </c>
      <c r="X12" s="242">
        <v>1.0</v>
      </c>
      <c r="Y12" s="243">
        <f>X12*8000</f>
        <v>8000</v>
      </c>
      <c r="Z12" s="243">
        <f>X12*80</f>
        <v>80</v>
      </c>
    </row>
    <row r="13">
      <c r="A13" s="31" t="s">
        <v>3976</v>
      </c>
      <c r="B13" s="4" t="s">
        <v>77</v>
      </c>
      <c r="C13" s="31" t="s">
        <v>3977</v>
      </c>
      <c r="D13" s="31" t="s">
        <v>3978</v>
      </c>
      <c r="E13" s="31" t="s">
        <v>486</v>
      </c>
      <c r="G13" s="31" t="s">
        <v>3979</v>
      </c>
      <c r="H13" s="31" t="s">
        <v>3980</v>
      </c>
      <c r="I13" s="31" t="s">
        <v>3981</v>
      </c>
      <c r="J13" s="31" t="s">
        <v>3982</v>
      </c>
      <c r="M13" s="71" t="s">
        <v>3983</v>
      </c>
      <c r="N13" s="71" t="s">
        <v>2246</v>
      </c>
      <c r="O13" s="71">
        <v>1000.0</v>
      </c>
      <c r="P13" s="71"/>
      <c r="Q13" s="71"/>
      <c r="R13" s="71"/>
      <c r="S13" s="71" t="s">
        <v>3984</v>
      </c>
      <c r="T13" s="4" t="s">
        <v>1064</v>
      </c>
      <c r="U13" s="71">
        <v>7000.0</v>
      </c>
      <c r="W13" s="242" t="s">
        <v>500</v>
      </c>
      <c r="X13" s="242">
        <v>1.0</v>
      </c>
      <c r="Y13" s="243">
        <f>X13*3000</f>
        <v>3000</v>
      </c>
      <c r="Z13" s="243">
        <f>X13*40</f>
        <v>40</v>
      </c>
    </row>
    <row r="14">
      <c r="A14" s="31" t="s">
        <v>3985</v>
      </c>
      <c r="B14" s="4" t="s">
        <v>83</v>
      </c>
      <c r="C14" s="31" t="s">
        <v>3986</v>
      </c>
      <c r="D14" s="31" t="s">
        <v>3987</v>
      </c>
      <c r="E14" s="31" t="s">
        <v>1495</v>
      </c>
      <c r="G14" s="31" t="s">
        <v>3988</v>
      </c>
      <c r="H14" s="31" t="s">
        <v>3989</v>
      </c>
      <c r="I14" s="31" t="s">
        <v>3990</v>
      </c>
      <c r="J14" s="31" t="s">
        <v>3991</v>
      </c>
      <c r="M14" s="71" t="s">
        <v>3992</v>
      </c>
      <c r="N14" s="71" t="s">
        <v>1040</v>
      </c>
      <c r="O14" s="71">
        <v>3000.0</v>
      </c>
      <c r="P14" s="71"/>
      <c r="Q14" s="71"/>
      <c r="R14" s="71"/>
      <c r="T14" s="71" t="s">
        <v>1025</v>
      </c>
      <c r="W14" s="242" t="s">
        <v>533</v>
      </c>
    </row>
    <row r="15">
      <c r="A15" s="31" t="s">
        <v>3993</v>
      </c>
      <c r="B15" s="4" t="s">
        <v>90</v>
      </c>
      <c r="C15" s="31" t="s">
        <v>3994</v>
      </c>
      <c r="D15" s="31" t="s">
        <v>3995</v>
      </c>
      <c r="E15" s="31" t="s">
        <v>495</v>
      </c>
      <c r="G15" s="31" t="s">
        <v>3996</v>
      </c>
      <c r="H15" s="31" t="s">
        <v>3997</v>
      </c>
      <c r="I15" s="31" t="s">
        <v>3998</v>
      </c>
      <c r="N15" s="71" t="s">
        <v>2246</v>
      </c>
      <c r="P15" s="71"/>
      <c r="Q15" s="71"/>
      <c r="R15" s="71"/>
      <c r="S15" s="71" t="s">
        <v>3999</v>
      </c>
      <c r="T15" s="71" t="s">
        <v>469</v>
      </c>
      <c r="U15" s="71">
        <v>312000.0</v>
      </c>
      <c r="W15" s="242" t="s">
        <v>661</v>
      </c>
      <c r="X15" s="242">
        <v>4.0</v>
      </c>
      <c r="Y15" s="243">
        <f>X15*1500</f>
        <v>6000</v>
      </c>
      <c r="Z15" s="243">
        <f>X15*40</f>
        <v>160</v>
      </c>
    </row>
    <row r="16">
      <c r="A16" s="31" t="s">
        <v>4000</v>
      </c>
      <c r="B16" s="4" t="s">
        <v>97</v>
      </c>
      <c r="C16" s="31" t="s">
        <v>4001</v>
      </c>
      <c r="D16" s="31" t="s">
        <v>4002</v>
      </c>
      <c r="E16" s="31" t="s">
        <v>505</v>
      </c>
      <c r="G16" s="31" t="s">
        <v>4003</v>
      </c>
      <c r="H16" s="31" t="s">
        <v>4004</v>
      </c>
      <c r="I16" s="31" t="s">
        <v>4005</v>
      </c>
      <c r="M16" s="71" t="s">
        <v>4006</v>
      </c>
      <c r="N16" s="71" t="s">
        <v>2246</v>
      </c>
      <c r="O16" s="71">
        <v>1000.0</v>
      </c>
      <c r="P16" s="71"/>
      <c r="Q16" s="71"/>
      <c r="R16" s="71"/>
      <c r="T16" s="71" t="s">
        <v>1953</v>
      </c>
      <c r="W16" s="293" t="s">
        <v>470</v>
      </c>
      <c r="Y16" s="294">
        <f t="shared" ref="Y16:Z16" si="1">Y9+Y15+Y10+Y11+Y12+Y13</f>
        <v>29000</v>
      </c>
      <c r="Z16" s="294">
        <f t="shared" si="1"/>
        <v>450</v>
      </c>
    </row>
    <row r="17">
      <c r="A17" s="31" t="s">
        <v>4007</v>
      </c>
      <c r="B17" s="4" t="s">
        <v>99</v>
      </c>
      <c r="C17" s="31" t="s">
        <v>4008</v>
      </c>
      <c r="D17" s="31" t="s">
        <v>4009</v>
      </c>
      <c r="E17" s="31" t="s">
        <v>4010</v>
      </c>
      <c r="G17" s="31" t="s">
        <v>1667</v>
      </c>
      <c r="H17" s="31" t="s">
        <v>4011</v>
      </c>
      <c r="I17" s="31" t="s">
        <v>4012</v>
      </c>
      <c r="M17" s="71" t="s">
        <v>4013</v>
      </c>
      <c r="N17" s="71" t="s">
        <v>1406</v>
      </c>
      <c r="O17" s="71">
        <v>1000.0</v>
      </c>
      <c r="P17" s="71"/>
      <c r="Q17" s="71"/>
      <c r="R17" s="71"/>
      <c r="T17" s="4" t="s">
        <v>1963</v>
      </c>
      <c r="V17" s="241" t="s">
        <v>4014</v>
      </c>
      <c r="W17" s="242" t="s">
        <v>447</v>
      </c>
      <c r="X17" s="242">
        <v>1.0</v>
      </c>
      <c r="Y17" s="242">
        <f>X17*1000</f>
        <v>1000</v>
      </c>
      <c r="Z17" s="243">
        <f>X17*20</f>
        <v>20</v>
      </c>
    </row>
    <row r="18">
      <c r="A18" s="31" t="s">
        <v>4015</v>
      </c>
      <c r="B18" s="55" t="s">
        <v>48</v>
      </c>
      <c r="C18" s="31" t="s">
        <v>4016</v>
      </c>
      <c r="D18" s="31" t="s">
        <v>4017</v>
      </c>
      <c r="E18" s="31" t="s">
        <v>1711</v>
      </c>
      <c r="G18" s="31" t="s">
        <v>4018</v>
      </c>
      <c r="I18" s="31" t="s">
        <v>4019</v>
      </c>
      <c r="M18" s="71" t="s">
        <v>3256</v>
      </c>
      <c r="N18" s="33" t="s">
        <v>2272</v>
      </c>
      <c r="O18" s="131">
        <f>7500+5400</f>
        <v>12900</v>
      </c>
      <c r="P18" s="131"/>
      <c r="Q18" s="131"/>
      <c r="R18" s="131"/>
      <c r="T18" s="71" t="s">
        <v>1025</v>
      </c>
      <c r="W18" s="242" t="s">
        <v>533</v>
      </c>
    </row>
    <row r="19">
      <c r="A19" s="31" t="s">
        <v>4020</v>
      </c>
      <c r="B19" s="4" t="s">
        <v>60</v>
      </c>
      <c r="C19" s="31" t="s">
        <v>3210</v>
      </c>
      <c r="D19" s="31" t="s">
        <v>4021</v>
      </c>
      <c r="E19" s="31" t="s">
        <v>538</v>
      </c>
      <c r="G19" s="31" t="s">
        <v>4022</v>
      </c>
      <c r="I19" s="31" t="s">
        <v>4023</v>
      </c>
      <c r="N19" s="33" t="s">
        <v>498</v>
      </c>
      <c r="P19" s="131"/>
      <c r="Q19" s="131"/>
      <c r="R19" s="131"/>
      <c r="T19" s="31" t="s">
        <v>4024</v>
      </c>
      <c r="W19" s="242" t="s">
        <v>661</v>
      </c>
      <c r="X19" s="242">
        <v>3.0</v>
      </c>
      <c r="Y19" s="243">
        <f>X19*1500</f>
        <v>4500</v>
      </c>
      <c r="Z19" s="243">
        <f>X19*40</f>
        <v>120</v>
      </c>
    </row>
    <row r="20">
      <c r="A20" s="31" t="s">
        <v>4025</v>
      </c>
      <c r="B20" s="55" t="s">
        <v>69</v>
      </c>
      <c r="C20" s="31" t="s">
        <v>4026</v>
      </c>
      <c r="D20" s="31" t="s">
        <v>4027</v>
      </c>
      <c r="E20" s="31" t="s">
        <v>505</v>
      </c>
      <c r="G20" s="31" t="s">
        <v>4028</v>
      </c>
      <c r="I20" s="31" t="s">
        <v>4029</v>
      </c>
      <c r="M20" s="365"/>
      <c r="N20" s="365"/>
      <c r="O20" s="365"/>
      <c r="P20" s="365"/>
      <c r="Q20" s="365"/>
      <c r="R20" s="365"/>
      <c r="S20" s="71" t="s">
        <v>4030</v>
      </c>
      <c r="T20" s="71" t="s">
        <v>469</v>
      </c>
      <c r="U20" s="71">
        <v>11000.0</v>
      </c>
      <c r="W20" s="293" t="s">
        <v>470</v>
      </c>
      <c r="Y20" s="294">
        <f t="shared" ref="Y20:Z20" si="2">Y17+Y19</f>
        <v>5500</v>
      </c>
      <c r="Z20" s="294">
        <f t="shared" si="2"/>
        <v>140</v>
      </c>
    </row>
    <row r="21">
      <c r="A21" s="31" t="s">
        <v>4031</v>
      </c>
      <c r="B21" s="4" t="s">
        <v>60</v>
      </c>
      <c r="C21" s="31" t="s">
        <v>4032</v>
      </c>
      <c r="D21" s="31" t="s">
        <v>4033</v>
      </c>
      <c r="E21" s="31" t="s">
        <v>4034</v>
      </c>
      <c r="G21" s="31" t="s">
        <v>4035</v>
      </c>
      <c r="I21" s="31" t="s">
        <v>4036</v>
      </c>
      <c r="M21" s="365"/>
      <c r="N21" s="365"/>
      <c r="O21" s="365"/>
      <c r="P21" s="365"/>
      <c r="Q21" s="365"/>
      <c r="R21" s="365"/>
      <c r="T21" s="4" t="s">
        <v>1963</v>
      </c>
      <c r="V21" s="241" t="s">
        <v>4037</v>
      </c>
      <c r="W21" s="242" t="s">
        <v>533</v>
      </c>
    </row>
    <row r="22">
      <c r="A22" s="31" t="s">
        <v>4038</v>
      </c>
      <c r="C22" s="31" t="s">
        <v>4039</v>
      </c>
      <c r="D22" s="31" t="s">
        <v>4040</v>
      </c>
      <c r="E22" s="31" t="s">
        <v>1443</v>
      </c>
      <c r="F22" s="289" t="s">
        <v>594</v>
      </c>
      <c r="M22" s="365"/>
      <c r="N22" s="365"/>
      <c r="O22" s="365"/>
      <c r="P22" s="365"/>
      <c r="Q22" s="365"/>
      <c r="R22" s="365"/>
      <c r="T22" s="71" t="s">
        <v>572</v>
      </c>
      <c r="W22" s="242" t="s">
        <v>552</v>
      </c>
      <c r="X22" s="242">
        <v>1.0</v>
      </c>
      <c r="Y22" s="243">
        <f t="shared" ref="Y22:Y23" si="3">X22*1500</f>
        <v>1500</v>
      </c>
      <c r="Z22" s="243">
        <f t="shared" ref="Z22:Z23" si="4">X22*40</f>
        <v>40</v>
      </c>
    </row>
    <row r="23">
      <c r="A23" s="31" t="s">
        <v>4041</v>
      </c>
      <c r="C23" s="31" t="s">
        <v>4042</v>
      </c>
      <c r="D23" s="31" t="s">
        <v>4043</v>
      </c>
      <c r="E23" s="31" t="s">
        <v>538</v>
      </c>
      <c r="F23" s="297" t="s">
        <v>456</v>
      </c>
      <c r="G23" s="297" t="s">
        <v>457</v>
      </c>
      <c r="H23" s="297" t="s">
        <v>0</v>
      </c>
      <c r="T23" s="71" t="s">
        <v>1035</v>
      </c>
      <c r="W23" s="242" t="s">
        <v>2471</v>
      </c>
      <c r="X23" s="242">
        <v>1.0</v>
      </c>
      <c r="Y23" s="243">
        <f t="shared" si="3"/>
        <v>1500</v>
      </c>
      <c r="Z23" s="243">
        <f t="shared" si="4"/>
        <v>40</v>
      </c>
    </row>
    <row r="24">
      <c r="A24" s="31" t="s">
        <v>4044</v>
      </c>
      <c r="C24" s="31" t="s">
        <v>1009</v>
      </c>
      <c r="D24" s="31" t="s">
        <v>4045</v>
      </c>
      <c r="E24" s="31" t="s">
        <v>4046</v>
      </c>
      <c r="F24" s="71" t="s">
        <v>4047</v>
      </c>
      <c r="G24" s="71" t="s">
        <v>631</v>
      </c>
      <c r="H24" s="71">
        <v>1000.0</v>
      </c>
      <c r="S24" s="4" t="s">
        <v>4048</v>
      </c>
      <c r="T24" s="71" t="s">
        <v>469</v>
      </c>
      <c r="U24" s="4">
        <v>5000.0</v>
      </c>
      <c r="W24" s="293" t="s">
        <v>470</v>
      </c>
      <c r="Y24" s="294">
        <f t="shared" ref="Y24:Z24" si="5">Y22+Y23</f>
        <v>3000</v>
      </c>
      <c r="Z24" s="294">
        <f t="shared" si="5"/>
        <v>80</v>
      </c>
    </row>
    <row r="25">
      <c r="A25" s="31" t="s">
        <v>4049</v>
      </c>
      <c r="C25" s="31" t="s">
        <v>4050</v>
      </c>
      <c r="D25" s="31" t="s">
        <v>4051</v>
      </c>
      <c r="E25" s="31" t="s">
        <v>4052</v>
      </c>
      <c r="G25" s="71" t="s">
        <v>635</v>
      </c>
      <c r="S25" s="71" t="s">
        <v>4053</v>
      </c>
      <c r="T25" s="71" t="s">
        <v>469</v>
      </c>
      <c r="U25" s="71">
        <v>13000.0</v>
      </c>
      <c r="V25" s="241" t="s">
        <v>4054</v>
      </c>
      <c r="W25" s="242" t="s">
        <v>533</v>
      </c>
    </row>
    <row r="26">
      <c r="A26" s="31" t="s">
        <v>4055</v>
      </c>
      <c r="C26" s="31" t="s">
        <v>1656</v>
      </c>
      <c r="D26" s="31" t="s">
        <v>4056</v>
      </c>
      <c r="E26" s="31" t="s">
        <v>1371</v>
      </c>
      <c r="G26" s="71" t="s">
        <v>652</v>
      </c>
      <c r="T26" s="71" t="s">
        <v>2972</v>
      </c>
      <c r="W26" s="242" t="s">
        <v>661</v>
      </c>
      <c r="X26" s="242">
        <v>1.5</v>
      </c>
      <c r="Y26" s="243">
        <f>X26*1500</f>
        <v>2250</v>
      </c>
      <c r="Z26" s="243">
        <f>X26*40</f>
        <v>60</v>
      </c>
    </row>
    <row r="27">
      <c r="A27" s="31" t="s">
        <v>4057</v>
      </c>
      <c r="C27" s="31" t="s">
        <v>4058</v>
      </c>
      <c r="D27" s="31" t="s">
        <v>4059</v>
      </c>
      <c r="E27" s="31" t="s">
        <v>2401</v>
      </c>
      <c r="F27" s="71" t="s">
        <v>3983</v>
      </c>
      <c r="G27" s="71" t="s">
        <v>605</v>
      </c>
      <c r="H27" s="71">
        <v>3500.0</v>
      </c>
      <c r="T27" s="71" t="s">
        <v>510</v>
      </c>
      <c r="W27" s="293" t="s">
        <v>470</v>
      </c>
      <c r="Y27" s="294">
        <f t="shared" ref="Y27:Z27" si="6">Y26</f>
        <v>2250</v>
      </c>
      <c r="Z27" s="294">
        <f t="shared" si="6"/>
        <v>60</v>
      </c>
    </row>
    <row r="28">
      <c r="A28" s="31" t="s">
        <v>4060</v>
      </c>
      <c r="C28" s="31" t="s">
        <v>1435</v>
      </c>
      <c r="D28" s="31" t="s">
        <v>4061</v>
      </c>
      <c r="E28" s="31" t="s">
        <v>1443</v>
      </c>
      <c r="G28" s="71" t="s">
        <v>635</v>
      </c>
      <c r="S28" s="71" t="s">
        <v>4062</v>
      </c>
      <c r="T28" s="4" t="s">
        <v>1963</v>
      </c>
      <c r="U28" s="71">
        <v>4000.0</v>
      </c>
      <c r="V28" s="241" t="s">
        <v>4063</v>
      </c>
      <c r="W28" s="242" t="s">
        <v>533</v>
      </c>
    </row>
    <row r="29">
      <c r="A29" s="31" t="s">
        <v>4064</v>
      </c>
      <c r="C29" s="31" t="s">
        <v>4065</v>
      </c>
      <c r="D29" s="31" t="s">
        <v>4066</v>
      </c>
      <c r="E29" s="31" t="s">
        <v>2653</v>
      </c>
      <c r="G29" s="71" t="s">
        <v>3291</v>
      </c>
      <c r="T29" s="4" t="s">
        <v>1025</v>
      </c>
      <c r="W29" s="242" t="s">
        <v>661</v>
      </c>
      <c r="X29" s="242">
        <v>2.5</v>
      </c>
      <c r="Y29" s="243">
        <f>X29*1500</f>
        <v>3750</v>
      </c>
      <c r="Z29" s="243">
        <f>X29*40</f>
        <v>100</v>
      </c>
    </row>
    <row r="30">
      <c r="A30" s="31" t="s">
        <v>4067</v>
      </c>
      <c r="C30" s="31" t="s">
        <v>4068</v>
      </c>
      <c r="D30" s="31" t="s">
        <v>4069</v>
      </c>
      <c r="E30" s="31" t="s">
        <v>569</v>
      </c>
      <c r="F30" s="71" t="s">
        <v>3999</v>
      </c>
      <c r="G30" s="71" t="s">
        <v>631</v>
      </c>
      <c r="H30" s="71">
        <v>1000.0</v>
      </c>
      <c r="S30" s="33" t="s">
        <v>1720</v>
      </c>
      <c r="U30" s="4">
        <v>500000.0</v>
      </c>
      <c r="W30" s="293" t="s">
        <v>470</v>
      </c>
      <c r="Y30" s="294">
        <f t="shared" ref="Y30:Z30" si="7">Y29</f>
        <v>3750</v>
      </c>
      <c r="Z30" s="294">
        <f t="shared" si="7"/>
        <v>100</v>
      </c>
    </row>
    <row r="31">
      <c r="A31" s="31" t="s">
        <v>4070</v>
      </c>
      <c r="C31" s="31" t="s">
        <v>560</v>
      </c>
      <c r="D31" s="31" t="s">
        <v>4071</v>
      </c>
      <c r="E31" s="31" t="s">
        <v>2653</v>
      </c>
      <c r="G31" s="71" t="s">
        <v>635</v>
      </c>
      <c r="V31" s="241" t="s">
        <v>4072</v>
      </c>
      <c r="W31" s="242" t="s">
        <v>447</v>
      </c>
      <c r="X31" s="242">
        <v>1.0</v>
      </c>
      <c r="Y31" s="242">
        <f>X31*1000</f>
        <v>1000</v>
      </c>
      <c r="Z31" s="243">
        <f>X31*20</f>
        <v>20</v>
      </c>
    </row>
    <row r="32">
      <c r="A32" s="31" t="s">
        <v>4073</v>
      </c>
      <c r="C32" s="31" t="s">
        <v>2714</v>
      </c>
      <c r="D32" s="31" t="s">
        <v>4074</v>
      </c>
      <c r="E32" s="31" t="s">
        <v>4075</v>
      </c>
      <c r="G32" s="71" t="s">
        <v>652</v>
      </c>
      <c r="W32" s="242" t="s">
        <v>533</v>
      </c>
    </row>
    <row r="33">
      <c r="A33" s="45" t="s">
        <v>4076</v>
      </c>
      <c r="C33" s="31" t="s">
        <v>4077</v>
      </c>
      <c r="D33" s="31" t="s">
        <v>4078</v>
      </c>
      <c r="E33" s="31" t="s">
        <v>2662</v>
      </c>
      <c r="F33" s="71" t="s">
        <v>4079</v>
      </c>
      <c r="G33" s="71" t="s">
        <v>650</v>
      </c>
      <c r="H33" s="71">
        <v>500.0</v>
      </c>
      <c r="W33" s="242" t="s">
        <v>661</v>
      </c>
      <c r="X33" s="242">
        <v>0.5</v>
      </c>
      <c r="Y33" s="243">
        <f>X33*1500</f>
        <v>750</v>
      </c>
      <c r="Z33" s="243">
        <f>X33*40</f>
        <v>20</v>
      </c>
    </row>
    <row r="34">
      <c r="A34" s="45" t="s">
        <v>4080</v>
      </c>
      <c r="C34" s="31" t="s">
        <v>570</v>
      </c>
      <c r="D34" s="31" t="s">
        <v>4081</v>
      </c>
      <c r="E34" s="31" t="s">
        <v>1473</v>
      </c>
      <c r="G34" s="71" t="s">
        <v>644</v>
      </c>
      <c r="W34" s="293" t="s">
        <v>470</v>
      </c>
      <c r="Y34" s="294">
        <f t="shared" ref="Y34:Z34" si="8">Y33+Y31</f>
        <v>1750</v>
      </c>
      <c r="Z34" s="294">
        <f t="shared" si="8"/>
        <v>40</v>
      </c>
    </row>
    <row r="35">
      <c r="A35" s="45" t="s">
        <v>4082</v>
      </c>
      <c r="C35" s="31" t="s">
        <v>4083</v>
      </c>
      <c r="D35" s="31" t="s">
        <v>4084</v>
      </c>
      <c r="E35" s="31" t="s">
        <v>495</v>
      </c>
      <c r="G35" s="71" t="s">
        <v>652</v>
      </c>
      <c r="V35" s="241" t="s">
        <v>4085</v>
      </c>
      <c r="W35" s="242" t="s">
        <v>533</v>
      </c>
    </row>
    <row r="36">
      <c r="A36" s="45" t="s">
        <v>4086</v>
      </c>
      <c r="C36" s="31" t="s">
        <v>4087</v>
      </c>
      <c r="D36" s="31" t="s">
        <v>4088</v>
      </c>
      <c r="E36" s="31" t="s">
        <v>1480</v>
      </c>
      <c r="F36" s="71" t="s">
        <v>4089</v>
      </c>
      <c r="G36" s="71" t="s">
        <v>631</v>
      </c>
      <c r="H36" s="71">
        <v>1500.0</v>
      </c>
      <c r="W36" s="242" t="s">
        <v>661</v>
      </c>
      <c r="X36" s="242">
        <v>2.0</v>
      </c>
      <c r="Y36" s="243">
        <f>X36*1500</f>
        <v>3000</v>
      </c>
      <c r="Z36" s="243">
        <f>X36*40</f>
        <v>80</v>
      </c>
    </row>
    <row r="37">
      <c r="A37" s="31" t="s">
        <v>4090</v>
      </c>
      <c r="C37" s="31" t="s">
        <v>4091</v>
      </c>
      <c r="D37" s="31" t="s">
        <v>4092</v>
      </c>
      <c r="E37" s="76" t="s">
        <v>1749</v>
      </c>
      <c r="G37" s="71" t="s">
        <v>644</v>
      </c>
      <c r="W37" s="293" t="s">
        <v>470</v>
      </c>
      <c r="Y37" s="294">
        <f t="shared" ref="Y37:Z37" si="9">Y36</f>
        <v>3000</v>
      </c>
      <c r="Z37" s="294">
        <f t="shared" si="9"/>
        <v>80</v>
      </c>
    </row>
    <row r="38">
      <c r="A38" s="45" t="s">
        <v>4093</v>
      </c>
      <c r="C38" s="31" t="s">
        <v>4094</v>
      </c>
      <c r="G38" s="71" t="s">
        <v>652</v>
      </c>
      <c r="V38" s="241" t="s">
        <v>4095</v>
      </c>
      <c r="W38" s="242" t="s">
        <v>511</v>
      </c>
      <c r="X38" s="242">
        <v>1.0</v>
      </c>
      <c r="Y38" s="243">
        <f>X38*10000</f>
        <v>10000</v>
      </c>
      <c r="Z38" s="243">
        <f>X38*100</f>
        <v>100</v>
      </c>
    </row>
    <row r="39">
      <c r="A39" s="45" t="s">
        <v>4096</v>
      </c>
      <c r="C39" s="31" t="s">
        <v>2467</v>
      </c>
      <c r="D39" s="33" t="s">
        <v>1086</v>
      </c>
      <c r="E39" s="84" t="s">
        <v>1750</v>
      </c>
      <c r="F39" s="71" t="s">
        <v>4097</v>
      </c>
      <c r="G39" s="71" t="s">
        <v>650</v>
      </c>
      <c r="H39" s="71">
        <v>500.0</v>
      </c>
      <c r="W39" s="242" t="s">
        <v>533</v>
      </c>
    </row>
    <row r="40">
      <c r="A40" s="31" t="s">
        <v>4098</v>
      </c>
      <c r="C40" s="31" t="s">
        <v>4099</v>
      </c>
      <c r="D40" s="296">
        <v>50000.0</v>
      </c>
      <c r="E40" s="31" t="s">
        <v>3954</v>
      </c>
      <c r="G40" s="71" t="s">
        <v>644</v>
      </c>
      <c r="W40" s="242" t="s">
        <v>661</v>
      </c>
      <c r="X40" s="242">
        <v>3.0</v>
      </c>
      <c r="Y40" s="243">
        <f>X40*1500</f>
        <v>4500</v>
      </c>
      <c r="Z40" s="243">
        <f>X40*40</f>
        <v>120</v>
      </c>
    </row>
    <row r="41">
      <c r="A41" s="31" t="s">
        <v>4100</v>
      </c>
      <c r="C41" s="31" t="s">
        <v>4101</v>
      </c>
      <c r="D41" s="4" t="s">
        <v>181</v>
      </c>
      <c r="E41" s="31" t="s">
        <v>4102</v>
      </c>
      <c r="G41" s="71" t="s">
        <v>652</v>
      </c>
      <c r="W41" s="293" t="s">
        <v>470</v>
      </c>
      <c r="Y41" s="294">
        <f t="shared" ref="Y41:Z41" si="10">Y40+Y38</f>
        <v>14500</v>
      </c>
      <c r="Z41" s="294">
        <f t="shared" si="10"/>
        <v>220</v>
      </c>
    </row>
    <row r="42">
      <c r="A42" s="31" t="s">
        <v>4103</v>
      </c>
      <c r="C42" s="31" t="s">
        <v>1077</v>
      </c>
      <c r="D42" s="4" t="s">
        <v>4104</v>
      </c>
      <c r="E42" s="84" t="s">
        <v>4105</v>
      </c>
      <c r="F42" s="71" t="s">
        <v>4106</v>
      </c>
      <c r="G42" s="71" t="s">
        <v>650</v>
      </c>
      <c r="H42" s="71">
        <v>1000.0</v>
      </c>
      <c r="V42" s="241" t="s">
        <v>4107</v>
      </c>
      <c r="W42" s="242" t="s">
        <v>533</v>
      </c>
    </row>
    <row r="43">
      <c r="A43" s="31" t="s">
        <v>4108</v>
      </c>
      <c r="C43" s="31" t="s">
        <v>4094</v>
      </c>
      <c r="E43" s="84" t="s">
        <v>4109</v>
      </c>
      <c r="G43" s="71" t="s">
        <v>644</v>
      </c>
      <c r="W43" s="242" t="s">
        <v>661</v>
      </c>
      <c r="X43" s="242">
        <v>0.5</v>
      </c>
      <c r="Y43" s="243">
        <f>X43*1500</f>
        <v>750</v>
      </c>
      <c r="Z43" s="243">
        <f>X43*40</f>
        <v>20</v>
      </c>
    </row>
    <row r="44">
      <c r="A44" s="31" t="s">
        <v>4110</v>
      </c>
      <c r="C44" s="31" t="s">
        <v>4111</v>
      </c>
      <c r="E44" s="31"/>
      <c r="G44" s="71" t="s">
        <v>613</v>
      </c>
      <c r="W44" s="293" t="s">
        <v>470</v>
      </c>
      <c r="Y44" s="294">
        <f t="shared" ref="Y44:Z44" si="11">Y43</f>
        <v>750</v>
      </c>
      <c r="Z44" s="294">
        <f t="shared" si="11"/>
        <v>20</v>
      </c>
    </row>
    <row r="45">
      <c r="A45" s="31" t="s">
        <v>4112</v>
      </c>
      <c r="C45" s="31" t="s">
        <v>1889</v>
      </c>
      <c r="E45" s="31"/>
      <c r="F45" s="71" t="s">
        <v>4113</v>
      </c>
      <c r="G45" s="71" t="s">
        <v>650</v>
      </c>
      <c r="H45" s="71">
        <v>500.0</v>
      </c>
      <c r="V45" s="241" t="s">
        <v>4114</v>
      </c>
      <c r="W45" s="242" t="s">
        <v>533</v>
      </c>
    </row>
    <row r="46">
      <c r="A46" s="31" t="s">
        <v>4115</v>
      </c>
      <c r="C46" s="31" t="s">
        <v>1916</v>
      </c>
      <c r="E46" s="31"/>
      <c r="G46" s="71" t="s">
        <v>635</v>
      </c>
      <c r="W46" s="242" t="s">
        <v>661</v>
      </c>
      <c r="X46" s="242">
        <v>0.5</v>
      </c>
      <c r="Y46" s="243">
        <f>X46*1500</f>
        <v>750</v>
      </c>
      <c r="Z46" s="243">
        <f>X46*40</f>
        <v>20</v>
      </c>
    </row>
    <row r="47">
      <c r="A47" s="31" t="s">
        <v>4116</v>
      </c>
      <c r="C47" s="31" t="s">
        <v>1653</v>
      </c>
      <c r="E47" s="31"/>
      <c r="G47" s="71" t="s">
        <v>613</v>
      </c>
      <c r="W47" s="293" t="s">
        <v>470</v>
      </c>
      <c r="Y47" s="294">
        <f t="shared" ref="Y47:Z47" si="12">Y46</f>
        <v>750</v>
      </c>
      <c r="Z47" s="294">
        <f t="shared" si="12"/>
        <v>20</v>
      </c>
    </row>
    <row r="48">
      <c r="A48" s="31" t="s">
        <v>4117</v>
      </c>
      <c r="C48" s="31" t="s">
        <v>1281</v>
      </c>
      <c r="E48" s="31"/>
      <c r="F48" s="71" t="s">
        <v>4118</v>
      </c>
      <c r="G48" s="71" t="s">
        <v>631</v>
      </c>
      <c r="H48" s="71">
        <v>1500.0</v>
      </c>
      <c r="V48" s="366" t="s">
        <v>4119</v>
      </c>
      <c r="W48" s="242" t="s">
        <v>533</v>
      </c>
    </row>
    <row r="49">
      <c r="A49" s="31" t="s">
        <v>4120</v>
      </c>
      <c r="C49" s="31" t="s">
        <v>4121</v>
      </c>
      <c r="G49" s="71" t="s">
        <v>635</v>
      </c>
      <c r="W49" s="242" t="s">
        <v>4122</v>
      </c>
      <c r="X49" s="242">
        <v>1.0</v>
      </c>
      <c r="Y49" s="243">
        <f>X49*1500</f>
        <v>1500</v>
      </c>
      <c r="Z49" s="243">
        <f>X49*40</f>
        <v>40</v>
      </c>
    </row>
    <row r="50">
      <c r="C50" s="31" t="s">
        <v>1889</v>
      </c>
      <c r="G50" s="71" t="s">
        <v>613</v>
      </c>
      <c r="W50" s="293" t="s">
        <v>470</v>
      </c>
      <c r="Y50" s="294">
        <f t="shared" ref="Y50:Z50" si="13">Y49</f>
        <v>1500</v>
      </c>
      <c r="Z50" s="294">
        <f t="shared" si="13"/>
        <v>40</v>
      </c>
    </row>
    <row r="51">
      <c r="C51" s="31" t="s">
        <v>1873</v>
      </c>
      <c r="F51" s="71" t="s">
        <v>4123</v>
      </c>
      <c r="G51" s="71" t="s">
        <v>650</v>
      </c>
      <c r="H51" s="71">
        <v>500.0</v>
      </c>
    </row>
    <row r="52">
      <c r="C52" s="31" t="s">
        <v>587</v>
      </c>
      <c r="G52" s="71" t="s">
        <v>644</v>
      </c>
    </row>
    <row r="53">
      <c r="C53" s="31" t="s">
        <v>549</v>
      </c>
      <c r="G53" s="71" t="s">
        <v>652</v>
      </c>
    </row>
    <row r="54">
      <c r="C54" s="31" t="s">
        <v>4124</v>
      </c>
      <c r="F54" s="71" t="s">
        <v>4125</v>
      </c>
      <c r="G54" s="71" t="s">
        <v>631</v>
      </c>
      <c r="H54" s="71">
        <v>1000.0</v>
      </c>
    </row>
    <row r="55">
      <c r="C55" s="31" t="s">
        <v>4126</v>
      </c>
      <c r="G55" s="71" t="s">
        <v>635</v>
      </c>
    </row>
    <row r="56">
      <c r="C56" s="31" t="s">
        <v>1306</v>
      </c>
      <c r="G56" s="71" t="s">
        <v>652</v>
      </c>
      <c r="AC56" s="31"/>
    </row>
    <row r="57">
      <c r="C57" s="31" t="s">
        <v>4127</v>
      </c>
      <c r="F57" s="71" t="s">
        <v>4128</v>
      </c>
      <c r="G57" s="71" t="s">
        <v>650</v>
      </c>
      <c r="H57" s="71">
        <v>500.0</v>
      </c>
      <c r="AC57" s="31"/>
    </row>
    <row r="58">
      <c r="C58" s="31" t="s">
        <v>4129</v>
      </c>
      <c r="G58" s="71" t="s">
        <v>635</v>
      </c>
    </row>
    <row r="59">
      <c r="C59" s="31" t="s">
        <v>4130</v>
      </c>
      <c r="G59" s="71" t="s">
        <v>613</v>
      </c>
    </row>
    <row r="60">
      <c r="C60" s="31" t="s">
        <v>4130</v>
      </c>
    </row>
    <row r="61">
      <c r="C61" s="31" t="s">
        <v>4131</v>
      </c>
    </row>
    <row r="62">
      <c r="C62" s="31" t="s">
        <v>4132</v>
      </c>
    </row>
    <row r="63">
      <c r="C63" s="31" t="s">
        <v>1289</v>
      </c>
    </row>
    <row r="64">
      <c r="C64" s="31" t="s">
        <v>4133</v>
      </c>
    </row>
    <row r="65">
      <c r="C65" s="31" t="s">
        <v>1904</v>
      </c>
    </row>
    <row r="66">
      <c r="C66" s="31" t="s">
        <v>4134</v>
      </c>
    </row>
    <row r="67">
      <c r="C67" s="31" t="s">
        <v>4135</v>
      </c>
    </row>
    <row r="68">
      <c r="C68" s="31"/>
    </row>
    <row r="69">
      <c r="C69" s="31"/>
    </row>
    <row r="70">
      <c r="C70" s="31"/>
    </row>
    <row r="71">
      <c r="C71" s="31"/>
    </row>
    <row r="72">
      <c r="C72" s="31"/>
    </row>
    <row r="73">
      <c r="C73" s="31"/>
    </row>
    <row r="74">
      <c r="C74" s="31"/>
    </row>
    <row r="75">
      <c r="C75" s="31"/>
    </row>
    <row r="76">
      <c r="C76" s="31"/>
    </row>
    <row r="77">
      <c r="C77" s="31"/>
    </row>
    <row r="78">
      <c r="C78" s="31"/>
    </row>
    <row r="79">
      <c r="A79" s="47" t="s">
        <v>366</v>
      </c>
    </row>
    <row r="80">
      <c r="A80" s="47">
        <f>A82+A97+A109+A121+A137+A149+A168+A203+A240</f>
        <v>5031975</v>
      </c>
      <c r="F80" s="84"/>
    </row>
    <row r="81">
      <c r="A81" s="82" t="s">
        <v>1123</v>
      </c>
    </row>
    <row r="82">
      <c r="A82" s="82">
        <v>22000.0</v>
      </c>
    </row>
    <row r="83">
      <c r="A83" s="82">
        <v>2026.0</v>
      </c>
    </row>
    <row r="84">
      <c r="A84" s="50" t="s">
        <v>665</v>
      </c>
      <c r="B84" s="50" t="s">
        <v>119</v>
      </c>
      <c r="C84" s="50" t="s">
        <v>142</v>
      </c>
      <c r="D84" s="50" t="s">
        <v>126</v>
      </c>
      <c r="E84" s="50" t="s">
        <v>130</v>
      </c>
    </row>
    <row r="85">
      <c r="B85" s="84" t="s">
        <v>4136</v>
      </c>
      <c r="C85" s="84" t="s">
        <v>4137</v>
      </c>
      <c r="D85" s="84" t="s">
        <v>2519</v>
      </c>
    </row>
    <row r="86">
      <c r="B86" s="31" t="s">
        <v>4138</v>
      </c>
      <c r="C86" s="31" t="s">
        <v>4139</v>
      </c>
      <c r="D86" s="31" t="s">
        <v>4140</v>
      </c>
    </row>
    <row r="87">
      <c r="B87" s="31" t="s">
        <v>718</v>
      </c>
      <c r="C87" s="31" t="s">
        <v>826</v>
      </c>
      <c r="D87" s="31" t="s">
        <v>1762</v>
      </c>
    </row>
    <row r="88">
      <c r="B88" s="367" t="s">
        <v>4141</v>
      </c>
      <c r="C88" s="31" t="s">
        <v>4142</v>
      </c>
      <c r="D88" s="31" t="s">
        <v>680</v>
      </c>
    </row>
    <row r="89">
      <c r="B89" s="367" t="s">
        <v>826</v>
      </c>
      <c r="C89" s="31" t="s">
        <v>677</v>
      </c>
    </row>
    <row r="90">
      <c r="B90" s="31" t="s">
        <v>4143</v>
      </c>
      <c r="C90" s="31" t="s">
        <v>676</v>
      </c>
    </row>
    <row r="91">
      <c r="B91" s="31" t="s">
        <v>684</v>
      </c>
      <c r="C91" s="31" t="s">
        <v>4144</v>
      </c>
    </row>
    <row r="92">
      <c r="C92" s="31" t="s">
        <v>704</v>
      </c>
    </row>
    <row r="93">
      <c r="C93" s="31" t="s">
        <v>4145</v>
      </c>
    </row>
    <row r="94">
      <c r="C94" s="31" t="s">
        <v>671</v>
      </c>
    </row>
    <row r="95">
      <c r="A95" s="85"/>
    </row>
    <row r="96">
      <c r="A96" s="86" t="s">
        <v>686</v>
      </c>
    </row>
    <row r="97">
      <c r="A97" s="86">
        <v>26250.0</v>
      </c>
    </row>
    <row r="98">
      <c r="A98" s="87">
        <v>2026.0</v>
      </c>
    </row>
    <row r="99">
      <c r="A99" s="50" t="s">
        <v>687</v>
      </c>
      <c r="B99" s="50" t="s">
        <v>688</v>
      </c>
      <c r="C99" s="50" t="s">
        <v>689</v>
      </c>
      <c r="D99" s="50" t="s">
        <v>690</v>
      </c>
      <c r="E99" s="50" t="s">
        <v>691</v>
      </c>
      <c r="F99" s="50" t="s">
        <v>692</v>
      </c>
    </row>
    <row r="100">
      <c r="A100" s="84" t="s">
        <v>4146</v>
      </c>
      <c r="D100" s="84" t="s">
        <v>4147</v>
      </c>
      <c r="E100" s="84" t="s">
        <v>4148</v>
      </c>
      <c r="F100" s="84" t="s">
        <v>4149</v>
      </c>
    </row>
    <row r="101">
      <c r="A101" s="31" t="s">
        <v>4150</v>
      </c>
      <c r="D101" s="31" t="s">
        <v>4151</v>
      </c>
      <c r="E101" s="31" t="s">
        <v>4140</v>
      </c>
      <c r="F101" s="31" t="s">
        <v>4152</v>
      </c>
    </row>
    <row r="102">
      <c r="A102" s="31" t="s">
        <v>703</v>
      </c>
      <c r="D102" s="31" t="s">
        <v>703</v>
      </c>
      <c r="E102" s="31" t="s">
        <v>826</v>
      </c>
      <c r="F102" s="31" t="s">
        <v>685</v>
      </c>
    </row>
    <row r="103">
      <c r="A103" s="31" t="s">
        <v>4153</v>
      </c>
      <c r="D103" s="31" t="s">
        <v>717</v>
      </c>
      <c r="E103" s="31" t="s">
        <v>1556</v>
      </c>
      <c r="F103" s="31" t="s">
        <v>1545</v>
      </c>
    </row>
    <row r="104">
      <c r="A104" s="31" t="s">
        <v>1545</v>
      </c>
      <c r="E104" s="31" t="s">
        <v>4154</v>
      </c>
      <c r="F104" s="31" t="s">
        <v>713</v>
      </c>
    </row>
    <row r="105">
      <c r="A105" s="31" t="s">
        <v>1133</v>
      </c>
      <c r="E105" s="31" t="s">
        <v>2322</v>
      </c>
    </row>
    <row r="106">
      <c r="E106" s="31" t="s">
        <v>1769</v>
      </c>
    </row>
    <row r="107">
      <c r="A107" s="85"/>
    </row>
    <row r="108">
      <c r="A108" s="22" t="s">
        <v>1148</v>
      </c>
    </row>
    <row r="109">
      <c r="A109" s="22">
        <v>43900.0</v>
      </c>
    </row>
    <row r="110">
      <c r="A110" s="19">
        <v>2026.0</v>
      </c>
    </row>
    <row r="111">
      <c r="A111" s="88" t="s">
        <v>4155</v>
      </c>
    </row>
    <row r="112">
      <c r="A112" s="50" t="s">
        <v>733</v>
      </c>
      <c r="B112" s="50" t="s">
        <v>191</v>
      </c>
      <c r="C112" s="50" t="s">
        <v>734</v>
      </c>
      <c r="D112" s="50" t="s">
        <v>735</v>
      </c>
      <c r="E112" s="50" t="s">
        <v>187</v>
      </c>
      <c r="F112" s="50" t="s">
        <v>736</v>
      </c>
      <c r="G112" s="50" t="s">
        <v>179</v>
      </c>
      <c r="H112" s="50" t="s">
        <v>737</v>
      </c>
    </row>
    <row r="113">
      <c r="A113" s="76" t="s">
        <v>377</v>
      </c>
      <c r="B113" s="76" t="s">
        <v>4156</v>
      </c>
      <c r="C113" s="76" t="s">
        <v>377</v>
      </c>
      <c r="D113" s="76" t="s">
        <v>1154</v>
      </c>
      <c r="E113" s="76" t="s">
        <v>4157</v>
      </c>
      <c r="F113" s="76" t="s">
        <v>2038</v>
      </c>
      <c r="G113" s="76" t="s">
        <v>1579</v>
      </c>
      <c r="H113" s="76" t="s">
        <v>2038</v>
      </c>
    </row>
    <row r="114">
      <c r="B114" s="31" t="s">
        <v>3954</v>
      </c>
      <c r="D114" s="31" t="s">
        <v>4151</v>
      </c>
      <c r="E114" s="31" t="s">
        <v>4158</v>
      </c>
      <c r="F114" s="31" t="s">
        <v>4152</v>
      </c>
      <c r="G114" s="31" t="s">
        <v>4159</v>
      </c>
      <c r="H114" s="31" t="s">
        <v>4160</v>
      </c>
    </row>
    <row r="115">
      <c r="B115" s="31" t="s">
        <v>702</v>
      </c>
      <c r="D115" s="31" t="s">
        <v>677</v>
      </c>
      <c r="E115" s="31" t="s">
        <v>820</v>
      </c>
      <c r="F115" s="31" t="s">
        <v>703</v>
      </c>
      <c r="G115" s="31" t="s">
        <v>677</v>
      </c>
      <c r="H115" s="31" t="s">
        <v>703</v>
      </c>
    </row>
    <row r="116">
      <c r="B116" s="31" t="s">
        <v>773</v>
      </c>
      <c r="D116" s="31" t="s">
        <v>4014</v>
      </c>
      <c r="E116" s="31" t="s">
        <v>782</v>
      </c>
      <c r="F116" s="31" t="s">
        <v>4161</v>
      </c>
      <c r="G116" s="31" t="s">
        <v>786</v>
      </c>
      <c r="H116" s="31" t="s">
        <v>4162</v>
      </c>
    </row>
    <row r="117">
      <c r="B117" s="31" t="s">
        <v>4163</v>
      </c>
      <c r="D117" s="31" t="s">
        <v>703</v>
      </c>
      <c r="F117" s="31" t="s">
        <v>703</v>
      </c>
      <c r="H117" s="31" t="s">
        <v>703</v>
      </c>
    </row>
    <row r="118">
      <c r="B118" s="31" t="s">
        <v>703</v>
      </c>
      <c r="D118" s="31" t="s">
        <v>644</v>
      </c>
    </row>
    <row r="119">
      <c r="B119" s="31" t="s">
        <v>773</v>
      </c>
    </row>
    <row r="120">
      <c r="A120" s="90" t="s">
        <v>1172</v>
      </c>
    </row>
    <row r="121">
      <c r="A121" s="90">
        <f>A124</f>
        <v>58800</v>
      </c>
    </row>
    <row r="122">
      <c r="A122" s="90">
        <v>2026.0</v>
      </c>
    </row>
    <row r="123">
      <c r="A123" s="90" t="s">
        <v>368</v>
      </c>
    </row>
    <row r="124">
      <c r="A124" s="90">
        <f>A127+B127+C127+D127+E127+F127+G127+H127</f>
        <v>58800</v>
      </c>
    </row>
    <row r="125">
      <c r="A125" s="50" t="s">
        <v>789</v>
      </c>
      <c r="B125" s="50" t="s">
        <v>790</v>
      </c>
      <c r="C125" s="50" t="s">
        <v>215</v>
      </c>
      <c r="D125" s="50" t="s">
        <v>791</v>
      </c>
      <c r="E125" s="50" t="s">
        <v>202</v>
      </c>
      <c r="F125" s="50" t="s">
        <v>792</v>
      </c>
      <c r="G125" s="50" t="s">
        <v>793</v>
      </c>
      <c r="H125" s="50" t="s">
        <v>205</v>
      </c>
    </row>
    <row r="126">
      <c r="A126" s="33" t="s">
        <v>377</v>
      </c>
      <c r="B126" s="33" t="s">
        <v>377</v>
      </c>
      <c r="C126" s="33" t="s">
        <v>377</v>
      </c>
      <c r="D126" s="33" t="s">
        <v>377</v>
      </c>
      <c r="E126" s="33" t="s">
        <v>377</v>
      </c>
      <c r="F126" s="33" t="s">
        <v>377</v>
      </c>
      <c r="G126" s="33" t="s">
        <v>377</v>
      </c>
      <c r="H126" s="33" t="s">
        <v>377</v>
      </c>
    </row>
    <row r="127">
      <c r="A127" s="50">
        <v>0.0</v>
      </c>
      <c r="B127" s="50">
        <v>0.0</v>
      </c>
      <c r="C127" s="50">
        <v>2000.0</v>
      </c>
      <c r="D127" s="50">
        <v>11500.0</v>
      </c>
      <c r="E127" s="50">
        <v>41300.0</v>
      </c>
      <c r="F127" s="50">
        <v>500.0</v>
      </c>
      <c r="G127" s="50">
        <v>3500.0</v>
      </c>
      <c r="H127" s="50">
        <v>0.0</v>
      </c>
    </row>
    <row r="128">
      <c r="C128" s="91" t="s">
        <v>947</v>
      </c>
      <c r="D128" s="31" t="s">
        <v>4158</v>
      </c>
      <c r="E128" s="31" t="s">
        <v>4150</v>
      </c>
      <c r="F128" s="31" t="s">
        <v>4164</v>
      </c>
      <c r="G128" s="31" t="s">
        <v>4165</v>
      </c>
    </row>
    <row r="129">
      <c r="C129" s="91" t="s">
        <v>797</v>
      </c>
      <c r="D129" s="31" t="s">
        <v>4166</v>
      </c>
      <c r="E129" s="31" t="s">
        <v>1181</v>
      </c>
      <c r="F129" s="31" t="s">
        <v>703</v>
      </c>
      <c r="G129" s="31" t="s">
        <v>821</v>
      </c>
    </row>
    <row r="130">
      <c r="D130" s="31" t="s">
        <v>4014</v>
      </c>
      <c r="E130" s="31" t="s">
        <v>813</v>
      </c>
    </row>
    <row r="131">
      <c r="D131" s="31" t="s">
        <v>4167</v>
      </c>
      <c r="E131" s="31" t="s">
        <v>4168</v>
      </c>
    </row>
    <row r="132">
      <c r="D132" s="31" t="s">
        <v>4169</v>
      </c>
      <c r="E132" s="31" t="s">
        <v>819</v>
      </c>
    </row>
    <row r="133">
      <c r="D133" s="31" t="s">
        <v>1181</v>
      </c>
      <c r="E133" s="31" t="s">
        <v>813</v>
      </c>
    </row>
    <row r="136">
      <c r="A136" s="344" t="s">
        <v>828</v>
      </c>
    </row>
    <row r="137">
      <c r="A137" s="344">
        <f>A140</f>
        <v>3000</v>
      </c>
    </row>
    <row r="138">
      <c r="A138" s="344">
        <v>2026.0</v>
      </c>
    </row>
    <row r="139">
      <c r="A139" s="344" t="s">
        <v>368</v>
      </c>
    </row>
    <row r="140">
      <c r="A140" s="345">
        <f>A143+B143+C143+D143+E143+F143+G143+H143+I143+J143</f>
        <v>3000</v>
      </c>
    </row>
    <row r="141">
      <c r="A141" s="327" t="s">
        <v>829</v>
      </c>
      <c r="B141" s="327" t="s">
        <v>830</v>
      </c>
      <c r="C141" s="327" t="s">
        <v>831</v>
      </c>
      <c r="D141" s="327" t="s">
        <v>832</v>
      </c>
      <c r="E141" s="327" t="s">
        <v>833</v>
      </c>
      <c r="F141" s="327" t="s">
        <v>834</v>
      </c>
      <c r="G141" s="103" t="s">
        <v>835</v>
      </c>
      <c r="H141" s="103" t="s">
        <v>836</v>
      </c>
      <c r="I141" s="139" t="s">
        <v>837</v>
      </c>
      <c r="J141" s="139" t="s">
        <v>838</v>
      </c>
    </row>
    <row r="142">
      <c r="A142" s="346" t="s">
        <v>377</v>
      </c>
      <c r="B142" s="346" t="s">
        <v>377</v>
      </c>
      <c r="C142" s="346" t="s">
        <v>377</v>
      </c>
      <c r="D142" s="346" t="s">
        <v>377</v>
      </c>
      <c r="E142" s="346" t="s">
        <v>377</v>
      </c>
      <c r="F142" s="346" t="s">
        <v>377</v>
      </c>
      <c r="G142" s="64" t="s">
        <v>377</v>
      </c>
      <c r="H142" s="64" t="s">
        <v>377</v>
      </c>
      <c r="I142" s="64" t="s">
        <v>377</v>
      </c>
      <c r="J142" s="64" t="s">
        <v>377</v>
      </c>
    </row>
    <row r="143">
      <c r="A143" s="327">
        <v>0.0</v>
      </c>
      <c r="B143" s="327">
        <v>0.0</v>
      </c>
      <c r="C143" s="327">
        <v>0.0</v>
      </c>
      <c r="D143" s="99">
        <v>3000.0</v>
      </c>
      <c r="E143" s="327">
        <v>0.0</v>
      </c>
      <c r="F143" s="327">
        <v>0.0</v>
      </c>
      <c r="G143" s="103">
        <v>0.0</v>
      </c>
      <c r="H143" s="103">
        <v>0.0</v>
      </c>
      <c r="I143" s="103">
        <v>0.0</v>
      </c>
      <c r="J143" s="103">
        <v>0.0</v>
      </c>
    </row>
    <row r="144">
      <c r="D144" s="31" t="s">
        <v>3958</v>
      </c>
    </row>
    <row r="145">
      <c r="D145" s="31" t="s">
        <v>826</v>
      </c>
    </row>
    <row r="146">
      <c r="D146" s="31" t="s">
        <v>1199</v>
      </c>
    </row>
    <row r="147">
      <c r="A147" s="96" t="s">
        <v>871</v>
      </c>
    </row>
    <row r="148">
      <c r="A148" s="97" t="s">
        <v>872</v>
      </c>
    </row>
    <row r="149">
      <c r="A149" s="97">
        <f>A152</f>
        <v>287400</v>
      </c>
    </row>
    <row r="150">
      <c r="A150" s="97">
        <v>2026.0</v>
      </c>
    </row>
    <row r="151">
      <c r="A151" s="97" t="s">
        <v>368</v>
      </c>
    </row>
    <row r="152">
      <c r="A152" s="98">
        <f>A155+B155+C155+D155+E155+F155+G155+H155+I155+J155</f>
        <v>287400</v>
      </c>
    </row>
    <row r="153">
      <c r="A153" s="50" t="s">
        <v>873</v>
      </c>
      <c r="B153" s="50" t="s">
        <v>874</v>
      </c>
      <c r="C153" s="50" t="s">
        <v>875</v>
      </c>
      <c r="D153" s="50" t="s">
        <v>876</v>
      </c>
      <c r="E153" s="50" t="s">
        <v>877</v>
      </c>
      <c r="F153" s="50" t="s">
        <v>878</v>
      </c>
      <c r="G153" s="94" t="s">
        <v>879</v>
      </c>
      <c r="H153" s="99" t="s">
        <v>880</v>
      </c>
      <c r="I153" s="99" t="s">
        <v>881</v>
      </c>
      <c r="J153" s="99" t="s">
        <v>882</v>
      </c>
    </row>
    <row r="154">
      <c r="A154" s="33" t="s">
        <v>377</v>
      </c>
      <c r="B154" s="33" t="s">
        <v>377</v>
      </c>
      <c r="C154" s="33" t="s">
        <v>377</v>
      </c>
      <c r="D154" s="33" t="s">
        <v>377</v>
      </c>
      <c r="E154" s="33" t="s">
        <v>377</v>
      </c>
      <c r="F154" s="33" t="s">
        <v>377</v>
      </c>
      <c r="G154" s="33" t="s">
        <v>377</v>
      </c>
      <c r="H154" s="64" t="s">
        <v>377</v>
      </c>
      <c r="I154" s="64" t="s">
        <v>377</v>
      </c>
      <c r="J154" s="64" t="s">
        <v>377</v>
      </c>
    </row>
    <row r="155">
      <c r="A155" s="50">
        <v>71500.0</v>
      </c>
      <c r="B155" s="50">
        <v>13000.0</v>
      </c>
      <c r="C155" s="50"/>
      <c r="D155" s="50">
        <f>42500+38800</f>
        <v>81300</v>
      </c>
      <c r="E155" s="50"/>
      <c r="F155" s="50"/>
      <c r="G155" s="50">
        <v>11500.0</v>
      </c>
      <c r="H155" s="50">
        <f>6500+77600</f>
        <v>84100</v>
      </c>
      <c r="I155" s="50">
        <v>9000.0</v>
      </c>
      <c r="J155" s="50">
        <v>17000.0</v>
      </c>
    </row>
    <row r="156">
      <c r="A156" s="31" t="s">
        <v>4140</v>
      </c>
      <c r="B156" s="31" t="s">
        <v>4170</v>
      </c>
      <c r="D156" s="31" t="s">
        <v>4171</v>
      </c>
      <c r="G156" s="31" t="s">
        <v>4151</v>
      </c>
      <c r="H156" s="31" t="s">
        <v>4172</v>
      </c>
      <c r="I156" s="31" t="s">
        <v>4173</v>
      </c>
      <c r="J156" s="31" t="s">
        <v>4174</v>
      </c>
    </row>
    <row r="157">
      <c r="A157" s="31" t="s">
        <v>960</v>
      </c>
      <c r="B157" s="31" t="s">
        <v>677</v>
      </c>
      <c r="D157" s="31" t="s">
        <v>704</v>
      </c>
      <c r="G157" s="31" t="s">
        <v>820</v>
      </c>
      <c r="H157" s="31" t="s">
        <v>673</v>
      </c>
      <c r="I157" s="31" t="s">
        <v>886</v>
      </c>
      <c r="J157" s="31" t="s">
        <v>718</v>
      </c>
    </row>
    <row r="158">
      <c r="A158" s="31" t="s">
        <v>896</v>
      </c>
      <c r="B158" s="31" t="s">
        <v>4175</v>
      </c>
      <c r="D158" s="31" t="s">
        <v>1821</v>
      </c>
      <c r="G158" s="31" t="s">
        <v>898</v>
      </c>
      <c r="H158" s="31" t="s">
        <v>897</v>
      </c>
      <c r="J158" s="31" t="s">
        <v>2064</v>
      </c>
    </row>
    <row r="159">
      <c r="A159" s="31" t="s">
        <v>888</v>
      </c>
      <c r="B159" s="31" t="s">
        <v>886</v>
      </c>
      <c r="D159" s="31" t="s">
        <v>1854</v>
      </c>
      <c r="G159" s="31" t="s">
        <v>4176</v>
      </c>
      <c r="H159" s="31" t="s">
        <v>4014</v>
      </c>
      <c r="J159" s="31" t="s">
        <v>677</v>
      </c>
    </row>
    <row r="160">
      <c r="A160" s="31" t="s">
        <v>4177</v>
      </c>
      <c r="B160" s="31" t="s">
        <v>892</v>
      </c>
      <c r="D160" s="31" t="s">
        <v>2595</v>
      </c>
      <c r="G160" s="31" t="s">
        <v>906</v>
      </c>
      <c r="H160" s="31" t="s">
        <v>718</v>
      </c>
      <c r="J160" s="31" t="s">
        <v>4178</v>
      </c>
    </row>
    <row r="161">
      <c r="A161" s="31" t="s">
        <v>677</v>
      </c>
      <c r="D161" s="31" t="s">
        <v>898</v>
      </c>
      <c r="H161" s="31" t="s">
        <v>897</v>
      </c>
      <c r="J161" s="31" t="s">
        <v>963</v>
      </c>
    </row>
    <row r="162">
      <c r="A162" s="31" t="s">
        <v>888</v>
      </c>
      <c r="D162" s="31" t="s">
        <v>1821</v>
      </c>
    </row>
    <row r="163">
      <c r="A163" s="31" t="s">
        <v>4179</v>
      </c>
    </row>
    <row r="164">
      <c r="A164" s="31" t="s">
        <v>765</v>
      </c>
    </row>
    <row r="165">
      <c r="A165" s="31" t="s">
        <v>888</v>
      </c>
    </row>
    <row r="167">
      <c r="A167" s="100" t="s">
        <v>4180</v>
      </c>
    </row>
    <row r="168">
      <c r="A168" s="100">
        <f>-400000+A172</f>
        <v>2098550</v>
      </c>
    </row>
    <row r="169">
      <c r="A169" s="100">
        <v>2026.0</v>
      </c>
    </row>
    <row r="170">
      <c r="A170" s="300" t="s">
        <v>4181</v>
      </c>
    </row>
    <row r="171">
      <c r="A171" s="100" t="s">
        <v>1786</v>
      </c>
    </row>
    <row r="172">
      <c r="A172" s="100">
        <f>A175+B175+C175+D175+E175+F175+G175+H175+45000</f>
        <v>2498550</v>
      </c>
    </row>
    <row r="173">
      <c r="A173" s="50" t="s">
        <v>914</v>
      </c>
      <c r="B173" s="50" t="s">
        <v>246</v>
      </c>
      <c r="C173" s="50" t="s">
        <v>247</v>
      </c>
      <c r="D173" s="50" t="s">
        <v>249</v>
      </c>
      <c r="E173" s="50" t="s">
        <v>915</v>
      </c>
      <c r="F173" s="50" t="s">
        <v>916</v>
      </c>
      <c r="G173" s="50" t="s">
        <v>253</v>
      </c>
      <c r="H173" s="50" t="s">
        <v>252</v>
      </c>
    </row>
    <row r="174">
      <c r="A174" s="33" t="s">
        <v>377</v>
      </c>
      <c r="B174" s="33" t="s">
        <v>693</v>
      </c>
      <c r="C174" s="33" t="s">
        <v>693</v>
      </c>
      <c r="D174" s="33" t="s">
        <v>693</v>
      </c>
      <c r="E174" s="33" t="s">
        <v>693</v>
      </c>
      <c r="F174" s="33" t="s">
        <v>693</v>
      </c>
      <c r="G174" s="33" t="s">
        <v>377</v>
      </c>
      <c r="H174" s="33" t="s">
        <v>693</v>
      </c>
    </row>
    <row r="175">
      <c r="A175" s="50">
        <v>211000.0</v>
      </c>
      <c r="B175" s="50">
        <v>387250.0</v>
      </c>
      <c r="C175" s="50">
        <f>256750+63800</f>
        <v>320550</v>
      </c>
      <c r="D175" s="50">
        <f>403750+267200</f>
        <v>670950</v>
      </c>
      <c r="E175" s="50">
        <v>168750.0</v>
      </c>
      <c r="F175" s="50">
        <v>214000.0</v>
      </c>
      <c r="G175" s="50">
        <v>14000.0</v>
      </c>
      <c r="H175" s="50">
        <f>354250+112800</f>
        <v>467050</v>
      </c>
    </row>
    <row r="176">
      <c r="A176" s="31" t="s">
        <v>4151</v>
      </c>
      <c r="B176" s="31" t="s">
        <v>4165</v>
      </c>
      <c r="C176" s="31" t="s">
        <v>4182</v>
      </c>
      <c r="D176" s="31" t="s">
        <v>4047</v>
      </c>
      <c r="E176" s="31" t="s">
        <v>4171</v>
      </c>
      <c r="F176" s="31" t="s">
        <v>4183</v>
      </c>
      <c r="G176" s="31" t="s">
        <v>842</v>
      </c>
      <c r="H176" s="31" t="s">
        <v>4138</v>
      </c>
    </row>
    <row r="177">
      <c r="A177" s="31" t="s">
        <v>4184</v>
      </c>
      <c r="B177" s="31" t="s">
        <v>4184</v>
      </c>
      <c r="C177" s="31" t="s">
        <v>4184</v>
      </c>
      <c r="D177" s="31" t="s">
        <v>4184</v>
      </c>
      <c r="E177" s="31" t="s">
        <v>4184</v>
      </c>
      <c r="F177" s="31" t="s">
        <v>4184</v>
      </c>
      <c r="G177" s="31" t="s">
        <v>779</v>
      </c>
      <c r="H177" s="31" t="s">
        <v>4184</v>
      </c>
    </row>
    <row r="178">
      <c r="A178" s="31" t="s">
        <v>920</v>
      </c>
      <c r="B178" s="31" t="s">
        <v>4185</v>
      </c>
      <c r="C178" s="31" t="s">
        <v>922</v>
      </c>
      <c r="D178" s="31" t="s">
        <v>920</v>
      </c>
      <c r="E178" s="31" t="s">
        <v>1834</v>
      </c>
      <c r="F178" s="31" t="s">
        <v>920</v>
      </c>
      <c r="G178" s="31" t="s">
        <v>4186</v>
      </c>
      <c r="H178" s="31" t="s">
        <v>1835</v>
      </c>
    </row>
    <row r="179">
      <c r="A179" s="31" t="s">
        <v>1834</v>
      </c>
      <c r="B179" s="31" t="s">
        <v>919</v>
      </c>
      <c r="C179" s="31" t="s">
        <v>4187</v>
      </c>
      <c r="D179" s="31" t="s">
        <v>1834</v>
      </c>
      <c r="E179" s="31" t="s">
        <v>1854</v>
      </c>
      <c r="F179" s="31" t="s">
        <v>4175</v>
      </c>
      <c r="G179" s="31" t="s">
        <v>767</v>
      </c>
      <c r="H179" s="31" t="s">
        <v>927</v>
      </c>
    </row>
    <row r="180">
      <c r="A180" s="31" t="s">
        <v>4176</v>
      </c>
      <c r="B180" s="31" t="s">
        <v>4188</v>
      </c>
      <c r="C180" s="31" t="s">
        <v>4189</v>
      </c>
      <c r="D180" s="31" t="s">
        <v>4190</v>
      </c>
      <c r="E180" s="31" t="s">
        <v>919</v>
      </c>
      <c r="F180" s="31" t="s">
        <v>919</v>
      </c>
      <c r="H180" s="31" t="s">
        <v>4191</v>
      </c>
    </row>
    <row r="181">
      <c r="A181" s="31" t="s">
        <v>919</v>
      </c>
      <c r="B181" s="31" t="s">
        <v>1833</v>
      </c>
      <c r="C181" s="31" t="s">
        <v>919</v>
      </c>
      <c r="D181" s="31" t="s">
        <v>4192</v>
      </c>
      <c r="E181" s="31" t="s">
        <v>920</v>
      </c>
      <c r="F181" s="31" t="s">
        <v>1612</v>
      </c>
      <c r="H181" s="31" t="s">
        <v>4193</v>
      </c>
    </row>
    <row r="182">
      <c r="A182" s="31" t="s">
        <v>4194</v>
      </c>
      <c r="B182" s="31" t="s">
        <v>4195</v>
      </c>
      <c r="C182" s="31" t="s">
        <v>920</v>
      </c>
      <c r="D182" s="31" t="s">
        <v>919</v>
      </c>
      <c r="E182" s="31" t="s">
        <v>1612</v>
      </c>
      <c r="F182" s="31" t="s">
        <v>4196</v>
      </c>
      <c r="H182" s="31" t="s">
        <v>4197</v>
      </c>
    </row>
    <row r="183">
      <c r="A183" s="31" t="s">
        <v>1833</v>
      </c>
      <c r="B183" s="31" t="s">
        <v>886</v>
      </c>
      <c r="C183" s="31" t="s">
        <v>1612</v>
      </c>
      <c r="D183" s="31" t="s">
        <v>1613</v>
      </c>
      <c r="E183" s="31" t="s">
        <v>1834</v>
      </c>
      <c r="F183" s="31" t="s">
        <v>1833</v>
      </c>
      <c r="H183" s="31" t="s">
        <v>919</v>
      </c>
    </row>
    <row r="184">
      <c r="A184" s="31" t="s">
        <v>4198</v>
      </c>
      <c r="B184" s="31" t="s">
        <v>4199</v>
      </c>
      <c r="C184" s="31" t="s">
        <v>1836</v>
      </c>
      <c r="D184" s="31" t="s">
        <v>3992</v>
      </c>
      <c r="F184" s="31" t="s">
        <v>920</v>
      </c>
      <c r="H184" s="31" t="s">
        <v>921</v>
      </c>
    </row>
    <row r="185">
      <c r="A185" s="31" t="s">
        <v>718</v>
      </c>
      <c r="B185" s="31" t="s">
        <v>891</v>
      </c>
      <c r="C185" s="31" t="s">
        <v>4034</v>
      </c>
      <c r="D185" s="31" t="s">
        <v>1833</v>
      </c>
      <c r="F185" s="31" t="s">
        <v>1834</v>
      </c>
      <c r="H185" s="31" t="s">
        <v>4200</v>
      </c>
    </row>
    <row r="186">
      <c r="A186" s="31" t="s">
        <v>1612</v>
      </c>
      <c r="B186" s="31" t="s">
        <v>4201</v>
      </c>
      <c r="C186" s="31" t="s">
        <v>1833</v>
      </c>
      <c r="D186" s="31" t="s">
        <v>1835</v>
      </c>
      <c r="F186" s="31" t="s">
        <v>4202</v>
      </c>
      <c r="H186" s="31" t="s">
        <v>1833</v>
      </c>
    </row>
    <row r="187">
      <c r="A187" s="31" t="s">
        <v>4203</v>
      </c>
      <c r="B187" s="31" t="s">
        <v>891</v>
      </c>
      <c r="C187" s="31" t="s">
        <v>920</v>
      </c>
      <c r="D187" s="31" t="s">
        <v>1834</v>
      </c>
      <c r="F187" s="31" t="s">
        <v>864</v>
      </c>
      <c r="H187" s="31" t="s">
        <v>1834</v>
      </c>
    </row>
    <row r="188">
      <c r="A188" s="31" t="s">
        <v>677</v>
      </c>
      <c r="B188" s="31" t="s">
        <v>927</v>
      </c>
      <c r="C188" s="31" t="s">
        <v>1834</v>
      </c>
      <c r="D188" s="31" t="s">
        <v>1613</v>
      </c>
      <c r="F188" s="31" t="s">
        <v>4204</v>
      </c>
      <c r="H188" s="31" t="s">
        <v>921</v>
      </c>
    </row>
    <row r="189">
      <c r="B189" s="31" t="s">
        <v>4205</v>
      </c>
      <c r="C189" s="31" t="s">
        <v>1836</v>
      </c>
      <c r="D189" s="31" t="s">
        <v>4206</v>
      </c>
      <c r="F189" s="31" t="s">
        <v>2858</v>
      </c>
      <c r="H189" s="31" t="s">
        <v>4207</v>
      </c>
    </row>
    <row r="190">
      <c r="B190" s="31" t="s">
        <v>4208</v>
      </c>
      <c r="C190" s="31" t="s">
        <v>4209</v>
      </c>
      <c r="D190" s="31" t="s">
        <v>767</v>
      </c>
      <c r="F190" s="31" t="s">
        <v>920</v>
      </c>
      <c r="H190" s="31" t="s">
        <v>765</v>
      </c>
    </row>
    <row r="191">
      <c r="B191" s="31" t="s">
        <v>1831</v>
      </c>
      <c r="C191" s="31" t="s">
        <v>4210</v>
      </c>
      <c r="D191" s="31" t="s">
        <v>1613</v>
      </c>
      <c r="H191" s="31" t="s">
        <v>921</v>
      </c>
    </row>
    <row r="192">
      <c r="C192" s="31" t="s">
        <v>1836</v>
      </c>
      <c r="D192" s="31" t="s">
        <v>4211</v>
      </c>
      <c r="H192" s="31" t="s">
        <v>4212</v>
      </c>
    </row>
    <row r="193">
      <c r="C193" s="31" t="s">
        <v>3367</v>
      </c>
      <c r="D193" s="31" t="s">
        <v>4213</v>
      </c>
      <c r="H193" s="31" t="s">
        <v>864</v>
      </c>
    </row>
    <row r="194">
      <c r="C194" s="31" t="s">
        <v>864</v>
      </c>
      <c r="D194" s="31" t="s">
        <v>1613</v>
      </c>
      <c r="H194" s="31" t="s">
        <v>921</v>
      </c>
    </row>
    <row r="195">
      <c r="C195" s="31" t="s">
        <v>1834</v>
      </c>
      <c r="D195" s="31" t="s">
        <v>4214</v>
      </c>
    </row>
    <row r="196">
      <c r="C196" s="31" t="s">
        <v>1836</v>
      </c>
      <c r="D196" s="31" t="s">
        <v>952</v>
      </c>
    </row>
    <row r="197">
      <c r="D197" s="31" t="s">
        <v>1835</v>
      </c>
    </row>
    <row r="198">
      <c r="D198" s="31" t="s">
        <v>2360</v>
      </c>
    </row>
    <row r="199">
      <c r="D199" s="31" t="s">
        <v>4215</v>
      </c>
    </row>
    <row r="200">
      <c r="D200" s="31" t="s">
        <v>1613</v>
      </c>
    </row>
    <row r="201">
      <c r="A201" s="89" t="s">
        <v>4216</v>
      </c>
    </row>
    <row r="202">
      <c r="A202" s="205" t="s">
        <v>928</v>
      </c>
    </row>
    <row r="203">
      <c r="A203" s="205">
        <f>A206</f>
        <v>2204000</v>
      </c>
    </row>
    <row r="204">
      <c r="A204" s="205">
        <v>2026.0</v>
      </c>
    </row>
    <row r="205">
      <c r="A205" s="205" t="s">
        <v>368</v>
      </c>
    </row>
    <row r="206">
      <c r="A206" s="206">
        <f>A209+B209+C209+D209+E209+F209+G209+H209+I209+J209</f>
        <v>2204000</v>
      </c>
    </row>
    <row r="207">
      <c r="A207" s="103" t="s">
        <v>929</v>
      </c>
      <c r="B207" s="103" t="s">
        <v>930</v>
      </c>
      <c r="C207" s="103" t="s">
        <v>931</v>
      </c>
      <c r="D207" s="103" t="s">
        <v>932</v>
      </c>
      <c r="E207" s="103" t="s">
        <v>933</v>
      </c>
      <c r="F207" s="103" t="s">
        <v>934</v>
      </c>
      <c r="G207" s="103" t="s">
        <v>935</v>
      </c>
      <c r="H207" s="103" t="s">
        <v>936</v>
      </c>
      <c r="I207" s="103" t="s">
        <v>937</v>
      </c>
      <c r="J207" s="103" t="s">
        <v>938</v>
      </c>
    </row>
    <row r="208">
      <c r="A208" s="64" t="s">
        <v>377</v>
      </c>
      <c r="B208" s="64" t="s">
        <v>377</v>
      </c>
      <c r="C208" s="64" t="s">
        <v>377</v>
      </c>
      <c r="D208" s="64" t="s">
        <v>377</v>
      </c>
      <c r="E208" s="64" t="s">
        <v>377</v>
      </c>
      <c r="F208" s="64" t="s">
        <v>377</v>
      </c>
      <c r="G208" s="64" t="s">
        <v>377</v>
      </c>
      <c r="H208" s="64" t="s">
        <v>377</v>
      </c>
      <c r="I208" s="64" t="s">
        <v>377</v>
      </c>
      <c r="J208" s="64" t="s">
        <v>377</v>
      </c>
    </row>
    <row r="209">
      <c r="A209" s="99">
        <v>29000.0</v>
      </c>
      <c r="B209" s="99">
        <v>72000.0</v>
      </c>
      <c r="C209" s="99">
        <v>70000.0</v>
      </c>
      <c r="D209" s="99">
        <f>202000+540000+(7*114000)</f>
        <v>1540000</v>
      </c>
      <c r="E209" s="99">
        <f>40000+32000</f>
        <v>72000</v>
      </c>
      <c r="F209" s="99">
        <v>2000.0</v>
      </c>
      <c r="G209" s="99">
        <v>47000.0</v>
      </c>
      <c r="H209" s="99">
        <v>7000.0</v>
      </c>
      <c r="I209" s="99">
        <v>112000.0</v>
      </c>
      <c r="J209" s="99">
        <f>25000+(4*57000)</f>
        <v>253000</v>
      </c>
    </row>
    <row r="210">
      <c r="A210" s="31" t="s">
        <v>4217</v>
      </c>
      <c r="B210" s="31" t="s">
        <v>4158</v>
      </c>
      <c r="C210" s="31" t="s">
        <v>4218</v>
      </c>
      <c r="D210" s="31" t="s">
        <v>4173</v>
      </c>
      <c r="E210" s="31" t="s">
        <v>4219</v>
      </c>
      <c r="F210" s="31" t="s">
        <v>4220</v>
      </c>
      <c r="G210" s="31" t="s">
        <v>4221</v>
      </c>
      <c r="H210" s="31" t="s">
        <v>4170</v>
      </c>
      <c r="I210" s="31" t="s">
        <v>4222</v>
      </c>
      <c r="J210" s="91" t="s">
        <v>2057</v>
      </c>
    </row>
    <row r="211">
      <c r="A211" s="45" t="s">
        <v>1826</v>
      </c>
      <c r="B211" s="31" t="s">
        <v>942</v>
      </c>
      <c r="C211" s="31" t="s">
        <v>951</v>
      </c>
      <c r="D211" s="31" t="s">
        <v>826</v>
      </c>
      <c r="E211" s="31" t="s">
        <v>891</v>
      </c>
      <c r="F211" s="31" t="s">
        <v>826</v>
      </c>
      <c r="G211" s="31" t="s">
        <v>942</v>
      </c>
      <c r="H211" s="31" t="s">
        <v>826</v>
      </c>
      <c r="I211" s="31" t="s">
        <v>942</v>
      </c>
      <c r="J211" s="91" t="s">
        <v>826</v>
      </c>
    </row>
    <row r="212">
      <c r="A212" s="31" t="s">
        <v>4223</v>
      </c>
      <c r="B212" s="31" t="s">
        <v>944</v>
      </c>
      <c r="C212" s="31" t="s">
        <v>4224</v>
      </c>
      <c r="D212" s="76" t="s">
        <v>1853</v>
      </c>
      <c r="E212" s="76" t="s">
        <v>1617</v>
      </c>
      <c r="G212" s="31" t="s">
        <v>944</v>
      </c>
      <c r="H212" s="31" t="s">
        <v>381</v>
      </c>
      <c r="I212" s="31" t="s">
        <v>944</v>
      </c>
      <c r="J212" s="31" t="s">
        <v>4225</v>
      </c>
    </row>
    <row r="213">
      <c r="A213" s="31" t="s">
        <v>820</v>
      </c>
      <c r="B213" s="31" t="s">
        <v>3132</v>
      </c>
      <c r="C213" s="31" t="s">
        <v>942</v>
      </c>
      <c r="D213" s="31" t="s">
        <v>4226</v>
      </c>
      <c r="G213" s="31" t="s">
        <v>381</v>
      </c>
      <c r="I213" s="31" t="s">
        <v>1240</v>
      </c>
      <c r="J213" s="31" t="s">
        <v>826</v>
      </c>
    </row>
    <row r="214">
      <c r="A214" s="31" t="s">
        <v>4227</v>
      </c>
      <c r="B214" s="31" t="s">
        <v>4228</v>
      </c>
      <c r="C214" s="31" t="s">
        <v>945</v>
      </c>
      <c r="D214" s="31" t="s">
        <v>826</v>
      </c>
      <c r="G214" s="31" t="s">
        <v>3983</v>
      </c>
      <c r="I214" s="31" t="s">
        <v>4163</v>
      </c>
      <c r="J214" s="31" t="s">
        <v>944</v>
      </c>
    </row>
    <row r="215">
      <c r="A215" s="31" t="s">
        <v>826</v>
      </c>
      <c r="B215" s="31" t="s">
        <v>942</v>
      </c>
      <c r="C215" s="31" t="s">
        <v>4229</v>
      </c>
      <c r="D215" s="76" t="s">
        <v>1853</v>
      </c>
      <c r="G215" s="31" t="s">
        <v>826</v>
      </c>
      <c r="I215" s="31" t="s">
        <v>1606</v>
      </c>
      <c r="J215" s="31" t="s">
        <v>381</v>
      </c>
    </row>
    <row r="216">
      <c r="B216" s="31" t="s">
        <v>4230</v>
      </c>
      <c r="C216" s="31" t="s">
        <v>779</v>
      </c>
      <c r="D216" s="31" t="s">
        <v>4231</v>
      </c>
      <c r="G216" s="31" t="s">
        <v>381</v>
      </c>
      <c r="I216" s="31" t="s">
        <v>945</v>
      </c>
      <c r="J216" s="76" t="s">
        <v>946</v>
      </c>
    </row>
    <row r="217">
      <c r="A217" s="45"/>
      <c r="B217" s="31" t="s">
        <v>826</v>
      </c>
      <c r="C217" s="31" t="s">
        <v>4195</v>
      </c>
      <c r="D217" s="31" t="s">
        <v>886</v>
      </c>
      <c r="I217" s="31" t="s">
        <v>4144</v>
      </c>
      <c r="J217" s="31" t="s">
        <v>4232</v>
      </c>
    </row>
    <row r="218">
      <c r="A218" s="45"/>
      <c r="C218" s="31" t="s">
        <v>826</v>
      </c>
      <c r="D218" s="76" t="s">
        <v>1853</v>
      </c>
      <c r="I218" s="31" t="s">
        <v>779</v>
      </c>
      <c r="J218" s="31" t="s">
        <v>826</v>
      </c>
    </row>
    <row r="219">
      <c r="D219" s="31" t="s">
        <v>4233</v>
      </c>
      <c r="I219" s="31" t="s">
        <v>944</v>
      </c>
      <c r="J219" s="76" t="s">
        <v>946</v>
      </c>
    </row>
    <row r="220">
      <c r="D220" s="31" t="s">
        <v>826</v>
      </c>
      <c r="I220" s="31" t="s">
        <v>4234</v>
      </c>
      <c r="J220" s="31" t="s">
        <v>4235</v>
      </c>
    </row>
    <row r="221">
      <c r="A221" s="45"/>
      <c r="D221" s="76" t="s">
        <v>1853</v>
      </c>
      <c r="I221" s="31" t="s">
        <v>826</v>
      </c>
      <c r="J221" s="31" t="s">
        <v>826</v>
      </c>
    </row>
    <row r="222">
      <c r="D222" s="31" t="s">
        <v>4236</v>
      </c>
      <c r="I222" s="31" t="s">
        <v>4211</v>
      </c>
      <c r="J222" s="76" t="s">
        <v>946</v>
      </c>
    </row>
    <row r="223">
      <c r="D223" s="31" t="s">
        <v>826</v>
      </c>
      <c r="I223" s="31" t="s">
        <v>1247</v>
      </c>
      <c r="J223" s="31" t="s">
        <v>4204</v>
      </c>
    </row>
    <row r="224">
      <c r="D224" s="76" t="s">
        <v>1853</v>
      </c>
      <c r="I224" s="31" t="s">
        <v>4237</v>
      </c>
      <c r="J224" s="31" t="s">
        <v>826</v>
      </c>
    </row>
    <row r="225">
      <c r="D225" s="31" t="s">
        <v>4238</v>
      </c>
      <c r="I225" s="31" t="s">
        <v>826</v>
      </c>
      <c r="J225" s="76" t="s">
        <v>946</v>
      </c>
    </row>
    <row r="226">
      <c r="D226" s="31" t="s">
        <v>1813</v>
      </c>
      <c r="I226" s="31" t="s">
        <v>4239</v>
      </c>
    </row>
    <row r="227">
      <c r="D227" s="31" t="s">
        <v>1250</v>
      </c>
      <c r="I227" s="31" t="s">
        <v>826</v>
      </c>
    </row>
    <row r="228">
      <c r="D228" s="31" t="s">
        <v>3132</v>
      </c>
      <c r="I228" s="31" t="s">
        <v>944</v>
      </c>
    </row>
    <row r="229">
      <c r="D229" s="31" t="s">
        <v>1240</v>
      </c>
    </row>
    <row r="230">
      <c r="D230" s="76" t="s">
        <v>968</v>
      </c>
    </row>
    <row r="231">
      <c r="D231" s="76" t="s">
        <v>1853</v>
      </c>
    </row>
    <row r="232">
      <c r="D232" s="31" t="s">
        <v>4240</v>
      </c>
    </row>
    <row r="233">
      <c r="D233" s="31" t="s">
        <v>1841</v>
      </c>
    </row>
    <row r="234">
      <c r="D234" s="76" t="s">
        <v>1853</v>
      </c>
    </row>
    <row r="235">
      <c r="D235" s="181" t="s">
        <v>1746</v>
      </c>
    </row>
    <row r="236">
      <c r="D236" s="181" t="s">
        <v>4241</v>
      </c>
    </row>
    <row r="239">
      <c r="A239" s="48" t="s">
        <v>367</v>
      </c>
    </row>
    <row r="240">
      <c r="A240" s="49">
        <f>A243</f>
        <v>288075</v>
      </c>
    </row>
    <row r="241">
      <c r="A241" s="49">
        <v>2026.0</v>
      </c>
    </row>
    <row r="242">
      <c r="A242" s="49" t="s">
        <v>368</v>
      </c>
    </row>
    <row r="243">
      <c r="A243" s="49">
        <f>A246+B246+C246+D246+E246+F246+G246+H246</f>
        <v>288075</v>
      </c>
    </row>
    <row r="244">
      <c r="A244" s="33" t="s">
        <v>369</v>
      </c>
      <c r="B244" s="33" t="s">
        <v>370</v>
      </c>
      <c r="C244" s="33" t="s">
        <v>371</v>
      </c>
      <c r="D244" s="33" t="s">
        <v>372</v>
      </c>
      <c r="E244" s="33" t="s">
        <v>373</v>
      </c>
      <c r="F244" s="33" t="s">
        <v>374</v>
      </c>
      <c r="G244" s="33" t="s">
        <v>375</v>
      </c>
      <c r="H244" s="33" t="s">
        <v>376</v>
      </c>
      <c r="I244" s="103"/>
      <c r="J244" s="103"/>
    </row>
    <row r="245">
      <c r="A245" s="33" t="s">
        <v>377</v>
      </c>
      <c r="B245" s="33" t="s">
        <v>377</v>
      </c>
      <c r="C245" s="33" t="s">
        <v>377</v>
      </c>
      <c r="D245" s="33" t="s">
        <v>377</v>
      </c>
      <c r="E245" s="33" t="s">
        <v>377</v>
      </c>
      <c r="F245" s="33" t="s">
        <v>377</v>
      </c>
      <c r="G245" s="33" t="s">
        <v>377</v>
      </c>
      <c r="H245" s="33" t="s">
        <v>377</v>
      </c>
      <c r="J245" s="181"/>
    </row>
    <row r="246">
      <c r="A246" s="50">
        <v>0.0</v>
      </c>
      <c r="B246" s="50">
        <f>8000+(33725*4)</f>
        <v>142900</v>
      </c>
      <c r="C246" s="50">
        <v>9000.0</v>
      </c>
      <c r="D246" s="50">
        <v>0.0</v>
      </c>
      <c r="E246" s="50">
        <v>6000.0</v>
      </c>
      <c r="F246" s="50">
        <v>4000.0</v>
      </c>
      <c r="G246" s="50">
        <f>7000+119175</f>
        <v>126175</v>
      </c>
      <c r="H246" s="50">
        <v>0.0</v>
      </c>
    </row>
    <row r="247">
      <c r="B247" s="31" t="s">
        <v>4219</v>
      </c>
      <c r="C247" s="31" t="s">
        <v>4172</v>
      </c>
      <c r="E247" s="31" t="s">
        <v>4242</v>
      </c>
      <c r="F247" s="31" t="s">
        <v>4165</v>
      </c>
      <c r="G247" s="31" t="s">
        <v>4243</v>
      </c>
    </row>
    <row r="248">
      <c r="B248" s="31" t="s">
        <v>826</v>
      </c>
      <c r="C248" s="75" t="s">
        <v>826</v>
      </c>
      <c r="E248" s="75" t="s">
        <v>826</v>
      </c>
      <c r="F248" s="75" t="s">
        <v>704</v>
      </c>
      <c r="G248" s="75" t="s">
        <v>826</v>
      </c>
    </row>
    <row r="249">
      <c r="B249" s="76" t="s">
        <v>955</v>
      </c>
      <c r="C249" s="31" t="s">
        <v>4244</v>
      </c>
      <c r="E249" s="31" t="s">
        <v>4245</v>
      </c>
      <c r="G249" s="31" t="s">
        <v>945</v>
      </c>
    </row>
    <row r="250">
      <c r="B250" s="31" t="s">
        <v>4246</v>
      </c>
      <c r="C250" s="75" t="s">
        <v>826</v>
      </c>
      <c r="E250" s="75" t="s">
        <v>704</v>
      </c>
      <c r="G250" s="76" t="s">
        <v>958</v>
      </c>
    </row>
    <row r="251">
      <c r="B251" s="31" t="s">
        <v>826</v>
      </c>
      <c r="C251" s="31" t="s">
        <v>945</v>
      </c>
    </row>
    <row r="252">
      <c r="B252" s="76" t="s">
        <v>955</v>
      </c>
    </row>
    <row r="253">
      <c r="B253" s="31" t="s">
        <v>4247</v>
      </c>
    </row>
    <row r="254">
      <c r="A254" s="75"/>
      <c r="B254" s="31" t="s">
        <v>826</v>
      </c>
      <c r="C254" s="75"/>
      <c r="D254" s="75"/>
      <c r="E254" s="75"/>
      <c r="F254" s="75"/>
      <c r="G254" s="75"/>
      <c r="H254" s="75"/>
    </row>
    <row r="255">
      <c r="A255" s="75"/>
      <c r="B255" s="76" t="s">
        <v>955</v>
      </c>
      <c r="C255" s="75"/>
      <c r="D255" s="75"/>
      <c r="E255" s="75"/>
      <c r="F255" s="75"/>
      <c r="G255" s="75"/>
      <c r="H255" s="75"/>
    </row>
    <row r="256">
      <c r="A256" s="75"/>
      <c r="B256" s="31" t="s">
        <v>4233</v>
      </c>
      <c r="C256" s="75"/>
      <c r="D256" s="75"/>
      <c r="E256" s="105"/>
      <c r="F256" s="75"/>
      <c r="G256" s="75"/>
      <c r="H256" s="75"/>
    </row>
    <row r="257">
      <c r="A257" s="75"/>
      <c r="B257" s="75" t="s">
        <v>826</v>
      </c>
      <c r="C257" s="75"/>
      <c r="D257" s="75"/>
      <c r="E257" s="105"/>
      <c r="F257" s="75"/>
      <c r="G257" s="75"/>
      <c r="H257" s="75"/>
    </row>
    <row r="258">
      <c r="A258" s="75"/>
      <c r="B258" s="76" t="s">
        <v>955</v>
      </c>
      <c r="C258" s="75"/>
      <c r="D258" s="105"/>
      <c r="E258" s="105"/>
      <c r="F258" s="75"/>
      <c r="G258" s="75"/>
      <c r="H258" s="105"/>
    </row>
    <row r="259">
      <c r="A259" s="75"/>
      <c r="B259" s="105"/>
      <c r="C259" s="75"/>
      <c r="D259" s="105"/>
      <c r="E259" s="105"/>
      <c r="F259" s="105"/>
      <c r="G259" s="75"/>
      <c r="H259" s="105"/>
    </row>
    <row r="260">
      <c r="A260" s="75"/>
      <c r="B260" s="105"/>
      <c r="C260" s="75"/>
      <c r="D260" s="105"/>
      <c r="E260" s="105"/>
      <c r="F260" s="105"/>
      <c r="G260" s="75"/>
      <c r="H260" s="105"/>
    </row>
    <row r="261">
      <c r="A261" s="105"/>
      <c r="B261" s="105"/>
      <c r="C261" s="75"/>
      <c r="D261" s="105"/>
      <c r="E261" s="105"/>
      <c r="F261" s="105"/>
      <c r="G261" s="75"/>
      <c r="H261" s="105"/>
    </row>
    <row r="262">
      <c r="A262" s="105"/>
      <c r="B262" s="105"/>
      <c r="C262" s="105"/>
      <c r="D262" s="105"/>
      <c r="E262" s="105"/>
      <c r="F262" s="105"/>
      <c r="G262" s="75"/>
      <c r="H262" s="105"/>
    </row>
    <row r="263">
      <c r="A263" s="105"/>
      <c r="B263" s="105"/>
      <c r="C263" s="105"/>
      <c r="D263" s="105"/>
      <c r="E263" s="105"/>
      <c r="F263" s="105"/>
      <c r="G263" s="105"/>
      <c r="H263" s="105"/>
    </row>
    <row r="264">
      <c r="A264" s="105"/>
      <c r="B264" s="105"/>
      <c r="C264" s="105"/>
      <c r="D264" s="105"/>
      <c r="E264" s="105"/>
      <c r="F264" s="105"/>
      <c r="G264" s="105"/>
      <c r="H264" s="105"/>
    </row>
    <row r="265">
      <c r="A265" s="105"/>
      <c r="B265" s="105"/>
      <c r="C265" s="105"/>
      <c r="D265" s="105"/>
      <c r="E265" s="105"/>
      <c r="F265" s="105"/>
      <c r="G265" s="105"/>
      <c r="H265" s="105"/>
    </row>
    <row r="266">
      <c r="A266" s="105"/>
      <c r="B266" s="105"/>
      <c r="C266" s="105"/>
      <c r="D266" s="105"/>
      <c r="E266" s="105"/>
      <c r="F266" s="105"/>
      <c r="G266" s="105"/>
      <c r="H266" s="105"/>
    </row>
    <row r="267">
      <c r="A267" s="105"/>
      <c r="B267" s="105"/>
      <c r="C267" s="105"/>
      <c r="D267" s="105"/>
      <c r="E267" s="105"/>
      <c r="F267" s="105"/>
      <c r="G267" s="105"/>
      <c r="H267" s="105"/>
    </row>
  </sheetData>
  <mergeCells count="148">
    <mergeCell ref="P11:Q11"/>
    <mergeCell ref="S11:S12"/>
    <mergeCell ref="S15:S19"/>
    <mergeCell ref="U15:U19"/>
    <mergeCell ref="V17:V20"/>
    <mergeCell ref="S20:S23"/>
    <mergeCell ref="U20:U23"/>
    <mergeCell ref="V21:V24"/>
    <mergeCell ref="U11:U12"/>
    <mergeCell ref="S13:S14"/>
    <mergeCell ref="U13:U14"/>
    <mergeCell ref="W14:Z14"/>
    <mergeCell ref="W16:X16"/>
    <mergeCell ref="W18:Z18"/>
    <mergeCell ref="W21:Z21"/>
    <mergeCell ref="U25:U27"/>
    <mergeCell ref="U28:U29"/>
    <mergeCell ref="V28:V30"/>
    <mergeCell ref="V31:V34"/>
    <mergeCell ref="V35:V37"/>
    <mergeCell ref="V38:V41"/>
    <mergeCell ref="V45:V47"/>
    <mergeCell ref="V48:V50"/>
    <mergeCell ref="W20:X20"/>
    <mergeCell ref="W24:X24"/>
    <mergeCell ref="S25:S27"/>
    <mergeCell ref="V25:V27"/>
    <mergeCell ref="W25:Z25"/>
    <mergeCell ref="W27:X27"/>
    <mergeCell ref="W28:Z28"/>
    <mergeCell ref="W39:Z39"/>
    <mergeCell ref="W41:X41"/>
    <mergeCell ref="W45:Z45"/>
    <mergeCell ref="W47:X47"/>
    <mergeCell ref="W48:Z48"/>
    <mergeCell ref="W50:X50"/>
    <mergeCell ref="S28:S29"/>
    <mergeCell ref="S30:T30"/>
    <mergeCell ref="W30:X30"/>
    <mergeCell ref="W32:Z32"/>
    <mergeCell ref="W34:X34"/>
    <mergeCell ref="W35:Z35"/>
    <mergeCell ref="W37:X37"/>
    <mergeCell ref="S6:U6"/>
    <mergeCell ref="V6:Z6"/>
    <mergeCell ref="V7:Z7"/>
    <mergeCell ref="A1:Z1"/>
    <mergeCell ref="A2:Z2"/>
    <mergeCell ref="A3:Z3"/>
    <mergeCell ref="A4:Z4"/>
    <mergeCell ref="A5:Z5"/>
    <mergeCell ref="F6:H6"/>
    <mergeCell ref="K6:L6"/>
    <mergeCell ref="M6:O6"/>
    <mergeCell ref="P6:R6"/>
    <mergeCell ref="F7:H7"/>
    <mergeCell ref="K7:L7"/>
    <mergeCell ref="M7:O7"/>
    <mergeCell ref="P7:R7"/>
    <mergeCell ref="S7:U7"/>
    <mergeCell ref="M11:M12"/>
    <mergeCell ref="O11:O12"/>
    <mergeCell ref="M8:O8"/>
    <mergeCell ref="P8:R8"/>
    <mergeCell ref="S8:U8"/>
    <mergeCell ref="M9:O9"/>
    <mergeCell ref="P9:R9"/>
    <mergeCell ref="S9:U9"/>
    <mergeCell ref="V9:V16"/>
    <mergeCell ref="M14:M15"/>
    <mergeCell ref="O14:O15"/>
    <mergeCell ref="M18:M19"/>
    <mergeCell ref="O18:O19"/>
    <mergeCell ref="F22:H22"/>
    <mergeCell ref="F24:F26"/>
    <mergeCell ref="F27:F29"/>
    <mergeCell ref="H39:H41"/>
    <mergeCell ref="H42:H44"/>
    <mergeCell ref="V42:V44"/>
    <mergeCell ref="W42:Z42"/>
    <mergeCell ref="W44:X44"/>
    <mergeCell ref="A147:J147"/>
    <mergeCell ref="A148:J148"/>
    <mergeCell ref="A149:J149"/>
    <mergeCell ref="A150:J150"/>
    <mergeCell ref="A151:J151"/>
    <mergeCell ref="A152:J152"/>
    <mergeCell ref="A167:H167"/>
    <mergeCell ref="A168:H168"/>
    <mergeCell ref="A169:H169"/>
    <mergeCell ref="A170:H170"/>
    <mergeCell ref="A171:H171"/>
    <mergeCell ref="A172:H172"/>
    <mergeCell ref="A201:H201"/>
    <mergeCell ref="A202:J202"/>
    <mergeCell ref="A242:H242"/>
    <mergeCell ref="A243:H243"/>
    <mergeCell ref="A203:J203"/>
    <mergeCell ref="A204:J204"/>
    <mergeCell ref="A205:J205"/>
    <mergeCell ref="A206:J206"/>
    <mergeCell ref="A239:H239"/>
    <mergeCell ref="A240:H240"/>
    <mergeCell ref="A241:H241"/>
    <mergeCell ref="H24:H26"/>
    <mergeCell ref="H27:H29"/>
    <mergeCell ref="F30:F32"/>
    <mergeCell ref="H30:H32"/>
    <mergeCell ref="F33:F35"/>
    <mergeCell ref="H33:H35"/>
    <mergeCell ref="H36:H38"/>
    <mergeCell ref="H48:H50"/>
    <mergeCell ref="H51:H53"/>
    <mergeCell ref="F36:F38"/>
    <mergeCell ref="F39:F41"/>
    <mergeCell ref="F42:F44"/>
    <mergeCell ref="F45:F47"/>
    <mergeCell ref="H45:H47"/>
    <mergeCell ref="F48:F50"/>
    <mergeCell ref="F51:F53"/>
    <mergeCell ref="F54:F56"/>
    <mergeCell ref="H54:H56"/>
    <mergeCell ref="F57:F59"/>
    <mergeCell ref="H57:H59"/>
    <mergeCell ref="A79:E79"/>
    <mergeCell ref="A80:E80"/>
    <mergeCell ref="A81:E81"/>
    <mergeCell ref="A82:E82"/>
    <mergeCell ref="A83:E83"/>
    <mergeCell ref="A95:F95"/>
    <mergeCell ref="A96:F96"/>
    <mergeCell ref="A97:F97"/>
    <mergeCell ref="A98:F98"/>
    <mergeCell ref="A107:H107"/>
    <mergeCell ref="A108:H108"/>
    <mergeCell ref="A109:H109"/>
    <mergeCell ref="A110:H110"/>
    <mergeCell ref="A111:H111"/>
    <mergeCell ref="A120:H120"/>
    <mergeCell ref="A121:H121"/>
    <mergeCell ref="A122:H122"/>
    <mergeCell ref="A123:H123"/>
    <mergeCell ref="A124:H124"/>
    <mergeCell ref="A136:J136"/>
    <mergeCell ref="A137:J137"/>
    <mergeCell ref="A138:J138"/>
    <mergeCell ref="A139:J139"/>
    <mergeCell ref="A140:J140"/>
  </mergeCells>
  <hyperlinks>
    <hyperlink r:id="rId1" ref="A3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4.0"/>
    <col customWidth="1" min="3" max="3" width="29.0"/>
    <col customWidth="1" min="4" max="4" width="33.0"/>
    <col customWidth="1" min="5" max="5" width="31.25"/>
    <col customWidth="1" min="6" max="6" width="21.5"/>
    <col customWidth="1" min="7" max="7" width="18.25"/>
    <col customWidth="1" min="8" max="8" width="17.88"/>
    <col customWidth="1" min="9" max="9" width="32.88"/>
  </cols>
  <sheetData>
    <row r="1">
      <c r="A1" s="111" t="s">
        <v>4248</v>
      </c>
    </row>
    <row r="2">
      <c r="A2" s="109" t="s">
        <v>4249</v>
      </c>
    </row>
    <row r="3">
      <c r="A3" s="111" t="s">
        <v>338</v>
      </c>
    </row>
    <row r="4">
      <c r="A4" s="61">
        <f>100000+B6+C6+D6+G6+F6+F10+H6</f>
        <v>139000</v>
      </c>
    </row>
    <row r="5">
      <c r="A5" s="33" t="s">
        <v>339</v>
      </c>
      <c r="B5" s="33" t="s">
        <v>2171</v>
      </c>
      <c r="C5" s="33" t="s">
        <v>341</v>
      </c>
      <c r="D5" s="33" t="s">
        <v>342</v>
      </c>
      <c r="E5" s="33" t="s">
        <v>344</v>
      </c>
      <c r="F5" s="25" t="s">
        <v>343</v>
      </c>
      <c r="G5" s="33" t="s">
        <v>4250</v>
      </c>
      <c r="H5" s="145" t="s">
        <v>1262</v>
      </c>
    </row>
    <row r="6">
      <c r="A6" s="31" t="s">
        <v>4251</v>
      </c>
      <c r="B6" s="61">
        <f>-10000+15000-30000+60000+20000</f>
        <v>55000</v>
      </c>
      <c r="C6" s="368">
        <v>-60000.0</v>
      </c>
      <c r="D6" s="369">
        <v>-9000.0</v>
      </c>
      <c r="E6" s="31" t="s">
        <v>4252</v>
      </c>
      <c r="F6" s="61">
        <v>0.0</v>
      </c>
      <c r="G6" s="61">
        <v>20000.0</v>
      </c>
      <c r="H6" s="370">
        <f>H8</f>
        <v>34000</v>
      </c>
    </row>
    <row r="7">
      <c r="A7" s="31" t="s">
        <v>4253</v>
      </c>
      <c r="B7" s="31" t="s">
        <v>4254</v>
      </c>
      <c r="C7" s="55" t="s">
        <v>349</v>
      </c>
      <c r="D7" s="31" t="s">
        <v>4255</v>
      </c>
      <c r="E7" s="31" t="s">
        <v>4256</v>
      </c>
      <c r="F7" s="45"/>
      <c r="G7" s="31" t="s">
        <v>4257</v>
      </c>
      <c r="H7" s="150" t="s">
        <v>435</v>
      </c>
    </row>
    <row r="8">
      <c r="A8" s="31" t="s">
        <v>4258</v>
      </c>
      <c r="B8" s="31" t="s">
        <v>4259</v>
      </c>
      <c r="C8" s="4" t="s">
        <v>34</v>
      </c>
      <c r="D8" s="31" t="s">
        <v>4260</v>
      </c>
      <c r="E8" s="31" t="s">
        <v>4261</v>
      </c>
      <c r="F8" s="45"/>
      <c r="G8" s="31" t="s">
        <v>4262</v>
      </c>
      <c r="H8" s="371">
        <f>J10+J15+J16</f>
        <v>34000</v>
      </c>
    </row>
    <row r="9">
      <c r="A9" s="31" t="s">
        <v>4263</v>
      </c>
      <c r="B9" s="31" t="s">
        <v>4264</v>
      </c>
      <c r="C9" s="4" t="s">
        <v>50</v>
      </c>
      <c r="D9" s="31" t="s">
        <v>4265</v>
      </c>
      <c r="F9" s="25" t="s">
        <v>359</v>
      </c>
      <c r="G9" s="31" t="s">
        <v>4266</v>
      </c>
      <c r="H9" s="372" t="s">
        <v>456</v>
      </c>
      <c r="I9" s="372" t="s">
        <v>457</v>
      </c>
      <c r="J9" s="372" t="s">
        <v>0</v>
      </c>
    </row>
    <row r="10">
      <c r="A10" s="31" t="s">
        <v>4267</v>
      </c>
      <c r="B10" s="31" t="s">
        <v>4268</v>
      </c>
      <c r="C10" s="55" t="s">
        <v>48</v>
      </c>
      <c r="D10" s="31" t="s">
        <v>4269</v>
      </c>
      <c r="F10" s="61">
        <v>-1000.0</v>
      </c>
      <c r="G10" s="31" t="s">
        <v>4270</v>
      </c>
      <c r="H10" s="71" t="s">
        <v>4271</v>
      </c>
      <c r="I10" s="71" t="s">
        <v>1006</v>
      </c>
      <c r="J10" s="71">
        <v>32000.0</v>
      </c>
    </row>
    <row r="11">
      <c r="A11" s="31" t="s">
        <v>4272</v>
      </c>
      <c r="B11" s="31" t="s">
        <v>4273</v>
      </c>
      <c r="C11" s="4" t="s">
        <v>60</v>
      </c>
      <c r="D11" s="31" t="s">
        <v>4260</v>
      </c>
      <c r="F11" s="31" t="s">
        <v>4274</v>
      </c>
      <c r="I11" s="71" t="s">
        <v>467</v>
      </c>
    </row>
    <row r="12">
      <c r="A12" s="31" t="s">
        <v>4275</v>
      </c>
      <c r="B12" s="31" t="s">
        <v>4276</v>
      </c>
      <c r="C12" s="55" t="s">
        <v>69</v>
      </c>
      <c r="D12" s="31" t="s">
        <v>4277</v>
      </c>
      <c r="F12" s="31" t="s">
        <v>4278</v>
      </c>
      <c r="I12" s="71" t="s">
        <v>531</v>
      </c>
    </row>
    <row r="13">
      <c r="A13" s="31" t="s">
        <v>4279</v>
      </c>
      <c r="B13" s="31" t="s">
        <v>4280</v>
      </c>
      <c r="C13" s="4" t="s">
        <v>60</v>
      </c>
      <c r="D13" s="31" t="s">
        <v>4281</v>
      </c>
      <c r="I13" s="33" t="s">
        <v>3889</v>
      </c>
    </row>
    <row r="14">
      <c r="A14" s="31" t="s">
        <v>4282</v>
      </c>
      <c r="B14" s="31" t="s">
        <v>4283</v>
      </c>
      <c r="D14" s="31" t="s">
        <v>2718</v>
      </c>
      <c r="I14" s="33" t="s">
        <v>4284</v>
      </c>
    </row>
    <row r="15">
      <c r="A15" s="31" t="s">
        <v>4285</v>
      </c>
      <c r="B15" s="31" t="s">
        <v>4286</v>
      </c>
      <c r="D15" s="31" t="s">
        <v>3236</v>
      </c>
      <c r="H15" s="71" t="s">
        <v>4287</v>
      </c>
      <c r="I15" s="71" t="s">
        <v>467</v>
      </c>
      <c r="J15" s="71">
        <v>1000.0</v>
      </c>
    </row>
    <row r="16">
      <c r="A16" s="31" t="s">
        <v>4288</v>
      </c>
      <c r="B16" s="31" t="s">
        <v>4289</v>
      </c>
      <c r="D16" s="31" t="s">
        <v>4281</v>
      </c>
      <c r="H16" s="71" t="s">
        <v>4290</v>
      </c>
      <c r="I16" s="71" t="s">
        <v>467</v>
      </c>
      <c r="J16" s="71">
        <v>1000.0</v>
      </c>
    </row>
    <row r="17">
      <c r="A17" s="31" t="s">
        <v>4291</v>
      </c>
      <c r="D17" s="31" t="s">
        <v>4292</v>
      </c>
      <c r="H17" s="365"/>
      <c r="I17" s="365"/>
      <c r="J17" s="365"/>
    </row>
    <row r="18">
      <c r="A18" s="31" t="s">
        <v>4293</v>
      </c>
      <c r="D18" s="31" t="s">
        <v>4294</v>
      </c>
    </row>
    <row r="19">
      <c r="A19" s="31" t="s">
        <v>4295</v>
      </c>
    </row>
    <row r="20">
      <c r="A20" s="31" t="s">
        <v>4296</v>
      </c>
    </row>
    <row r="21">
      <c r="A21" s="31" t="s">
        <v>4297</v>
      </c>
    </row>
    <row r="22">
      <c r="A22" s="31" t="s">
        <v>4298</v>
      </c>
    </row>
    <row r="23">
      <c r="A23" s="31" t="s">
        <v>4299</v>
      </c>
    </row>
    <row r="24">
      <c r="A24" s="31" t="s">
        <v>4300</v>
      </c>
    </row>
    <row r="25">
      <c r="A25" s="31" t="s">
        <v>4301</v>
      </c>
    </row>
    <row r="26">
      <c r="A26" s="31" t="s">
        <v>4302</v>
      </c>
    </row>
    <row r="27">
      <c r="A27" s="31" t="s">
        <v>4303</v>
      </c>
    </row>
    <row r="29">
      <c r="A29" s="48" t="s">
        <v>367</v>
      </c>
    </row>
    <row r="30">
      <c r="A30" s="49">
        <f>A33</f>
        <v>0</v>
      </c>
    </row>
    <row r="31">
      <c r="A31" s="49">
        <v>2026.0</v>
      </c>
    </row>
    <row r="32">
      <c r="A32" s="49" t="s">
        <v>368</v>
      </c>
    </row>
    <row r="33">
      <c r="A33" s="49">
        <f>A36+B36+C36+D36+E36+F36+G36+H36</f>
        <v>0</v>
      </c>
    </row>
    <row r="34">
      <c r="A34" s="33" t="s">
        <v>369</v>
      </c>
      <c r="B34" s="33" t="s">
        <v>370</v>
      </c>
      <c r="C34" s="33" t="s">
        <v>371</v>
      </c>
      <c r="D34" s="33" t="s">
        <v>372</v>
      </c>
      <c r="E34" s="33" t="s">
        <v>373</v>
      </c>
      <c r="F34" s="33" t="s">
        <v>374</v>
      </c>
      <c r="G34" s="33" t="s">
        <v>375</v>
      </c>
      <c r="H34" s="33" t="s">
        <v>376</v>
      </c>
      <c r="I34" s="103"/>
      <c r="J34" s="103"/>
    </row>
    <row r="35">
      <c r="A35" s="33" t="s">
        <v>377</v>
      </c>
      <c r="B35" s="33" t="s">
        <v>377</v>
      </c>
      <c r="C35" s="33" t="s">
        <v>377</v>
      </c>
      <c r="D35" s="33" t="s">
        <v>377</v>
      </c>
      <c r="E35" s="33" t="s">
        <v>377</v>
      </c>
      <c r="F35" s="33" t="s">
        <v>377</v>
      </c>
      <c r="G35" s="33" t="s">
        <v>377</v>
      </c>
      <c r="H35" s="33" t="s">
        <v>377</v>
      </c>
    </row>
    <row r="36">
      <c r="A36" s="50">
        <v>0.0</v>
      </c>
      <c r="B36" s="50">
        <v>0.0</v>
      </c>
      <c r="C36" s="50">
        <v>0.0</v>
      </c>
      <c r="D36" s="50">
        <v>0.0</v>
      </c>
      <c r="E36" s="50">
        <v>0.0</v>
      </c>
      <c r="F36" s="50">
        <v>0.0</v>
      </c>
      <c r="G36" s="50">
        <v>0.0</v>
      </c>
      <c r="H36" s="50">
        <v>0.0</v>
      </c>
    </row>
  </sheetData>
  <mergeCells count="15">
    <mergeCell ref="H8:J8"/>
    <mergeCell ref="H10:H14"/>
    <mergeCell ref="J10:J14"/>
    <mergeCell ref="A29:H29"/>
    <mergeCell ref="A30:H30"/>
    <mergeCell ref="A31:H31"/>
    <mergeCell ref="A32:H32"/>
    <mergeCell ref="A33:H33"/>
    <mergeCell ref="A1:J1"/>
    <mergeCell ref="A2:J2"/>
    <mergeCell ref="A3:J3"/>
    <mergeCell ref="A4:J4"/>
    <mergeCell ref="H5:J5"/>
    <mergeCell ref="H6:J6"/>
    <mergeCell ref="H7:J7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6.88"/>
    <col customWidth="1" min="3" max="3" width="22.5"/>
    <col customWidth="1" min="4" max="4" width="24.25"/>
    <col customWidth="1" min="7" max="7" width="15.38"/>
    <col customWidth="1" min="10" max="10" width="4.25"/>
    <col customWidth="1" min="11" max="11" width="23.38"/>
    <col customWidth="1" min="14" max="14" width="16.5"/>
  </cols>
  <sheetData>
    <row r="1">
      <c r="A1" s="47" t="s">
        <v>4304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56" t="s">
        <v>4305</v>
      </c>
      <c r="B2" s="256" t="s">
        <v>4306</v>
      </c>
      <c r="C2" s="256" t="s">
        <v>4307</v>
      </c>
      <c r="D2" s="33"/>
      <c r="J2" s="9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4308</v>
      </c>
      <c r="B3" s="4" t="s">
        <v>4309</v>
      </c>
      <c r="C3" s="4" t="s">
        <v>13</v>
      </c>
      <c r="D3" s="4"/>
      <c r="J3" s="9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4310</v>
      </c>
      <c r="B4" s="4" t="s">
        <v>4311</v>
      </c>
      <c r="C4" s="4" t="s">
        <v>17</v>
      </c>
      <c r="D4" s="4"/>
      <c r="J4" s="9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4312</v>
      </c>
      <c r="B5" s="4" t="s">
        <v>4313</v>
      </c>
      <c r="C5" s="4" t="s">
        <v>6</v>
      </c>
      <c r="D5" s="4"/>
      <c r="J5" s="9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4314</v>
      </c>
      <c r="B6" s="4" t="s">
        <v>4315</v>
      </c>
      <c r="C6" s="4" t="s">
        <v>7</v>
      </c>
      <c r="D6" s="4"/>
      <c r="J6" s="9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 t="s">
        <v>4316</v>
      </c>
      <c r="B7" s="4" t="s">
        <v>4317</v>
      </c>
      <c r="C7" s="4" t="s">
        <v>14</v>
      </c>
      <c r="D7" s="4"/>
      <c r="J7" s="9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4" t="s">
        <v>10</v>
      </c>
      <c r="D8" s="4"/>
      <c r="J8" s="9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56" t="s">
        <v>4318</v>
      </c>
      <c r="J9" s="9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73" t="s">
        <v>4319</v>
      </c>
      <c r="B10" s="373" t="s">
        <v>4320</v>
      </c>
      <c r="C10" s="373" t="s">
        <v>4321</v>
      </c>
      <c r="D10" s="373" t="s">
        <v>4322</v>
      </c>
      <c r="E10" s="373" t="s">
        <v>135</v>
      </c>
      <c r="F10" s="373" t="s">
        <v>128</v>
      </c>
      <c r="J10" s="9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 t="s">
        <v>4323</v>
      </c>
      <c r="B11" s="4" t="s">
        <v>10</v>
      </c>
      <c r="C11" s="4" t="s">
        <v>4324</v>
      </c>
      <c r="D11" s="4" t="s">
        <v>4325</v>
      </c>
      <c r="E11" s="4" t="s">
        <v>4325</v>
      </c>
      <c r="F11" s="4" t="s">
        <v>4326</v>
      </c>
      <c r="J11" s="9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 t="s">
        <v>4327</v>
      </c>
      <c r="B12" s="4" t="s">
        <v>7</v>
      </c>
      <c r="C12" s="4" t="s">
        <v>4328</v>
      </c>
      <c r="D12" s="4" t="s">
        <v>166</v>
      </c>
      <c r="E12" s="4" t="s">
        <v>4329</v>
      </c>
      <c r="F12" s="4" t="s">
        <v>166</v>
      </c>
      <c r="J12" s="9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 t="s">
        <v>4330</v>
      </c>
      <c r="B13" s="4" t="s">
        <v>7</v>
      </c>
      <c r="C13" s="4" t="s">
        <v>4331</v>
      </c>
      <c r="D13" s="4" t="s">
        <v>4332</v>
      </c>
      <c r="E13" s="4" t="s">
        <v>4333</v>
      </c>
      <c r="F13" s="4" t="s">
        <v>4332</v>
      </c>
      <c r="J13" s="9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 t="s">
        <v>4334</v>
      </c>
      <c r="B14" s="4" t="s">
        <v>14</v>
      </c>
      <c r="C14" s="4" t="s">
        <v>4331</v>
      </c>
      <c r="D14" s="4" t="s">
        <v>4335</v>
      </c>
      <c r="E14" s="4" t="s">
        <v>4336</v>
      </c>
      <c r="F14" s="4" t="s">
        <v>4335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 t="s">
        <v>4337</v>
      </c>
      <c r="B15" s="4" t="s">
        <v>15</v>
      </c>
      <c r="C15" s="4" t="s">
        <v>4324</v>
      </c>
      <c r="D15" s="4" t="s">
        <v>4338</v>
      </c>
      <c r="E15" s="4" t="s">
        <v>4339</v>
      </c>
      <c r="F15" s="4" t="s">
        <v>4338</v>
      </c>
      <c r="J15" s="37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 t="s">
        <v>4340</v>
      </c>
      <c r="B16" s="4" t="s">
        <v>7</v>
      </c>
      <c r="C16" s="4" t="s">
        <v>4328</v>
      </c>
      <c r="D16" s="4" t="s">
        <v>4341</v>
      </c>
      <c r="E16" s="4" t="s">
        <v>4342</v>
      </c>
      <c r="F16" s="4" t="s">
        <v>4341</v>
      </c>
      <c r="J16" s="37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 t="s">
        <v>4343</v>
      </c>
      <c r="B17" s="4" t="s">
        <v>10</v>
      </c>
      <c r="C17" s="4" t="s">
        <v>4344</v>
      </c>
      <c r="D17" s="4" t="s">
        <v>4345</v>
      </c>
      <c r="E17" s="4" t="s">
        <v>4345</v>
      </c>
      <c r="F17" s="4" t="s">
        <v>4346</v>
      </c>
      <c r="J17" s="37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 t="s">
        <v>4347</v>
      </c>
      <c r="B18" s="4" t="s">
        <v>14</v>
      </c>
      <c r="C18" s="4" t="s">
        <v>4348</v>
      </c>
      <c r="D18" s="4" t="s">
        <v>256</v>
      </c>
      <c r="E18" s="4" t="s">
        <v>4349</v>
      </c>
      <c r="F18" s="4" t="s">
        <v>256</v>
      </c>
      <c r="J18" s="37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 t="s">
        <v>4350</v>
      </c>
      <c r="B19" s="4" t="s">
        <v>10</v>
      </c>
      <c r="C19" s="4" t="s">
        <v>4328</v>
      </c>
      <c r="D19" s="4" t="s">
        <v>4325</v>
      </c>
      <c r="E19" s="4" t="s">
        <v>4332</v>
      </c>
      <c r="F19" s="4" t="s">
        <v>4325</v>
      </c>
      <c r="J19" s="374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 t="s">
        <v>4351</v>
      </c>
      <c r="B20" s="4" t="s">
        <v>11</v>
      </c>
      <c r="C20" s="4" t="s">
        <v>4352</v>
      </c>
      <c r="D20" s="4" t="s">
        <v>4329</v>
      </c>
      <c r="E20" s="4" t="s">
        <v>4329</v>
      </c>
      <c r="F20" s="4" t="s">
        <v>4353</v>
      </c>
      <c r="J20" s="374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56" t="s">
        <v>4354</v>
      </c>
      <c r="J21" s="374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73" t="s">
        <v>4319</v>
      </c>
      <c r="B22" s="373" t="s">
        <v>4320</v>
      </c>
      <c r="C22" s="373" t="s">
        <v>4321</v>
      </c>
      <c r="D22" s="373" t="s">
        <v>4322</v>
      </c>
      <c r="E22" s="373" t="s">
        <v>135</v>
      </c>
      <c r="F22" s="373" t="s">
        <v>128</v>
      </c>
      <c r="J22" s="374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" t="s">
        <v>4355</v>
      </c>
      <c r="B23" s="4" t="s">
        <v>6</v>
      </c>
      <c r="C23" s="4" t="s">
        <v>4356</v>
      </c>
      <c r="D23" s="4" t="s">
        <v>4357</v>
      </c>
      <c r="E23" s="4" t="s">
        <v>4324</v>
      </c>
      <c r="F23" s="4" t="s">
        <v>4357</v>
      </c>
      <c r="J23" s="374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" t="s">
        <v>4358</v>
      </c>
      <c r="B24" s="4" t="s">
        <v>17</v>
      </c>
      <c r="C24" s="4" t="s">
        <v>4328</v>
      </c>
      <c r="D24" s="4" t="s">
        <v>4359</v>
      </c>
      <c r="E24" s="4" t="s">
        <v>323</v>
      </c>
      <c r="F24" s="4" t="s">
        <v>4359</v>
      </c>
      <c r="J24" s="374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" t="s">
        <v>4360</v>
      </c>
      <c r="B25" s="4" t="s">
        <v>4</v>
      </c>
      <c r="C25" s="4" t="s">
        <v>4352</v>
      </c>
      <c r="D25" s="4" t="s">
        <v>169</v>
      </c>
      <c r="E25" s="4" t="s">
        <v>169</v>
      </c>
      <c r="F25" s="4" t="s">
        <v>4361</v>
      </c>
      <c r="G25" s="8"/>
      <c r="H25" s="8"/>
      <c r="I25" s="8"/>
      <c r="J25" s="374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" t="s">
        <v>4362</v>
      </c>
      <c r="B26" s="4" t="s">
        <v>6</v>
      </c>
      <c r="C26" s="4" t="s">
        <v>4348</v>
      </c>
      <c r="D26" s="4" t="s">
        <v>4363</v>
      </c>
      <c r="E26" s="4" t="s">
        <v>4364</v>
      </c>
      <c r="F26" s="4" t="s">
        <v>4363</v>
      </c>
      <c r="J26" s="374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" t="s">
        <v>4365</v>
      </c>
      <c r="B27" s="4" t="s">
        <v>17</v>
      </c>
      <c r="C27" s="4" t="s">
        <v>4328</v>
      </c>
      <c r="D27" s="4" t="s">
        <v>4359</v>
      </c>
      <c r="E27" s="4" t="s">
        <v>4359</v>
      </c>
      <c r="F27" s="4" t="s">
        <v>4359</v>
      </c>
      <c r="J27" s="374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" t="s">
        <v>4366</v>
      </c>
      <c r="B28" s="4" t="s">
        <v>123</v>
      </c>
      <c r="C28" s="4" t="s">
        <v>4367</v>
      </c>
      <c r="D28" s="4" t="s">
        <v>4368</v>
      </c>
      <c r="E28" s="4" t="s">
        <v>4324</v>
      </c>
      <c r="F28" s="4" t="s">
        <v>4368</v>
      </c>
      <c r="J28" s="374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 t="s">
        <v>4369</v>
      </c>
      <c r="B29" s="4" t="s">
        <v>6</v>
      </c>
      <c r="C29" s="4" t="s">
        <v>4328</v>
      </c>
      <c r="D29" s="4" t="s">
        <v>4370</v>
      </c>
      <c r="E29" s="4" t="s">
        <v>4370</v>
      </c>
      <c r="F29" s="4" t="s">
        <v>4371</v>
      </c>
      <c r="J29" s="374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4" t="s">
        <v>4372</v>
      </c>
      <c r="B30" s="4" t="s">
        <v>13</v>
      </c>
      <c r="C30" s="4" t="s">
        <v>4352</v>
      </c>
      <c r="D30" s="4" t="s">
        <v>184</v>
      </c>
      <c r="E30" s="4" t="s">
        <v>4373</v>
      </c>
      <c r="F30" s="4" t="s">
        <v>184</v>
      </c>
      <c r="J30" s="374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" t="s">
        <v>4374</v>
      </c>
      <c r="B31" s="4" t="s">
        <v>17</v>
      </c>
      <c r="C31" s="4" t="s">
        <v>4367</v>
      </c>
      <c r="D31" s="4" t="s">
        <v>4375</v>
      </c>
      <c r="E31" s="4" t="s">
        <v>4376</v>
      </c>
      <c r="F31" s="4" t="s">
        <v>4375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4" t="s">
        <v>4377</v>
      </c>
      <c r="B32" s="4" t="s">
        <v>6</v>
      </c>
      <c r="C32" s="4" t="s">
        <v>4348</v>
      </c>
      <c r="D32" s="4" t="s">
        <v>4371</v>
      </c>
      <c r="E32" s="4" t="s">
        <v>4378</v>
      </c>
      <c r="F32" s="4" t="s">
        <v>4371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56" t="s">
        <v>4307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373" t="s">
        <v>4319</v>
      </c>
      <c r="B34" s="373" t="s">
        <v>4320</v>
      </c>
      <c r="C34" s="373" t="s">
        <v>4321</v>
      </c>
      <c r="D34" s="373" t="s">
        <v>4322</v>
      </c>
      <c r="E34" s="373" t="s">
        <v>135</v>
      </c>
      <c r="F34" s="373" t="s">
        <v>128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4" t="s">
        <v>4379</v>
      </c>
      <c r="B35" s="4" t="s">
        <v>17</v>
      </c>
      <c r="C35" s="4" t="s">
        <v>4367</v>
      </c>
      <c r="D35" s="4" t="s">
        <v>4359</v>
      </c>
      <c r="E35" s="4" t="s">
        <v>4359</v>
      </c>
      <c r="F35" s="4" t="s">
        <v>4359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4" t="s">
        <v>4380</v>
      </c>
      <c r="B36" s="4" t="s">
        <v>13</v>
      </c>
      <c r="C36" s="4" t="s">
        <v>4352</v>
      </c>
      <c r="D36" s="4" t="s">
        <v>184</v>
      </c>
      <c r="E36" s="4" t="s">
        <v>4381</v>
      </c>
      <c r="F36" s="4" t="s">
        <v>184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4" t="s">
        <v>4382</v>
      </c>
      <c r="B37" s="4" t="s">
        <v>6</v>
      </c>
      <c r="C37" s="4" t="s">
        <v>4367</v>
      </c>
      <c r="D37" s="4" t="s">
        <v>4363</v>
      </c>
      <c r="E37" s="4" t="s">
        <v>4383</v>
      </c>
      <c r="F37" s="4" t="s">
        <v>4363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4" t="s">
        <v>4384</v>
      </c>
      <c r="B38" s="4" t="s">
        <v>6</v>
      </c>
      <c r="C38" s="4" t="s">
        <v>4348</v>
      </c>
      <c r="D38" s="4" t="s">
        <v>4370</v>
      </c>
      <c r="E38" s="4" t="s">
        <v>4370</v>
      </c>
      <c r="F38" s="4" t="s">
        <v>4385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4" t="s">
        <v>4386</v>
      </c>
      <c r="B39" s="4" t="s">
        <v>7</v>
      </c>
      <c r="C39" s="4" t="s">
        <v>4367</v>
      </c>
      <c r="D39" s="4" t="s">
        <v>4387</v>
      </c>
      <c r="E39" s="4" t="s">
        <v>4388</v>
      </c>
      <c r="F39" s="4" t="s">
        <v>4332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4" t="s">
        <v>4389</v>
      </c>
      <c r="B40" s="4" t="s">
        <v>13</v>
      </c>
      <c r="C40" s="4" t="s">
        <v>4331</v>
      </c>
      <c r="D40" s="4" t="s">
        <v>4390</v>
      </c>
      <c r="E40" s="4" t="s">
        <v>4391</v>
      </c>
      <c r="F40" s="4" t="s">
        <v>4390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" t="s">
        <v>4392</v>
      </c>
      <c r="B41" s="4" t="s">
        <v>17</v>
      </c>
      <c r="C41" s="4" t="s">
        <v>4393</v>
      </c>
      <c r="D41" s="4" t="s">
        <v>4394</v>
      </c>
      <c r="E41" s="4" t="s">
        <v>4394</v>
      </c>
      <c r="F41" s="4" t="s">
        <v>4394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" t="s">
        <v>4395</v>
      </c>
      <c r="B42" s="4" t="s">
        <v>13</v>
      </c>
      <c r="C42" s="4" t="s">
        <v>4344</v>
      </c>
      <c r="D42" s="4" t="s">
        <v>184</v>
      </c>
      <c r="E42" s="4" t="s">
        <v>4391</v>
      </c>
      <c r="F42" s="4" t="s">
        <v>184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" t="s">
        <v>4396</v>
      </c>
      <c r="B43" s="4" t="s">
        <v>17</v>
      </c>
      <c r="C43" s="4" t="s">
        <v>4367</v>
      </c>
      <c r="D43" s="4" t="s">
        <v>4375</v>
      </c>
      <c r="E43" s="4" t="s">
        <v>4375</v>
      </c>
      <c r="F43" s="4" t="s">
        <v>4341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256" t="s">
        <v>4397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373" t="s">
        <v>4319</v>
      </c>
      <c r="B45" s="373" t="s">
        <v>4320</v>
      </c>
      <c r="C45" s="373" t="s">
        <v>4321</v>
      </c>
      <c r="D45" s="373" t="s">
        <v>4322</v>
      </c>
      <c r="E45" s="373" t="s">
        <v>135</v>
      </c>
      <c r="F45" s="373" t="s">
        <v>128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4" t="s">
        <v>4398</v>
      </c>
      <c r="B46" s="4" t="s">
        <v>6</v>
      </c>
      <c r="C46" s="4" t="s">
        <v>4367</v>
      </c>
      <c r="D46" s="4" t="s">
        <v>4399</v>
      </c>
      <c r="E46" s="4" t="s">
        <v>4400</v>
      </c>
      <c r="F46" s="4" t="s">
        <v>4399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" t="s">
        <v>4380</v>
      </c>
      <c r="B47" s="4" t="s">
        <v>13</v>
      </c>
      <c r="C47" s="4" t="s">
        <v>4393</v>
      </c>
      <c r="D47" s="4" t="s">
        <v>184</v>
      </c>
      <c r="E47" s="4" t="s">
        <v>231</v>
      </c>
      <c r="F47" s="4" t="s">
        <v>4390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56" t="s">
        <v>4401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373" t="s">
        <v>4319</v>
      </c>
      <c r="B49" s="373" t="s">
        <v>4320</v>
      </c>
      <c r="C49" s="373" t="s">
        <v>4321</v>
      </c>
      <c r="D49" s="373" t="s">
        <v>4322</v>
      </c>
      <c r="E49" s="373" t="s">
        <v>135</v>
      </c>
      <c r="F49" s="373" t="s">
        <v>128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4" t="s">
        <v>4377</v>
      </c>
      <c r="B50" s="4" t="s">
        <v>13</v>
      </c>
      <c r="C50" s="4" t="s">
        <v>4367</v>
      </c>
      <c r="D50" s="4" t="s">
        <v>4402</v>
      </c>
      <c r="E50" s="4" t="s">
        <v>4403</v>
      </c>
      <c r="F50" s="4" t="s">
        <v>4404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375" t="s">
        <v>132</v>
      </c>
      <c r="E53" s="25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51" t="s">
        <v>111</v>
      </c>
      <c r="B54" s="251" t="s">
        <v>112</v>
      </c>
      <c r="C54" s="251" t="s">
        <v>4405</v>
      </c>
      <c r="D54" s="251" t="s">
        <v>4406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4" t="s">
        <v>138</v>
      </c>
      <c r="B55" s="4" t="s">
        <v>139</v>
      </c>
      <c r="C55" s="4" t="s">
        <v>6</v>
      </c>
      <c r="D55" s="4">
        <v>5000.0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4" t="s">
        <v>143</v>
      </c>
      <c r="B56" s="4" t="s">
        <v>144</v>
      </c>
      <c r="C56" s="4" t="s">
        <v>4</v>
      </c>
      <c r="D56" s="4">
        <v>5000.0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146</v>
      </c>
      <c r="B57" s="4" t="s">
        <v>147</v>
      </c>
      <c r="C57" s="4" t="s">
        <v>15</v>
      </c>
      <c r="D57" s="4">
        <v>5000.0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" t="s">
        <v>149</v>
      </c>
      <c r="B58" s="4" t="s">
        <v>150</v>
      </c>
      <c r="C58" s="4" t="s">
        <v>11</v>
      </c>
      <c r="D58" s="4">
        <v>5000.0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4" t="s">
        <v>154</v>
      </c>
      <c r="B59" s="4" t="s">
        <v>155</v>
      </c>
      <c r="C59" s="4" t="s">
        <v>6</v>
      </c>
      <c r="D59" s="4">
        <v>5000.0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4" t="s">
        <v>157</v>
      </c>
      <c r="B60" s="4" t="s">
        <v>158</v>
      </c>
      <c r="C60" s="4" t="s">
        <v>6</v>
      </c>
      <c r="D60" s="4">
        <v>5000.0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 t="s">
        <v>161</v>
      </c>
      <c r="B61" s="4" t="s">
        <v>155</v>
      </c>
      <c r="C61" s="4" t="s">
        <v>6</v>
      </c>
      <c r="D61" s="4">
        <v>5000.0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" t="s">
        <v>124</v>
      </c>
      <c r="B62" s="4" t="s">
        <v>164</v>
      </c>
      <c r="C62" s="4" t="s">
        <v>13</v>
      </c>
      <c r="D62" s="4">
        <v>5000.0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4" t="s">
        <v>165</v>
      </c>
      <c r="B63" s="4" t="s">
        <v>166</v>
      </c>
      <c r="C63" s="4" t="s">
        <v>13</v>
      </c>
      <c r="D63" s="4">
        <v>5000.0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168</v>
      </c>
      <c r="B64" s="4" t="s">
        <v>169</v>
      </c>
      <c r="C64" s="4" t="s">
        <v>4</v>
      </c>
      <c r="D64" s="4">
        <v>5000.0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172</v>
      </c>
      <c r="B65" s="4" t="s">
        <v>173</v>
      </c>
      <c r="C65" s="4" t="s">
        <v>11</v>
      </c>
      <c r="D65" s="4">
        <v>5000.0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" t="s">
        <v>290</v>
      </c>
      <c r="B66" s="4" t="s">
        <v>175</v>
      </c>
      <c r="C66" s="4" t="s">
        <v>4</v>
      </c>
      <c r="D66" s="4">
        <v>5000.0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4" t="s">
        <v>180</v>
      </c>
      <c r="B67" s="4" t="s">
        <v>181</v>
      </c>
      <c r="C67" s="4" t="s">
        <v>17</v>
      </c>
      <c r="D67" s="4">
        <v>5000.0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159</v>
      </c>
      <c r="B68" s="4" t="s">
        <v>184</v>
      </c>
      <c r="C68" s="4" t="s">
        <v>13</v>
      </c>
      <c r="D68" s="4">
        <v>10000.0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" t="s">
        <v>135</v>
      </c>
      <c r="B69" s="4" t="s">
        <v>155</v>
      </c>
      <c r="C69" s="4" t="s">
        <v>6</v>
      </c>
      <c r="D69" s="4">
        <v>10000.0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190</v>
      </c>
      <c r="B70" s="4" t="s">
        <v>184</v>
      </c>
      <c r="C70" s="4" t="s">
        <v>13</v>
      </c>
      <c r="D70" s="4">
        <v>20000.0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4" t="s">
        <v>145</v>
      </c>
      <c r="C71" s="4" t="s">
        <v>6</v>
      </c>
      <c r="D71" s="4">
        <v>40000.0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4" t="s">
        <v>148</v>
      </c>
      <c r="C72" s="4" t="s">
        <v>13</v>
      </c>
      <c r="D72" s="4">
        <v>80000.0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376" t="s">
        <v>4407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9" t="s">
        <v>111</v>
      </c>
      <c r="B75" s="19" t="s">
        <v>112</v>
      </c>
      <c r="C75" s="19" t="s">
        <v>4405</v>
      </c>
      <c r="D75" s="19" t="s">
        <v>4406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4" t="s">
        <v>4320</v>
      </c>
      <c r="B76" s="4" t="s">
        <v>4408</v>
      </c>
      <c r="C76" s="4" t="s">
        <v>123</v>
      </c>
      <c r="D76" s="4">
        <v>30000.0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4" t="s">
        <v>4409</v>
      </c>
      <c r="B77" s="4" t="s">
        <v>4410</v>
      </c>
      <c r="C77" s="4" t="s">
        <v>16</v>
      </c>
      <c r="D77" s="4">
        <v>20000.0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4" t="s">
        <v>4411</v>
      </c>
      <c r="B78" s="4" t="s">
        <v>251</v>
      </c>
      <c r="C78" s="4" t="s">
        <v>17</v>
      </c>
      <c r="D78" s="4">
        <v>10000.0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4" t="s">
        <v>4412</v>
      </c>
      <c r="B79" s="4" t="s">
        <v>4413</v>
      </c>
      <c r="C79" s="4" t="s">
        <v>15</v>
      </c>
      <c r="D79" s="4">
        <v>5000.0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4" t="s">
        <v>4414</v>
      </c>
      <c r="B80" s="4" t="s">
        <v>4415</v>
      </c>
      <c r="C80" s="4" t="s">
        <v>16</v>
      </c>
      <c r="D80" s="4">
        <v>5000.0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09" t="s">
        <v>4416</v>
      </c>
      <c r="D82" s="2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23" t="s">
        <v>111</v>
      </c>
      <c r="B83" s="223" t="s">
        <v>4405</v>
      </c>
      <c r="C83" s="223" t="s">
        <v>4406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4" t="s">
        <v>4417</v>
      </c>
      <c r="B84" s="4" t="s">
        <v>6</v>
      </c>
      <c r="C84" s="4">
        <v>20000.0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4" t="s">
        <v>4418</v>
      </c>
      <c r="B85" s="4" t="s">
        <v>7</v>
      </c>
      <c r="C85" s="4">
        <v>10000.0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4" t="s">
        <v>4419</v>
      </c>
      <c r="B86" s="4" t="s">
        <v>4</v>
      </c>
      <c r="C86" s="4">
        <v>5000.0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4" t="s">
        <v>4420</v>
      </c>
      <c r="B87" s="4" t="s">
        <v>13</v>
      </c>
      <c r="C87" s="4">
        <v>5000.0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09" t="s">
        <v>4421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223" t="s">
        <v>437</v>
      </c>
      <c r="B90" s="223" t="s">
        <v>4405</v>
      </c>
      <c r="C90" s="223" t="s">
        <v>4422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" t="s">
        <v>2737</v>
      </c>
      <c r="B91" s="4" t="s">
        <v>4</v>
      </c>
      <c r="C91" s="4">
        <v>30000.0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4" t="s">
        <v>4423</v>
      </c>
      <c r="B92" s="4" t="s">
        <v>11</v>
      </c>
      <c r="C92" s="4">
        <v>10000.0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B93" s="4" t="s">
        <v>15</v>
      </c>
      <c r="C93" s="4">
        <v>10000.0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B94" s="4" t="s">
        <v>4</v>
      </c>
      <c r="C94" s="4">
        <v>10000.0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B95" s="4" t="s">
        <v>123</v>
      </c>
      <c r="C95" s="4">
        <v>10000.0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4" t="s">
        <v>4424</v>
      </c>
      <c r="B96" s="4" t="s">
        <v>10</v>
      </c>
      <c r="C96" s="4">
        <v>15000.0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B97" s="4" t="s">
        <v>14</v>
      </c>
      <c r="C97" s="4">
        <v>15000.0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4" t="s">
        <v>217</v>
      </c>
      <c r="B98" s="4" t="s">
        <v>17</v>
      </c>
      <c r="C98" s="4">
        <v>20000.0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B99" s="4" t="s">
        <v>7</v>
      </c>
      <c r="C99" s="4">
        <v>20000.0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5">
    <mergeCell ref="A71:B71"/>
    <mergeCell ref="A72:B72"/>
    <mergeCell ref="A74:D74"/>
    <mergeCell ref="A82:C82"/>
    <mergeCell ref="A89:C89"/>
    <mergeCell ref="A92:A95"/>
    <mergeCell ref="A96:A97"/>
    <mergeCell ref="A98:A99"/>
    <mergeCell ref="A1:P1"/>
    <mergeCell ref="A9:F9"/>
    <mergeCell ref="A21:F21"/>
    <mergeCell ref="A33:F33"/>
    <mergeCell ref="A44:F44"/>
    <mergeCell ref="A48:F48"/>
    <mergeCell ref="A53:D53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30.25"/>
    <col customWidth="1" min="3" max="3" width="29.63"/>
    <col customWidth="1" min="4" max="4" width="23.75"/>
    <col customWidth="1" min="5" max="5" width="26.25"/>
    <col customWidth="1" min="6" max="6" width="25.13"/>
    <col customWidth="1" min="7" max="7" width="26.0"/>
    <col customWidth="1" min="8" max="8" width="25.13"/>
    <col customWidth="1" min="9" max="9" width="18.88"/>
    <col customWidth="1" min="10" max="10" width="21.63"/>
    <col customWidth="1" min="11" max="11" width="16.75"/>
    <col customWidth="1" min="12" max="12" width="19.88"/>
  </cols>
  <sheetData>
    <row r="1">
      <c r="A1" s="251" t="s">
        <v>4425</v>
      </c>
    </row>
    <row r="2">
      <c r="A2" s="33" t="s">
        <v>8</v>
      </c>
      <c r="B2" s="33" t="s">
        <v>123</v>
      </c>
      <c r="C2" s="33" t="s">
        <v>5</v>
      </c>
      <c r="D2" s="33" t="s">
        <v>11</v>
      </c>
      <c r="E2" s="33" t="s">
        <v>15</v>
      </c>
      <c r="F2" s="33" t="s">
        <v>9</v>
      </c>
      <c r="G2" s="33" t="s">
        <v>7</v>
      </c>
      <c r="H2" s="33" t="s">
        <v>6</v>
      </c>
      <c r="I2" s="33" t="s">
        <v>4426</v>
      </c>
      <c r="J2" s="33" t="s">
        <v>4</v>
      </c>
      <c r="K2" s="33" t="s">
        <v>13</v>
      </c>
      <c r="L2" s="33" t="s">
        <v>17</v>
      </c>
    </row>
    <row r="3">
      <c r="A3" s="31" t="s">
        <v>2042</v>
      </c>
      <c r="B3" s="31" t="s">
        <v>378</v>
      </c>
      <c r="C3" s="31" t="s">
        <v>4427</v>
      </c>
      <c r="D3" s="377" t="s">
        <v>4428</v>
      </c>
      <c r="E3" s="377" t="s">
        <v>4429</v>
      </c>
      <c r="F3" s="377" t="s">
        <v>4430</v>
      </c>
      <c r="G3" s="377" t="s">
        <v>4431</v>
      </c>
      <c r="H3" s="31" t="s">
        <v>1327</v>
      </c>
      <c r="I3" s="31" t="s">
        <v>4432</v>
      </c>
      <c r="J3" s="31" t="s">
        <v>604</v>
      </c>
      <c r="K3" s="31" t="s">
        <v>3319</v>
      </c>
      <c r="L3" s="31" t="s">
        <v>4433</v>
      </c>
    </row>
    <row r="4">
      <c r="A4" s="31" t="s">
        <v>2061</v>
      </c>
      <c r="B4" s="31" t="s">
        <v>1249</v>
      </c>
      <c r="C4" s="31" t="s">
        <v>1163</v>
      </c>
      <c r="D4" s="31" t="s">
        <v>4434</v>
      </c>
      <c r="E4" s="31" t="s">
        <v>4435</v>
      </c>
      <c r="F4" s="31" t="s">
        <v>4436</v>
      </c>
      <c r="G4" s="31" t="s">
        <v>4437</v>
      </c>
      <c r="H4" s="31" t="s">
        <v>1378</v>
      </c>
      <c r="I4" s="31" t="s">
        <v>4438</v>
      </c>
      <c r="J4" s="31" t="s">
        <v>4439</v>
      </c>
      <c r="K4" s="31" t="s">
        <v>4440</v>
      </c>
      <c r="L4" s="31" t="s">
        <v>4441</v>
      </c>
    </row>
    <row r="5">
      <c r="A5" s="31" t="s">
        <v>4442</v>
      </c>
      <c r="B5" s="31" t="s">
        <v>4443</v>
      </c>
      <c r="C5" s="31" t="s">
        <v>1182</v>
      </c>
      <c r="D5" s="31" t="s">
        <v>2827</v>
      </c>
      <c r="E5" s="31" t="s">
        <v>4444</v>
      </c>
      <c r="F5" s="31" t="s">
        <v>4445</v>
      </c>
      <c r="G5" s="31" t="s">
        <v>4446</v>
      </c>
      <c r="H5" s="31" t="s">
        <v>1336</v>
      </c>
      <c r="I5" s="31" t="s">
        <v>2562</v>
      </c>
      <c r="J5" s="31" t="s">
        <v>630</v>
      </c>
      <c r="K5" s="31" t="s">
        <v>4447</v>
      </c>
      <c r="L5" s="31" t="s">
        <v>4448</v>
      </c>
    </row>
    <row r="6">
      <c r="A6" s="31" t="s">
        <v>2016</v>
      </c>
      <c r="B6" s="31" t="s">
        <v>2688</v>
      </c>
      <c r="C6" s="31" t="s">
        <v>4449</v>
      </c>
      <c r="D6" s="31" t="s">
        <v>4450</v>
      </c>
      <c r="E6" s="31" t="s">
        <v>4451</v>
      </c>
      <c r="F6" s="31" t="s">
        <v>4452</v>
      </c>
      <c r="G6" s="31" t="s">
        <v>4453</v>
      </c>
      <c r="H6" s="31" t="s">
        <v>1629</v>
      </c>
      <c r="I6" s="31" t="s">
        <v>2564</v>
      </c>
      <c r="J6" s="31" t="s">
        <v>4454</v>
      </c>
      <c r="K6" s="31" t="s">
        <v>4455</v>
      </c>
      <c r="L6" s="31" t="s">
        <v>4456</v>
      </c>
    </row>
    <row r="7">
      <c r="A7" s="31" t="s">
        <v>4457</v>
      </c>
      <c r="B7" s="31" t="s">
        <v>4458</v>
      </c>
      <c r="C7" s="31" t="s">
        <v>4459</v>
      </c>
      <c r="D7" s="31" t="s">
        <v>4460</v>
      </c>
      <c r="E7" s="31" t="s">
        <v>4461</v>
      </c>
      <c r="F7" s="31" t="s">
        <v>4462</v>
      </c>
      <c r="G7" s="31" t="s">
        <v>4463</v>
      </c>
      <c r="H7" s="31" t="s">
        <v>1515</v>
      </c>
      <c r="I7" s="31" t="s">
        <v>4464</v>
      </c>
      <c r="J7" s="31" t="s">
        <v>4465</v>
      </c>
      <c r="K7" s="31" t="s">
        <v>3279</v>
      </c>
      <c r="L7" s="31" t="s">
        <v>4466</v>
      </c>
    </row>
    <row r="8">
      <c r="A8" s="31" t="s">
        <v>4467</v>
      </c>
      <c r="B8" s="31" t="s">
        <v>4468</v>
      </c>
      <c r="C8" s="31" t="s">
        <v>1119</v>
      </c>
      <c r="D8" s="31" t="s">
        <v>4469</v>
      </c>
      <c r="E8" s="31" t="s">
        <v>4470</v>
      </c>
      <c r="F8" s="31" t="s">
        <v>4471</v>
      </c>
      <c r="G8" s="31" t="s">
        <v>4472</v>
      </c>
      <c r="I8" s="31" t="s">
        <v>4473</v>
      </c>
      <c r="J8" s="31" t="s">
        <v>1051</v>
      </c>
      <c r="K8" s="31" t="s">
        <v>2929</v>
      </c>
      <c r="L8" s="31" t="s">
        <v>4474</v>
      </c>
    </row>
    <row r="9">
      <c r="A9" s="31" t="s">
        <v>4475</v>
      </c>
      <c r="B9" s="31" t="s">
        <v>4476</v>
      </c>
      <c r="C9" s="31" t="s">
        <v>4477</v>
      </c>
      <c r="D9" s="31" t="s">
        <v>4478</v>
      </c>
      <c r="E9" s="31" t="s">
        <v>4479</v>
      </c>
      <c r="F9" s="31" t="s">
        <v>4480</v>
      </c>
      <c r="I9" s="31" t="s">
        <v>4481</v>
      </c>
      <c r="J9" s="31" t="s">
        <v>4482</v>
      </c>
      <c r="K9" s="31" t="s">
        <v>4483</v>
      </c>
      <c r="L9" s="31" t="s">
        <v>4484</v>
      </c>
    </row>
    <row r="10">
      <c r="A10" s="31" t="s">
        <v>4485</v>
      </c>
      <c r="B10" s="31" t="s">
        <v>4486</v>
      </c>
      <c r="C10" s="31" t="s">
        <v>4487</v>
      </c>
      <c r="D10" s="31" t="s">
        <v>4488</v>
      </c>
      <c r="E10" s="31" t="s">
        <v>4489</v>
      </c>
      <c r="F10" s="31" t="s">
        <v>4490</v>
      </c>
      <c r="H10" s="378"/>
      <c r="I10" s="31" t="s">
        <v>4491</v>
      </c>
      <c r="J10" s="31" t="s">
        <v>4492</v>
      </c>
      <c r="K10" s="31" t="s">
        <v>4493</v>
      </c>
      <c r="L10" s="31" t="s">
        <v>4494</v>
      </c>
    </row>
    <row r="11">
      <c r="A11" s="31" t="s">
        <v>4495</v>
      </c>
      <c r="B11" s="31" t="s">
        <v>4496</v>
      </c>
      <c r="D11" s="31" t="s">
        <v>4497</v>
      </c>
      <c r="E11" s="31" t="s">
        <v>4498</v>
      </c>
      <c r="F11" s="31" t="s">
        <v>4499</v>
      </c>
      <c r="I11" s="31" t="s">
        <v>4500</v>
      </c>
      <c r="J11" s="31" t="s">
        <v>4501</v>
      </c>
      <c r="K11" s="31" t="s">
        <v>4502</v>
      </c>
      <c r="L11" s="31" t="s">
        <v>4503</v>
      </c>
    </row>
    <row r="12">
      <c r="A12" s="31" t="s">
        <v>4504</v>
      </c>
      <c r="B12" s="31" t="s">
        <v>4505</v>
      </c>
      <c r="D12" s="31" t="s">
        <v>4506</v>
      </c>
      <c r="E12" s="31" t="s">
        <v>4507</v>
      </c>
      <c r="F12" s="31" t="s">
        <v>4508</v>
      </c>
      <c r="I12" s="31" t="s">
        <v>4509</v>
      </c>
      <c r="J12" s="31" t="s">
        <v>4510</v>
      </c>
      <c r="K12" s="31" t="s">
        <v>3293</v>
      </c>
      <c r="L12" s="31" t="s">
        <v>4511</v>
      </c>
    </row>
    <row r="13">
      <c r="A13" s="31" t="s">
        <v>3349</v>
      </c>
      <c r="B13" s="31" t="s">
        <v>4512</v>
      </c>
      <c r="D13" s="31" t="s">
        <v>4513</v>
      </c>
      <c r="E13" s="31" t="s">
        <v>4514</v>
      </c>
      <c r="F13" s="31" t="s">
        <v>4515</v>
      </c>
      <c r="I13" s="31" t="s">
        <v>4516</v>
      </c>
      <c r="J13" s="31" t="s">
        <v>4517</v>
      </c>
      <c r="L13" s="31" t="s">
        <v>4518</v>
      </c>
    </row>
    <row r="14">
      <c r="A14" s="31" t="s">
        <v>4519</v>
      </c>
      <c r="B14" s="31" t="s">
        <v>4520</v>
      </c>
      <c r="D14" s="31" t="s">
        <v>4521</v>
      </c>
      <c r="E14" s="31" t="s">
        <v>4522</v>
      </c>
      <c r="F14" s="31" t="s">
        <v>4523</v>
      </c>
      <c r="I14" s="31" t="s">
        <v>4524</v>
      </c>
      <c r="J14" s="31" t="s">
        <v>4525</v>
      </c>
      <c r="L14" s="31" t="s">
        <v>4526</v>
      </c>
    </row>
    <row r="15">
      <c r="A15" s="31" t="s">
        <v>4527</v>
      </c>
      <c r="B15" s="31" t="s">
        <v>4528</v>
      </c>
      <c r="D15" s="31" t="s">
        <v>4529</v>
      </c>
      <c r="E15" s="31" t="s">
        <v>4530</v>
      </c>
      <c r="F15" s="31" t="s">
        <v>4531</v>
      </c>
      <c r="I15" s="31" t="s">
        <v>4532</v>
      </c>
      <c r="J15" s="31" t="s">
        <v>4533</v>
      </c>
      <c r="L15" s="31" t="s">
        <v>4534</v>
      </c>
    </row>
    <row r="16">
      <c r="A16" s="31" t="s">
        <v>4535</v>
      </c>
      <c r="B16" s="31" t="s">
        <v>4536</v>
      </c>
      <c r="E16" s="31" t="s">
        <v>4537</v>
      </c>
      <c r="I16" s="31" t="s">
        <v>4538</v>
      </c>
      <c r="J16" s="31" t="s">
        <v>4539</v>
      </c>
      <c r="L16" s="31" t="s">
        <v>4540</v>
      </c>
    </row>
    <row r="17">
      <c r="A17" s="31" t="s">
        <v>4541</v>
      </c>
      <c r="B17" s="31" t="s">
        <v>4542</v>
      </c>
      <c r="E17" s="31" t="s">
        <v>4543</v>
      </c>
      <c r="J17" s="31" t="s">
        <v>4544</v>
      </c>
      <c r="L17" s="31" t="s">
        <v>4545</v>
      </c>
    </row>
    <row r="18">
      <c r="B18" s="31" t="s">
        <v>4546</v>
      </c>
      <c r="E18" s="31" t="s">
        <v>4547</v>
      </c>
      <c r="J18" s="31" t="s">
        <v>4548</v>
      </c>
    </row>
    <row r="19">
      <c r="B19" s="31" t="s">
        <v>4549</v>
      </c>
      <c r="J19" s="31" t="s">
        <v>4550</v>
      </c>
    </row>
    <row r="20">
      <c r="B20" s="31" t="s">
        <v>4551</v>
      </c>
      <c r="J20" s="31" t="s">
        <v>4552</v>
      </c>
      <c r="K20" s="31"/>
    </row>
    <row r="21">
      <c r="B21" s="31" t="s">
        <v>4553</v>
      </c>
    </row>
    <row r="22">
      <c r="B22" s="31" t="s">
        <v>4554</v>
      </c>
    </row>
    <row r="23">
      <c r="B23" s="31" t="s">
        <v>4555</v>
      </c>
    </row>
    <row r="24">
      <c r="B24" s="31" t="s">
        <v>4556</v>
      </c>
    </row>
    <row r="25">
      <c r="B25" s="31" t="s">
        <v>4557</v>
      </c>
      <c r="K25" s="31"/>
    </row>
    <row r="26">
      <c r="B26" s="31" t="s">
        <v>4558</v>
      </c>
      <c r="K26" s="31"/>
    </row>
    <row r="27">
      <c r="B27" s="31" t="s">
        <v>4559</v>
      </c>
    </row>
    <row r="28">
      <c r="B28" s="31" t="s">
        <v>4560</v>
      </c>
    </row>
    <row r="29">
      <c r="B29" s="31" t="s">
        <v>4561</v>
      </c>
    </row>
    <row r="30">
      <c r="B30" s="31" t="s">
        <v>4562</v>
      </c>
    </row>
    <row r="32">
      <c r="A32" s="251" t="s">
        <v>4563</v>
      </c>
    </row>
    <row r="33">
      <c r="A33" s="50" t="s">
        <v>789</v>
      </c>
      <c r="B33" s="50" t="s">
        <v>790</v>
      </c>
      <c r="C33" s="50" t="s">
        <v>215</v>
      </c>
      <c r="D33" s="50" t="s">
        <v>791</v>
      </c>
      <c r="E33" s="50" t="s">
        <v>202</v>
      </c>
      <c r="F33" s="50" t="s">
        <v>792</v>
      </c>
      <c r="G33" s="50" t="s">
        <v>793</v>
      </c>
      <c r="H33" s="50" t="s">
        <v>205</v>
      </c>
    </row>
    <row r="34">
      <c r="A34" s="31" t="s">
        <v>4564</v>
      </c>
      <c r="B34" s="31" t="s">
        <v>4565</v>
      </c>
      <c r="C34" s="31" t="s">
        <v>4566</v>
      </c>
      <c r="D34" s="31" t="s">
        <v>4567</v>
      </c>
      <c r="E34" s="31" t="s">
        <v>4568</v>
      </c>
      <c r="F34" s="31" t="s">
        <v>4569</v>
      </c>
      <c r="G34" s="31" t="s">
        <v>4570</v>
      </c>
      <c r="H34" s="31" t="s">
        <v>4571</v>
      </c>
    </row>
    <row r="35">
      <c r="A35" s="31" t="s">
        <v>4572</v>
      </c>
      <c r="B35" s="31" t="s">
        <v>4573</v>
      </c>
      <c r="C35" s="31" t="s">
        <v>4574</v>
      </c>
      <c r="D35" s="31" t="s">
        <v>4575</v>
      </c>
      <c r="E35" s="31" t="s">
        <v>4576</v>
      </c>
      <c r="F35" s="31" t="s">
        <v>4577</v>
      </c>
      <c r="G35" s="31" t="s">
        <v>4578</v>
      </c>
      <c r="H35" s="31" t="s">
        <v>4579</v>
      </c>
    </row>
    <row r="36">
      <c r="A36" s="31" t="s">
        <v>4580</v>
      </c>
      <c r="B36" s="31" t="s">
        <v>4581</v>
      </c>
      <c r="C36" s="31" t="s">
        <v>4582</v>
      </c>
      <c r="D36" s="31" t="s">
        <v>4583</v>
      </c>
      <c r="E36" s="31" t="s">
        <v>4584</v>
      </c>
      <c r="F36" s="31" t="s">
        <v>4585</v>
      </c>
      <c r="G36" s="31" t="s">
        <v>4586</v>
      </c>
      <c r="H36" s="31" t="s">
        <v>4587</v>
      </c>
    </row>
    <row r="37">
      <c r="A37" s="31" t="s">
        <v>4588</v>
      </c>
      <c r="B37" s="31" t="s">
        <v>4589</v>
      </c>
      <c r="C37" s="31" t="s">
        <v>4590</v>
      </c>
      <c r="D37" s="31" t="s">
        <v>4591</v>
      </c>
      <c r="E37" s="31" t="s">
        <v>4592</v>
      </c>
      <c r="F37" s="31" t="s">
        <v>4593</v>
      </c>
      <c r="G37" s="31" t="s">
        <v>4594</v>
      </c>
      <c r="H37" s="31" t="s">
        <v>4595</v>
      </c>
    </row>
    <row r="38">
      <c r="A38" s="31" t="s">
        <v>4596</v>
      </c>
      <c r="B38" s="31" t="s">
        <v>4597</v>
      </c>
      <c r="C38" s="31" t="s">
        <v>4598</v>
      </c>
      <c r="D38" s="31" t="s">
        <v>4599</v>
      </c>
      <c r="E38" s="31" t="s">
        <v>4600</v>
      </c>
      <c r="F38" s="31" t="s">
        <v>4601</v>
      </c>
      <c r="G38" s="31" t="s">
        <v>4602</v>
      </c>
      <c r="H38" s="31" t="s">
        <v>4603</v>
      </c>
    </row>
    <row r="39">
      <c r="A39" s="31" t="s">
        <v>4604</v>
      </c>
      <c r="B39" s="31" t="s">
        <v>4605</v>
      </c>
      <c r="C39" s="31" t="s">
        <v>4606</v>
      </c>
      <c r="D39" s="31" t="s">
        <v>4607</v>
      </c>
      <c r="E39" s="31" t="s">
        <v>4608</v>
      </c>
      <c r="F39" s="31" t="s">
        <v>4609</v>
      </c>
      <c r="G39" s="31" t="s">
        <v>4610</v>
      </c>
      <c r="H39" s="31" t="s">
        <v>4611</v>
      </c>
    </row>
    <row r="40">
      <c r="A40" s="31" t="s">
        <v>4612</v>
      </c>
      <c r="B40" s="31" t="s">
        <v>4613</v>
      </c>
      <c r="C40" s="31" t="s">
        <v>4614</v>
      </c>
      <c r="D40" s="31" t="s">
        <v>4615</v>
      </c>
      <c r="E40" s="31" t="s">
        <v>4616</v>
      </c>
      <c r="F40" s="31" t="s">
        <v>4617</v>
      </c>
      <c r="G40" s="31" t="s">
        <v>4618</v>
      </c>
      <c r="H40" s="31" t="s">
        <v>4619</v>
      </c>
    </row>
    <row r="41">
      <c r="A41" s="31" t="s">
        <v>4620</v>
      </c>
      <c r="B41" s="31" t="s">
        <v>4621</v>
      </c>
      <c r="C41" s="31" t="s">
        <v>4622</v>
      </c>
      <c r="D41" s="31" t="s">
        <v>4623</v>
      </c>
      <c r="E41" s="31" t="s">
        <v>4624</v>
      </c>
      <c r="F41" s="31" t="s">
        <v>4625</v>
      </c>
      <c r="G41" s="31" t="s">
        <v>4626</v>
      </c>
      <c r="H41" s="31" t="s">
        <v>4627</v>
      </c>
    </row>
    <row r="42">
      <c r="A42" s="31" t="s">
        <v>4628</v>
      </c>
      <c r="B42" s="31" t="s">
        <v>4629</v>
      </c>
      <c r="C42" s="31" t="s">
        <v>4630</v>
      </c>
      <c r="D42" s="31" t="s">
        <v>4631</v>
      </c>
      <c r="E42" s="31" t="s">
        <v>4632</v>
      </c>
      <c r="F42" s="31" t="s">
        <v>4633</v>
      </c>
      <c r="G42" s="31" t="s">
        <v>4634</v>
      </c>
      <c r="H42" s="31" t="s">
        <v>4635</v>
      </c>
    </row>
    <row r="43">
      <c r="A43" s="31" t="s">
        <v>4636</v>
      </c>
      <c r="B43" s="31" t="s">
        <v>4637</v>
      </c>
      <c r="C43" s="31" t="s">
        <v>4638</v>
      </c>
      <c r="D43" s="31" t="s">
        <v>4639</v>
      </c>
      <c r="E43" s="31" t="s">
        <v>4640</v>
      </c>
      <c r="F43" s="31" t="s">
        <v>4641</v>
      </c>
      <c r="G43" s="31" t="s">
        <v>4642</v>
      </c>
      <c r="H43" s="31" t="s">
        <v>4643</v>
      </c>
    </row>
    <row r="44">
      <c r="A44" s="31" t="s">
        <v>4644</v>
      </c>
      <c r="B44" s="31" t="s">
        <v>4645</v>
      </c>
      <c r="C44" s="31" t="s">
        <v>4646</v>
      </c>
      <c r="D44" s="31" t="s">
        <v>4647</v>
      </c>
      <c r="E44" s="31" t="s">
        <v>4648</v>
      </c>
      <c r="F44" s="31" t="s">
        <v>4649</v>
      </c>
      <c r="G44" s="31" t="s">
        <v>4650</v>
      </c>
      <c r="H44" s="31" t="s">
        <v>4651</v>
      </c>
    </row>
    <row r="45">
      <c r="A45" s="31" t="s">
        <v>4652</v>
      </c>
      <c r="B45" s="31" t="s">
        <v>4653</v>
      </c>
      <c r="C45" s="31" t="s">
        <v>4654</v>
      </c>
      <c r="D45" s="31" t="s">
        <v>4655</v>
      </c>
      <c r="E45" s="31" t="s">
        <v>4656</v>
      </c>
      <c r="F45" s="31" t="s">
        <v>4657</v>
      </c>
      <c r="G45" s="31" t="s">
        <v>4658</v>
      </c>
      <c r="H45" s="31" t="s">
        <v>4659</v>
      </c>
    </row>
    <row r="46">
      <c r="A46" s="31" t="s">
        <v>4660</v>
      </c>
      <c r="B46" s="31" t="s">
        <v>4661</v>
      </c>
      <c r="C46" s="31" t="s">
        <v>4662</v>
      </c>
      <c r="D46" s="31" t="s">
        <v>4663</v>
      </c>
      <c r="E46" s="31" t="s">
        <v>4664</v>
      </c>
      <c r="F46" s="31" t="s">
        <v>4665</v>
      </c>
      <c r="G46" s="31" t="s">
        <v>4666</v>
      </c>
      <c r="H46" s="31" t="s">
        <v>4667</v>
      </c>
    </row>
    <row r="47">
      <c r="A47" s="31" t="s">
        <v>4668</v>
      </c>
      <c r="B47" s="31" t="s">
        <v>4669</v>
      </c>
      <c r="C47" s="31" t="s">
        <v>4670</v>
      </c>
      <c r="D47" s="31" t="s">
        <v>4671</v>
      </c>
      <c r="E47" s="31" t="s">
        <v>4672</v>
      </c>
      <c r="F47" s="31" t="s">
        <v>4673</v>
      </c>
      <c r="G47" s="31" t="s">
        <v>4674</v>
      </c>
      <c r="H47" s="31" t="s">
        <v>4675</v>
      </c>
    </row>
    <row r="48">
      <c r="A48" s="31" t="s">
        <v>4676</v>
      </c>
      <c r="B48" s="31" t="s">
        <v>4677</v>
      </c>
      <c r="C48" s="31" t="s">
        <v>4678</v>
      </c>
      <c r="D48" s="31" t="s">
        <v>4679</v>
      </c>
      <c r="E48" s="31" t="s">
        <v>4680</v>
      </c>
      <c r="F48" s="31" t="s">
        <v>4681</v>
      </c>
      <c r="G48" s="31" t="s">
        <v>4682</v>
      </c>
      <c r="H48" s="31" t="s">
        <v>4683</v>
      </c>
    </row>
    <row r="49">
      <c r="A49" s="31" t="s">
        <v>4684</v>
      </c>
      <c r="B49" s="31" t="s">
        <v>4685</v>
      </c>
      <c r="C49" s="31" t="s">
        <v>4686</v>
      </c>
      <c r="D49" s="31" t="s">
        <v>4687</v>
      </c>
      <c r="E49" s="31" t="s">
        <v>4688</v>
      </c>
      <c r="F49" s="31" t="s">
        <v>4689</v>
      </c>
      <c r="G49" s="31" t="s">
        <v>4690</v>
      </c>
      <c r="H49" s="31" t="s">
        <v>4691</v>
      </c>
    </row>
    <row r="50">
      <c r="A50" s="31" t="s">
        <v>4692</v>
      </c>
      <c r="B50" s="31" t="s">
        <v>4693</v>
      </c>
      <c r="C50" s="31" t="s">
        <v>4694</v>
      </c>
      <c r="D50" s="31" t="s">
        <v>4695</v>
      </c>
      <c r="G50" s="31" t="s">
        <v>4696</v>
      </c>
    </row>
    <row r="51">
      <c r="B51" s="31" t="s">
        <v>4697</v>
      </c>
      <c r="C51" s="31" t="s">
        <v>4698</v>
      </c>
      <c r="D51" s="31" t="s">
        <v>4699</v>
      </c>
      <c r="G51" s="31" t="s">
        <v>4700</v>
      </c>
    </row>
    <row r="54">
      <c r="A54" s="149" t="s">
        <v>4701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379" t="s">
        <v>4319</v>
      </c>
      <c r="B55" s="379" t="s">
        <v>4702</v>
      </c>
      <c r="C55" s="256" t="s">
        <v>4703</v>
      </c>
      <c r="D55" s="379" t="s">
        <v>4320</v>
      </c>
      <c r="E55" s="379" t="s">
        <v>436</v>
      </c>
      <c r="F55" s="379" t="s">
        <v>4704</v>
      </c>
      <c r="G55" s="379" t="s">
        <v>135</v>
      </c>
      <c r="H55" s="379" t="s">
        <v>128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4" t="s">
        <v>4705</v>
      </c>
      <c r="B56" s="4" t="s">
        <v>4706</v>
      </c>
      <c r="C56" s="4" t="s">
        <v>4707</v>
      </c>
      <c r="D56" s="4" t="s">
        <v>202</v>
      </c>
      <c r="E56" s="4" t="s">
        <v>4708</v>
      </c>
      <c r="F56" s="4" t="s">
        <v>4709</v>
      </c>
      <c r="G56" s="4" t="s">
        <v>4709</v>
      </c>
      <c r="H56" s="4" t="s">
        <v>4709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4710</v>
      </c>
      <c r="B57" s="4" t="s">
        <v>4706</v>
      </c>
      <c r="C57" s="4" t="s">
        <v>4711</v>
      </c>
      <c r="D57" s="4" t="s">
        <v>215</v>
      </c>
      <c r="E57" s="4" t="s">
        <v>4712</v>
      </c>
      <c r="F57" s="4" t="s">
        <v>4713</v>
      </c>
      <c r="G57" s="4" t="s">
        <v>4713</v>
      </c>
      <c r="H57" s="4" t="s">
        <v>4714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" t="s">
        <v>4715</v>
      </c>
      <c r="B58" s="4" t="s">
        <v>4716</v>
      </c>
      <c r="C58" s="4" t="s">
        <v>4717</v>
      </c>
      <c r="D58" s="4" t="s">
        <v>792</v>
      </c>
      <c r="E58" s="4" t="s">
        <v>4708</v>
      </c>
      <c r="F58" s="4" t="s">
        <v>4718</v>
      </c>
      <c r="G58" s="4" t="s">
        <v>4719</v>
      </c>
      <c r="H58" s="4" t="s">
        <v>4720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4" t="s">
        <v>4721</v>
      </c>
      <c r="B59" s="4" t="s">
        <v>4716</v>
      </c>
      <c r="C59" s="4" t="s">
        <v>4722</v>
      </c>
      <c r="D59" s="4" t="s">
        <v>198</v>
      </c>
      <c r="E59" s="4" t="s">
        <v>4723</v>
      </c>
      <c r="F59" s="4" t="s">
        <v>4724</v>
      </c>
      <c r="G59" s="4" t="s">
        <v>4725</v>
      </c>
      <c r="H59" s="4" t="s">
        <v>4726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4" t="s">
        <v>4727</v>
      </c>
      <c r="B60" s="4" t="s">
        <v>4728</v>
      </c>
      <c r="C60" s="4" t="s">
        <v>4729</v>
      </c>
      <c r="D60" s="4" t="s">
        <v>202</v>
      </c>
      <c r="E60" s="4" t="s">
        <v>4730</v>
      </c>
      <c r="F60" s="4" t="s">
        <v>4731</v>
      </c>
      <c r="G60" s="4" t="s">
        <v>4731</v>
      </c>
      <c r="H60" s="4" t="s">
        <v>4732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 t="s">
        <v>4733</v>
      </c>
      <c r="B61" s="4" t="s">
        <v>4728</v>
      </c>
      <c r="C61" s="4" t="s">
        <v>4734</v>
      </c>
      <c r="D61" s="4" t="s">
        <v>793</v>
      </c>
      <c r="E61" s="4" t="s">
        <v>4708</v>
      </c>
      <c r="F61" s="4" t="s">
        <v>4735</v>
      </c>
      <c r="G61" s="4" t="s">
        <v>4736</v>
      </c>
      <c r="H61" s="4" t="s">
        <v>4737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" t="s">
        <v>4738</v>
      </c>
      <c r="B62" s="4" t="s">
        <v>4739</v>
      </c>
      <c r="C62" s="4" t="s">
        <v>4740</v>
      </c>
      <c r="D62" s="4" t="s">
        <v>205</v>
      </c>
      <c r="E62" s="4" t="s">
        <v>4741</v>
      </c>
      <c r="F62" s="4" t="s">
        <v>4742</v>
      </c>
      <c r="G62" s="4" t="s">
        <v>4742</v>
      </c>
      <c r="H62" s="4" t="s">
        <v>4743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4" t="s">
        <v>4744</v>
      </c>
      <c r="B63" s="4" t="s">
        <v>4739</v>
      </c>
      <c r="C63" s="4" t="s">
        <v>4722</v>
      </c>
      <c r="D63" s="4" t="s">
        <v>792</v>
      </c>
      <c r="E63" s="4" t="s">
        <v>4730</v>
      </c>
      <c r="F63" s="4" t="s">
        <v>4745</v>
      </c>
      <c r="G63" s="4" t="s">
        <v>4745</v>
      </c>
      <c r="H63" s="4" t="s">
        <v>4746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4747</v>
      </c>
      <c r="B64" s="4" t="s">
        <v>4748</v>
      </c>
      <c r="C64" s="4" t="s">
        <v>4729</v>
      </c>
      <c r="D64" s="4" t="s">
        <v>793</v>
      </c>
      <c r="E64" s="4" t="s">
        <v>4749</v>
      </c>
      <c r="F64" s="4" t="s">
        <v>4750</v>
      </c>
      <c r="G64" s="4" t="s">
        <v>4751</v>
      </c>
      <c r="H64" s="4" t="s">
        <v>4750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4752</v>
      </c>
      <c r="B65" s="4" t="s">
        <v>4748</v>
      </c>
      <c r="C65" s="4" t="s">
        <v>4717</v>
      </c>
      <c r="D65" s="4" t="s">
        <v>198</v>
      </c>
      <c r="E65" s="4" t="s">
        <v>4730</v>
      </c>
      <c r="F65" s="4" t="s">
        <v>4753</v>
      </c>
      <c r="G65" s="4" t="s">
        <v>4754</v>
      </c>
      <c r="H65" s="4" t="s">
        <v>4755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" t="s">
        <v>4756</v>
      </c>
      <c r="B66" s="4" t="s">
        <v>4757</v>
      </c>
      <c r="C66" s="4" t="s">
        <v>4711</v>
      </c>
      <c r="D66" s="4" t="s">
        <v>215</v>
      </c>
      <c r="E66" s="4" t="s">
        <v>4758</v>
      </c>
      <c r="F66" s="4" t="s">
        <v>4759</v>
      </c>
      <c r="G66" s="4" t="s">
        <v>4759</v>
      </c>
      <c r="H66" s="4" t="s">
        <v>4760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4" t="s">
        <v>4761</v>
      </c>
      <c r="B67" s="4" t="s">
        <v>4757</v>
      </c>
      <c r="C67" s="4" t="s">
        <v>4762</v>
      </c>
      <c r="D67" s="4" t="s">
        <v>791</v>
      </c>
      <c r="E67" s="4" t="s">
        <v>4763</v>
      </c>
      <c r="F67" s="4" t="s">
        <v>4764</v>
      </c>
      <c r="G67" s="4" t="s">
        <v>4765</v>
      </c>
      <c r="H67" s="4" t="s">
        <v>4764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4766</v>
      </c>
      <c r="B68" s="4" t="s">
        <v>4767</v>
      </c>
      <c r="C68" s="4" t="s">
        <v>4729</v>
      </c>
      <c r="D68" s="4" t="s">
        <v>215</v>
      </c>
      <c r="E68" s="4" t="s">
        <v>4768</v>
      </c>
      <c r="F68" s="4" t="s">
        <v>4769</v>
      </c>
      <c r="G68" s="4" t="s">
        <v>4770</v>
      </c>
      <c r="H68" s="4" t="s">
        <v>4771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" t="s">
        <v>4772</v>
      </c>
      <c r="B69" s="4" t="s">
        <v>4767</v>
      </c>
      <c r="C69" s="4" t="s">
        <v>4734</v>
      </c>
      <c r="D69" s="4" t="s">
        <v>202</v>
      </c>
      <c r="E69" s="4" t="s">
        <v>4708</v>
      </c>
      <c r="F69" s="4" t="s">
        <v>4773</v>
      </c>
      <c r="G69" s="4" t="s">
        <v>4773</v>
      </c>
      <c r="H69" s="4" t="s">
        <v>4750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4727</v>
      </c>
      <c r="B70" s="4" t="s">
        <v>4774</v>
      </c>
      <c r="C70" s="4" t="s">
        <v>4707</v>
      </c>
      <c r="D70" s="4" t="s">
        <v>202</v>
      </c>
      <c r="E70" s="4" t="s">
        <v>4775</v>
      </c>
      <c r="F70" s="4" t="s">
        <v>4776</v>
      </c>
      <c r="G70" s="4" t="s">
        <v>4776</v>
      </c>
      <c r="H70" s="4" t="s">
        <v>4777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4" t="s">
        <v>4778</v>
      </c>
      <c r="B71" s="4" t="s">
        <v>4774</v>
      </c>
      <c r="C71" s="4" t="s">
        <v>4762</v>
      </c>
      <c r="D71" s="4" t="s">
        <v>205</v>
      </c>
      <c r="E71" s="4" t="s">
        <v>4749</v>
      </c>
      <c r="F71" s="4" t="s">
        <v>4779</v>
      </c>
      <c r="G71" s="4" t="s">
        <v>4779</v>
      </c>
      <c r="H71" s="4" t="s">
        <v>4720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4" t="s">
        <v>4780</v>
      </c>
      <c r="B72" s="4" t="s">
        <v>4781</v>
      </c>
      <c r="C72" s="4" t="s">
        <v>4711</v>
      </c>
      <c r="D72" s="4" t="s">
        <v>215</v>
      </c>
      <c r="E72" s="4" t="s">
        <v>4782</v>
      </c>
      <c r="F72" s="4" t="s">
        <v>4771</v>
      </c>
      <c r="G72" s="4" t="s">
        <v>4735</v>
      </c>
      <c r="H72" s="4" t="s">
        <v>4783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4" t="s">
        <v>4784</v>
      </c>
      <c r="B73" s="4" t="s">
        <v>4781</v>
      </c>
      <c r="C73" s="4" t="s">
        <v>4740</v>
      </c>
      <c r="D73" s="4" t="s">
        <v>198</v>
      </c>
      <c r="E73" s="4" t="s">
        <v>4749</v>
      </c>
      <c r="F73" s="4" t="s">
        <v>4785</v>
      </c>
      <c r="G73" s="4" t="s">
        <v>4786</v>
      </c>
      <c r="H73" s="4" t="s">
        <v>4726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4" t="s">
        <v>4787</v>
      </c>
      <c r="B74" s="4" t="s">
        <v>4788</v>
      </c>
      <c r="C74" s="4" t="s">
        <v>4762</v>
      </c>
      <c r="D74" s="4" t="s">
        <v>205</v>
      </c>
      <c r="E74" s="4" t="s">
        <v>4789</v>
      </c>
      <c r="F74" s="4" t="s">
        <v>4790</v>
      </c>
      <c r="G74" s="4" t="s">
        <v>4791</v>
      </c>
      <c r="H74" s="4" t="s">
        <v>4790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4" t="s">
        <v>4792</v>
      </c>
      <c r="B75" s="4" t="s">
        <v>4788</v>
      </c>
      <c r="C75" s="4" t="s">
        <v>4717</v>
      </c>
      <c r="D75" s="4" t="s">
        <v>791</v>
      </c>
      <c r="E75" s="4" t="s">
        <v>4793</v>
      </c>
      <c r="F75" s="4" t="s">
        <v>4794</v>
      </c>
      <c r="G75" s="4" t="s">
        <v>4795</v>
      </c>
      <c r="H75" s="4" t="s">
        <v>4796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4" t="s">
        <v>4797</v>
      </c>
      <c r="B76" s="4" t="s">
        <v>4798</v>
      </c>
      <c r="C76" s="4" t="s">
        <v>4734</v>
      </c>
      <c r="D76" s="4" t="s">
        <v>4799</v>
      </c>
      <c r="E76" s="4" t="s">
        <v>4758</v>
      </c>
      <c r="F76" s="4" t="s">
        <v>4777</v>
      </c>
      <c r="G76" s="4" t="s">
        <v>4800</v>
      </c>
      <c r="H76" s="4" t="s">
        <v>4777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4" t="s">
        <v>4801</v>
      </c>
      <c r="B77" s="4" t="s">
        <v>4798</v>
      </c>
      <c r="C77" s="4" t="s">
        <v>4740</v>
      </c>
      <c r="D77" s="4" t="s">
        <v>792</v>
      </c>
      <c r="E77" s="4" t="s">
        <v>4708</v>
      </c>
      <c r="F77" s="4" t="s">
        <v>4718</v>
      </c>
      <c r="G77" s="4" t="s">
        <v>4802</v>
      </c>
      <c r="H77" s="4" t="s">
        <v>4718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4" t="s">
        <v>4803</v>
      </c>
      <c r="B78" s="4" t="s">
        <v>4804</v>
      </c>
      <c r="C78" s="4" t="s">
        <v>4722</v>
      </c>
      <c r="D78" s="4" t="s">
        <v>791</v>
      </c>
      <c r="E78" s="4" t="s">
        <v>4793</v>
      </c>
      <c r="F78" s="4" t="s">
        <v>4795</v>
      </c>
      <c r="G78" s="4" t="s">
        <v>4805</v>
      </c>
      <c r="H78" s="4" t="s">
        <v>4795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4" t="s">
        <v>4756</v>
      </c>
      <c r="B79" s="4" t="s">
        <v>4804</v>
      </c>
      <c r="C79" s="4" t="s">
        <v>4707</v>
      </c>
      <c r="D79" s="4" t="s">
        <v>202</v>
      </c>
      <c r="E79" s="4" t="s">
        <v>4806</v>
      </c>
      <c r="F79" s="4" t="s">
        <v>4731</v>
      </c>
      <c r="G79" s="4" t="s">
        <v>4807</v>
      </c>
      <c r="H79" s="4" t="s">
        <v>4731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4" t="s">
        <v>4808</v>
      </c>
      <c r="B80" s="4" t="s">
        <v>4809</v>
      </c>
      <c r="C80" s="4" t="s">
        <v>4711</v>
      </c>
      <c r="D80" s="4" t="s">
        <v>198</v>
      </c>
      <c r="E80" s="4" t="s">
        <v>4708</v>
      </c>
      <c r="F80" s="4" t="s">
        <v>4791</v>
      </c>
      <c r="G80" s="4" t="s">
        <v>4810</v>
      </c>
      <c r="H80" s="4" t="s">
        <v>4791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4" t="s">
        <v>4811</v>
      </c>
      <c r="B81" s="4" t="s">
        <v>4812</v>
      </c>
      <c r="C81" s="4" t="s">
        <v>4729</v>
      </c>
      <c r="D81" s="4" t="s">
        <v>205</v>
      </c>
      <c r="E81" s="4" t="s">
        <v>4708</v>
      </c>
      <c r="F81" s="4" t="s">
        <v>4790</v>
      </c>
      <c r="G81" s="4" t="s">
        <v>4790</v>
      </c>
      <c r="H81" s="4" t="s">
        <v>4790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4" t="s">
        <v>4813</v>
      </c>
      <c r="B82" s="4" t="s">
        <v>4814</v>
      </c>
      <c r="C82" s="4" t="s">
        <v>4740</v>
      </c>
      <c r="D82" s="4" t="s">
        <v>202</v>
      </c>
      <c r="E82" s="4" t="s">
        <v>4708</v>
      </c>
      <c r="F82" s="4" t="s">
        <v>4773</v>
      </c>
      <c r="G82" s="4" t="s">
        <v>4776</v>
      </c>
      <c r="H82" s="4" t="s">
        <v>4773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4" t="s">
        <v>4815</v>
      </c>
      <c r="B83" s="4" t="s">
        <v>4816</v>
      </c>
      <c r="C83" s="4" t="s">
        <v>4722</v>
      </c>
      <c r="D83" s="4" t="s">
        <v>202</v>
      </c>
      <c r="E83" s="4" t="s">
        <v>4817</v>
      </c>
      <c r="F83" s="4" t="s">
        <v>4732</v>
      </c>
      <c r="G83" s="4" t="s">
        <v>4732</v>
      </c>
      <c r="H83" s="4" t="s">
        <v>4742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9" t="s">
        <v>4818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251" t="s">
        <v>111</v>
      </c>
      <c r="B87" s="251" t="s">
        <v>112</v>
      </c>
      <c r="C87" s="251" t="s">
        <v>113</v>
      </c>
      <c r="D87" s="251" t="s">
        <v>114</v>
      </c>
      <c r="E87" s="251" t="s">
        <v>4406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4" t="s">
        <v>196</v>
      </c>
      <c r="B88" s="4" t="s">
        <v>197</v>
      </c>
      <c r="C88" s="4" t="s">
        <v>198</v>
      </c>
      <c r="D88" s="4" t="s">
        <v>10</v>
      </c>
      <c r="E88" s="4">
        <v>20000.0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4" t="s">
        <v>200</v>
      </c>
      <c r="B89" s="4" t="s">
        <v>201</v>
      </c>
      <c r="C89" s="4" t="s">
        <v>202</v>
      </c>
      <c r="D89" s="4" t="s">
        <v>8</v>
      </c>
      <c r="E89" s="4">
        <v>20000.0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4" t="s">
        <v>203</v>
      </c>
      <c r="B90" s="4" t="s">
        <v>204</v>
      </c>
      <c r="C90" s="4" t="s">
        <v>205</v>
      </c>
      <c r="D90" s="4" t="s">
        <v>4</v>
      </c>
      <c r="E90" s="4">
        <v>40000.0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" t="s">
        <v>208</v>
      </c>
      <c r="B91" s="4" t="s">
        <v>201</v>
      </c>
      <c r="C91" s="4" t="s">
        <v>202</v>
      </c>
      <c r="D91" s="4" t="s">
        <v>8</v>
      </c>
      <c r="E91" s="4">
        <v>40000.0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4" t="s">
        <v>211</v>
      </c>
      <c r="B92" s="4" t="s">
        <v>160</v>
      </c>
      <c r="C92" s="4" t="s">
        <v>202</v>
      </c>
      <c r="D92" s="4" t="s">
        <v>123</v>
      </c>
      <c r="E92" s="4">
        <v>80000.0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4" t="s">
        <v>214</v>
      </c>
      <c r="B93" s="4" t="s">
        <v>215</v>
      </c>
      <c r="E93" s="4">
        <v>100000.0</v>
      </c>
    </row>
    <row r="94">
      <c r="A94" s="4" t="s">
        <v>170</v>
      </c>
      <c r="B94" s="4" t="s">
        <v>205</v>
      </c>
      <c r="E94" s="4">
        <v>160000.0</v>
      </c>
    </row>
    <row r="95">
      <c r="A95" s="4" t="s">
        <v>148</v>
      </c>
      <c r="B95" s="4" t="s">
        <v>202</v>
      </c>
      <c r="E95" s="4">
        <v>320000.0</v>
      </c>
    </row>
  </sheetData>
  <mergeCells count="7">
    <mergeCell ref="A1:L1"/>
    <mergeCell ref="A32:H32"/>
    <mergeCell ref="A54:H54"/>
    <mergeCell ref="A86:E86"/>
    <mergeCell ref="B93:D93"/>
    <mergeCell ref="B94:D94"/>
    <mergeCell ref="B95:D95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7" max="7" width="15.63"/>
    <col customWidth="1" min="9" max="9" width="15.25"/>
    <col customWidth="1" min="11" max="11" width="16.25"/>
  </cols>
  <sheetData>
    <row r="1">
      <c r="A1" s="380" t="s">
        <v>4819</v>
      </c>
      <c r="F1" s="380" t="s">
        <v>4820</v>
      </c>
    </row>
    <row r="2">
      <c r="A2" s="381" t="s">
        <v>13</v>
      </c>
      <c r="B2" s="381" t="s">
        <v>10</v>
      </c>
      <c r="C2" s="381" t="s">
        <v>17</v>
      </c>
      <c r="D2" s="381" t="s">
        <v>6</v>
      </c>
      <c r="E2" s="8"/>
      <c r="F2" s="381" t="s">
        <v>4821</v>
      </c>
      <c r="G2" s="381" t="s">
        <v>4822</v>
      </c>
      <c r="H2" s="381" t="s">
        <v>4702</v>
      </c>
      <c r="I2" s="381" t="s">
        <v>4703</v>
      </c>
      <c r="J2" s="381" t="s">
        <v>4823</v>
      </c>
      <c r="K2" s="381" t="s">
        <v>4704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382" t="s">
        <v>4824</v>
      </c>
      <c r="B3" s="382" t="s">
        <v>4825</v>
      </c>
      <c r="C3" s="382" t="s">
        <v>4826</v>
      </c>
      <c r="D3" s="382" t="s">
        <v>4827</v>
      </c>
      <c r="F3" s="4" t="s">
        <v>13</v>
      </c>
      <c r="G3" s="4" t="s">
        <v>10</v>
      </c>
      <c r="H3" s="4" t="s">
        <v>4828</v>
      </c>
      <c r="I3" s="4" t="s">
        <v>4829</v>
      </c>
      <c r="J3" s="4" t="s">
        <v>13</v>
      </c>
      <c r="K3" s="4" t="s">
        <v>4830</v>
      </c>
    </row>
    <row r="4">
      <c r="A4" s="31" t="s">
        <v>1782</v>
      </c>
      <c r="B4" s="382" t="s">
        <v>4831</v>
      </c>
      <c r="C4" s="382" t="s">
        <v>4832</v>
      </c>
      <c r="D4" s="382" t="s">
        <v>4833</v>
      </c>
      <c r="F4" s="4" t="s">
        <v>17</v>
      </c>
      <c r="G4" s="4" t="s">
        <v>6</v>
      </c>
      <c r="H4" s="4" t="s">
        <v>4828</v>
      </c>
      <c r="I4" s="4" t="s">
        <v>4834</v>
      </c>
      <c r="J4" s="4" t="s">
        <v>6</v>
      </c>
      <c r="K4" s="4" t="s">
        <v>4835</v>
      </c>
    </row>
    <row r="5">
      <c r="A5" s="31" t="s">
        <v>4836</v>
      </c>
      <c r="B5" s="382" t="s">
        <v>4837</v>
      </c>
      <c r="C5" s="382" t="s">
        <v>4188</v>
      </c>
      <c r="D5" s="382" t="s">
        <v>4838</v>
      </c>
      <c r="F5" s="4" t="s">
        <v>17</v>
      </c>
      <c r="G5" s="4" t="s">
        <v>13</v>
      </c>
      <c r="H5" s="37" t="s">
        <v>4839</v>
      </c>
      <c r="I5" s="4" t="s">
        <v>4834</v>
      </c>
      <c r="J5" s="4" t="s">
        <v>13</v>
      </c>
      <c r="K5" s="37" t="s">
        <v>4840</v>
      </c>
    </row>
    <row r="6">
      <c r="A6" s="382" t="s">
        <v>3363</v>
      </c>
      <c r="B6" s="382" t="s">
        <v>4841</v>
      </c>
      <c r="C6" s="382" t="s">
        <v>4842</v>
      </c>
      <c r="D6" s="31" t="s">
        <v>4843</v>
      </c>
      <c r="F6" s="4" t="s">
        <v>6</v>
      </c>
      <c r="G6" s="4" t="s">
        <v>10</v>
      </c>
      <c r="H6" s="4" t="s">
        <v>4839</v>
      </c>
      <c r="I6" s="4" t="s">
        <v>4844</v>
      </c>
      <c r="J6" s="4" t="s">
        <v>6</v>
      </c>
      <c r="K6" s="4" t="s">
        <v>4835</v>
      </c>
    </row>
    <row r="7">
      <c r="A7" s="382" t="s">
        <v>4845</v>
      </c>
      <c r="B7" s="31" t="s">
        <v>4846</v>
      </c>
      <c r="C7" s="382" t="s">
        <v>4847</v>
      </c>
      <c r="D7" s="382" t="s">
        <v>1451</v>
      </c>
      <c r="F7" s="4" t="s">
        <v>13</v>
      </c>
      <c r="G7" s="4" t="s">
        <v>6</v>
      </c>
      <c r="H7" s="4" t="s">
        <v>4848</v>
      </c>
      <c r="I7" s="4" t="s">
        <v>4829</v>
      </c>
      <c r="J7" s="4" t="s">
        <v>13</v>
      </c>
      <c r="K7" s="4" t="s">
        <v>4849</v>
      </c>
    </row>
    <row r="8">
      <c r="A8" s="31" t="s">
        <v>4850</v>
      </c>
      <c r="B8" s="31" t="s">
        <v>4851</v>
      </c>
      <c r="C8" s="382" t="s">
        <v>4072</v>
      </c>
      <c r="D8" s="382" t="s">
        <v>4852</v>
      </c>
      <c r="F8" s="4" t="s">
        <v>4853</v>
      </c>
      <c r="G8" s="4" t="s">
        <v>17</v>
      </c>
      <c r="H8" s="4" t="s">
        <v>4848</v>
      </c>
      <c r="I8" s="4" t="s">
        <v>4854</v>
      </c>
      <c r="J8" s="4" t="s">
        <v>17</v>
      </c>
      <c r="K8" s="4" t="s">
        <v>4855</v>
      </c>
    </row>
    <row r="9">
      <c r="A9" s="382" t="s">
        <v>3345</v>
      </c>
      <c r="B9" s="382" t="s">
        <v>4856</v>
      </c>
      <c r="C9" s="382" t="s">
        <v>4857</v>
      </c>
      <c r="D9" s="31" t="s">
        <v>4858</v>
      </c>
      <c r="F9" s="4" t="s">
        <v>4853</v>
      </c>
      <c r="G9" s="4" t="s">
        <v>13</v>
      </c>
      <c r="H9" s="4" t="s">
        <v>4859</v>
      </c>
      <c r="I9" s="4" t="s">
        <v>4854</v>
      </c>
      <c r="J9" s="4" t="s">
        <v>10</v>
      </c>
      <c r="K9" s="4" t="s">
        <v>4860</v>
      </c>
    </row>
    <row r="10">
      <c r="A10" s="31" t="s">
        <v>4861</v>
      </c>
      <c r="B10" s="31" t="s">
        <v>4862</v>
      </c>
      <c r="C10" s="382" t="s">
        <v>4863</v>
      </c>
      <c r="D10" s="31" t="s">
        <v>4864</v>
      </c>
      <c r="F10" s="4" t="s">
        <v>6</v>
      </c>
      <c r="G10" s="4" t="s">
        <v>17</v>
      </c>
      <c r="H10" s="4" t="s">
        <v>4859</v>
      </c>
      <c r="I10" s="4" t="s">
        <v>4844</v>
      </c>
      <c r="J10" s="4" t="s">
        <v>17</v>
      </c>
      <c r="K10" s="4" t="s">
        <v>4865</v>
      </c>
    </row>
    <row r="11">
      <c r="A11" s="382" t="s">
        <v>4866</v>
      </c>
      <c r="B11" s="31" t="s">
        <v>4867</v>
      </c>
      <c r="C11" s="382" t="s">
        <v>4868</v>
      </c>
      <c r="D11" s="31" t="s">
        <v>4869</v>
      </c>
      <c r="F11" s="4" t="s">
        <v>4870</v>
      </c>
      <c r="G11" s="37" t="s">
        <v>17</v>
      </c>
      <c r="H11" s="4" t="s">
        <v>4871</v>
      </c>
      <c r="I11" s="37" t="s">
        <v>4829</v>
      </c>
      <c r="J11" s="4" t="s">
        <v>17</v>
      </c>
      <c r="K11" s="4" t="s">
        <v>4872</v>
      </c>
    </row>
    <row r="12">
      <c r="A12" s="382" t="s">
        <v>4873</v>
      </c>
      <c r="B12" s="382" t="s">
        <v>4874</v>
      </c>
      <c r="C12" s="382" t="s">
        <v>4875</v>
      </c>
      <c r="D12" s="31" t="s">
        <v>4876</v>
      </c>
      <c r="F12" s="4" t="s">
        <v>4853</v>
      </c>
      <c r="G12" s="4" t="s">
        <v>6</v>
      </c>
      <c r="H12" s="4" t="s">
        <v>4871</v>
      </c>
      <c r="I12" s="4" t="s">
        <v>4854</v>
      </c>
      <c r="J12" s="4" t="s">
        <v>6</v>
      </c>
      <c r="K12" s="4" t="s">
        <v>4835</v>
      </c>
    </row>
    <row r="13">
      <c r="F13" s="4" t="s">
        <v>6</v>
      </c>
      <c r="G13" s="4" t="s">
        <v>13</v>
      </c>
      <c r="H13" s="4" t="s">
        <v>4877</v>
      </c>
      <c r="I13" s="4" t="s">
        <v>4844</v>
      </c>
      <c r="J13" s="4" t="s">
        <v>6</v>
      </c>
      <c r="K13" s="4" t="s">
        <v>4878</v>
      </c>
    </row>
    <row r="14">
      <c r="F14" s="4" t="s">
        <v>17</v>
      </c>
      <c r="G14" s="4" t="s">
        <v>10</v>
      </c>
      <c r="H14" s="4" t="s">
        <v>4877</v>
      </c>
      <c r="I14" s="4" t="s">
        <v>4834</v>
      </c>
      <c r="J14" s="4" t="s">
        <v>10</v>
      </c>
      <c r="K14" s="4" t="s">
        <v>4879</v>
      </c>
    </row>
    <row r="15">
      <c r="F15" s="4" t="s">
        <v>6</v>
      </c>
      <c r="G15" s="4" t="s">
        <v>13</v>
      </c>
      <c r="H15" s="4" t="s">
        <v>4880</v>
      </c>
      <c r="I15" s="4" t="s">
        <v>4844</v>
      </c>
      <c r="J15" s="4" t="s">
        <v>13</v>
      </c>
      <c r="K15" s="4" t="s">
        <v>4830</v>
      </c>
    </row>
    <row r="16">
      <c r="F16" s="8"/>
      <c r="G16" s="8"/>
      <c r="H16" s="8"/>
      <c r="I16" s="8"/>
      <c r="J16" s="8"/>
      <c r="K16" s="8"/>
    </row>
    <row r="17">
      <c r="F17" s="8"/>
      <c r="G17" s="8"/>
      <c r="H17" s="8"/>
      <c r="I17" s="8"/>
      <c r="J17" s="8"/>
      <c r="K17" s="8"/>
    </row>
    <row r="18">
      <c r="F18" s="8"/>
      <c r="G18" s="8"/>
      <c r="H18" s="8"/>
      <c r="I18" s="8"/>
      <c r="J18" s="8"/>
      <c r="K18" s="8"/>
    </row>
    <row r="19">
      <c r="A19" s="19" t="s">
        <v>4881</v>
      </c>
      <c r="E19" s="25"/>
      <c r="F19" s="8"/>
      <c r="G19" s="8"/>
      <c r="H19" s="8"/>
      <c r="I19" s="8"/>
      <c r="J19" s="8"/>
      <c r="K19" s="8"/>
    </row>
    <row r="20">
      <c r="A20" s="251" t="s">
        <v>111</v>
      </c>
      <c r="B20" s="251" t="s">
        <v>112</v>
      </c>
      <c r="C20" s="251" t="s">
        <v>114</v>
      </c>
      <c r="D20" s="251" t="s">
        <v>4406</v>
      </c>
      <c r="F20" s="8"/>
      <c r="G20" s="8"/>
      <c r="H20" s="8"/>
      <c r="I20" s="8"/>
      <c r="J20" s="8"/>
      <c r="K20" s="8"/>
    </row>
    <row r="21">
      <c r="A21" s="4" t="s">
        <v>206</v>
      </c>
      <c r="B21" s="4" t="s">
        <v>207</v>
      </c>
      <c r="D21" s="4">
        <v>30000.0</v>
      </c>
      <c r="F21" s="8"/>
      <c r="G21" s="8"/>
      <c r="H21" s="8"/>
      <c r="I21" s="8"/>
      <c r="J21" s="8"/>
      <c r="K21" s="8"/>
    </row>
    <row r="22">
      <c r="A22" s="4" t="s">
        <v>209</v>
      </c>
      <c r="B22" s="4" t="s">
        <v>210</v>
      </c>
      <c r="D22" s="4">
        <v>30000.0</v>
      </c>
      <c r="F22" s="8"/>
      <c r="G22" s="8"/>
      <c r="H22" s="8"/>
      <c r="I22" s="8"/>
      <c r="J22" s="8"/>
      <c r="K22" s="8"/>
    </row>
    <row r="23">
      <c r="A23" s="4" t="s">
        <v>212</v>
      </c>
      <c r="B23" s="4" t="s">
        <v>213</v>
      </c>
      <c r="D23" s="4">
        <v>30000.0</v>
      </c>
      <c r="F23" s="8"/>
      <c r="G23" s="8"/>
      <c r="H23" s="8"/>
      <c r="I23" s="8"/>
      <c r="J23" s="8"/>
      <c r="K23" s="8"/>
    </row>
    <row r="24">
      <c r="A24" s="4" t="s">
        <v>180</v>
      </c>
      <c r="B24" s="4" t="s">
        <v>193</v>
      </c>
      <c r="C24" s="4" t="s">
        <v>13</v>
      </c>
      <c r="D24" s="4">
        <v>20000.0</v>
      </c>
      <c r="F24" s="8"/>
      <c r="G24" s="8"/>
      <c r="H24" s="8"/>
      <c r="I24" s="8"/>
      <c r="J24" s="8"/>
      <c r="K24" s="8"/>
    </row>
    <row r="25">
      <c r="A25" s="4" t="s">
        <v>128</v>
      </c>
      <c r="B25" s="4" t="s">
        <v>194</v>
      </c>
      <c r="C25" s="4" t="s">
        <v>17</v>
      </c>
      <c r="D25" s="4">
        <v>20000.0</v>
      </c>
      <c r="F25" s="8"/>
      <c r="G25" s="8"/>
      <c r="H25" s="8"/>
      <c r="I25" s="8"/>
      <c r="J25" s="8"/>
      <c r="K25" s="8"/>
    </row>
    <row r="26">
      <c r="A26" s="4" t="s">
        <v>135</v>
      </c>
      <c r="B26" s="4" t="s">
        <v>199</v>
      </c>
      <c r="C26" s="4" t="s">
        <v>6</v>
      </c>
      <c r="D26" s="4">
        <v>20000.0</v>
      </c>
      <c r="F26" s="8"/>
      <c r="G26" s="8"/>
      <c r="H26" s="8"/>
      <c r="I26" s="8"/>
      <c r="J26" s="8"/>
      <c r="K26" s="8"/>
    </row>
    <row r="27">
      <c r="A27" s="4" t="s">
        <v>140</v>
      </c>
      <c r="B27" s="4" t="s">
        <v>199</v>
      </c>
      <c r="C27" s="4" t="s">
        <v>6</v>
      </c>
      <c r="D27" s="4">
        <v>25000.0</v>
      </c>
      <c r="F27" s="8"/>
      <c r="G27" s="8"/>
      <c r="H27" s="8"/>
      <c r="I27" s="8"/>
      <c r="J27" s="8"/>
      <c r="K27" s="8"/>
    </row>
    <row r="28">
      <c r="A28" s="4" t="s">
        <v>145</v>
      </c>
      <c r="B28" s="4" t="s">
        <v>6</v>
      </c>
      <c r="D28" s="4">
        <v>50000.0</v>
      </c>
      <c r="F28" s="8"/>
      <c r="G28" s="8"/>
      <c r="H28" s="8"/>
      <c r="I28" s="8"/>
      <c r="J28" s="8"/>
      <c r="K28" s="8"/>
    </row>
    <row r="29">
      <c r="A29" s="4" t="s">
        <v>148</v>
      </c>
      <c r="B29" s="4" t="s">
        <v>13</v>
      </c>
      <c r="D29" s="4">
        <v>100000.0</v>
      </c>
      <c r="F29" s="8"/>
      <c r="G29" s="8"/>
      <c r="H29" s="8"/>
      <c r="I29" s="8"/>
      <c r="J29" s="8"/>
      <c r="K29" s="8"/>
    </row>
    <row r="30">
      <c r="F30" s="8"/>
      <c r="G30" s="8"/>
      <c r="H30" s="8"/>
      <c r="I30" s="8"/>
      <c r="J30" s="8"/>
      <c r="K30" s="8"/>
    </row>
    <row r="31">
      <c r="F31" s="8"/>
      <c r="G31" s="8"/>
      <c r="H31" s="8"/>
      <c r="I31" s="8"/>
      <c r="J31" s="8"/>
      <c r="K31" s="8"/>
    </row>
    <row r="32">
      <c r="F32" s="8"/>
      <c r="G32" s="8"/>
      <c r="H32" s="8"/>
      <c r="I32" s="8"/>
      <c r="J32" s="8"/>
      <c r="K32" s="8"/>
    </row>
    <row r="33">
      <c r="F33" s="8"/>
      <c r="G33" s="8"/>
      <c r="H33" s="8"/>
      <c r="I33" s="8"/>
      <c r="J33" s="8"/>
      <c r="K33" s="8"/>
    </row>
    <row r="34">
      <c r="F34" s="8"/>
      <c r="G34" s="8"/>
      <c r="H34" s="8"/>
      <c r="I34" s="8"/>
      <c r="J34" s="8"/>
      <c r="K34" s="8"/>
    </row>
    <row r="35">
      <c r="F35" s="8"/>
      <c r="G35" s="8"/>
      <c r="H35" s="8"/>
      <c r="I35" s="8"/>
      <c r="J35" s="8"/>
      <c r="K35" s="8"/>
    </row>
    <row r="36">
      <c r="F36" s="8"/>
      <c r="G36" s="8"/>
      <c r="H36" s="8"/>
      <c r="I36" s="8"/>
      <c r="J36" s="8"/>
      <c r="K36" s="8"/>
    </row>
    <row r="37">
      <c r="F37" s="8"/>
      <c r="G37" s="8"/>
      <c r="H37" s="8"/>
      <c r="I37" s="8"/>
      <c r="J37" s="8"/>
      <c r="K37" s="8"/>
    </row>
    <row r="38">
      <c r="F38" s="8"/>
      <c r="G38" s="8"/>
      <c r="H38" s="8"/>
      <c r="I38" s="8"/>
      <c r="J38" s="8"/>
      <c r="K38" s="8"/>
    </row>
    <row r="39">
      <c r="F39" s="8"/>
      <c r="G39" s="8"/>
      <c r="H39" s="8"/>
      <c r="I39" s="8"/>
      <c r="J39" s="8"/>
      <c r="K39" s="8"/>
    </row>
    <row r="40">
      <c r="F40" s="8"/>
      <c r="G40" s="8"/>
      <c r="H40" s="8"/>
      <c r="I40" s="8"/>
      <c r="J40" s="8"/>
      <c r="K40" s="8"/>
    </row>
    <row r="41">
      <c r="F41" s="8"/>
      <c r="G41" s="8"/>
      <c r="H41" s="8"/>
      <c r="I41" s="8"/>
      <c r="J41" s="8"/>
      <c r="K41" s="8"/>
    </row>
    <row r="42">
      <c r="F42" s="8"/>
      <c r="G42" s="8"/>
      <c r="H42" s="8"/>
      <c r="I42" s="8"/>
      <c r="J42" s="8"/>
      <c r="K42" s="8"/>
    </row>
    <row r="43">
      <c r="F43" s="8"/>
      <c r="G43" s="8"/>
      <c r="H43" s="8"/>
      <c r="I43" s="8"/>
      <c r="J43" s="8"/>
      <c r="K43" s="8"/>
    </row>
    <row r="44">
      <c r="F44" s="8"/>
      <c r="G44" s="8"/>
      <c r="H44" s="8"/>
      <c r="I44" s="8"/>
      <c r="J44" s="8"/>
      <c r="K44" s="8"/>
    </row>
    <row r="45">
      <c r="F45" s="8"/>
      <c r="G45" s="8"/>
      <c r="H45" s="8"/>
      <c r="I45" s="8"/>
      <c r="J45" s="8"/>
      <c r="K45" s="8"/>
    </row>
    <row r="46">
      <c r="F46" s="8"/>
      <c r="G46" s="8"/>
      <c r="H46" s="8"/>
      <c r="I46" s="8"/>
      <c r="J46" s="8"/>
      <c r="K46" s="8"/>
    </row>
    <row r="47">
      <c r="F47" s="8"/>
      <c r="G47" s="8"/>
      <c r="H47" s="8"/>
      <c r="I47" s="8"/>
      <c r="J47" s="8"/>
      <c r="K47" s="8"/>
    </row>
    <row r="48">
      <c r="F48" s="8"/>
      <c r="G48" s="8"/>
      <c r="H48" s="8"/>
      <c r="I48" s="8"/>
      <c r="J48" s="8"/>
      <c r="K48" s="8"/>
    </row>
    <row r="49">
      <c r="F49" s="8"/>
      <c r="G49" s="8"/>
      <c r="H49" s="8"/>
      <c r="I49" s="8"/>
      <c r="J49" s="8"/>
      <c r="K49" s="8"/>
    </row>
    <row r="50">
      <c r="F50" s="8"/>
      <c r="G50" s="8"/>
      <c r="H50" s="8"/>
      <c r="I50" s="8"/>
      <c r="J50" s="8"/>
      <c r="K50" s="8"/>
    </row>
    <row r="51">
      <c r="F51" s="8"/>
      <c r="G51" s="8"/>
      <c r="H51" s="8"/>
      <c r="I51" s="8"/>
      <c r="J51" s="8"/>
      <c r="K51" s="8"/>
    </row>
    <row r="52">
      <c r="F52" s="8"/>
      <c r="G52" s="8"/>
      <c r="H52" s="8"/>
      <c r="I52" s="8"/>
      <c r="J52" s="8"/>
      <c r="K52" s="8"/>
    </row>
    <row r="53">
      <c r="F53" s="8"/>
      <c r="G53" s="8"/>
      <c r="H53" s="8"/>
      <c r="I53" s="8"/>
      <c r="J53" s="8"/>
      <c r="K53" s="8"/>
    </row>
    <row r="54">
      <c r="F54" s="8"/>
      <c r="G54" s="8"/>
      <c r="H54" s="8"/>
      <c r="I54" s="8"/>
      <c r="J54" s="8"/>
      <c r="K54" s="8"/>
    </row>
    <row r="55">
      <c r="F55" s="8"/>
      <c r="G55" s="8"/>
      <c r="H55" s="8"/>
      <c r="I55" s="8"/>
      <c r="J55" s="8"/>
      <c r="K55" s="8"/>
    </row>
    <row r="56">
      <c r="F56" s="8"/>
      <c r="G56" s="8"/>
      <c r="H56" s="8"/>
      <c r="I56" s="8"/>
      <c r="J56" s="8"/>
      <c r="K56" s="8"/>
    </row>
    <row r="57">
      <c r="F57" s="8"/>
      <c r="G57" s="8"/>
      <c r="H57" s="8"/>
      <c r="I57" s="8"/>
      <c r="J57" s="8"/>
      <c r="K57" s="8"/>
    </row>
    <row r="58">
      <c r="F58" s="8"/>
      <c r="G58" s="8"/>
      <c r="H58" s="8"/>
      <c r="I58" s="8"/>
      <c r="J58" s="8"/>
      <c r="K58" s="8"/>
    </row>
    <row r="59">
      <c r="F59" s="8"/>
      <c r="G59" s="8"/>
      <c r="H59" s="8"/>
      <c r="I59" s="8"/>
      <c r="J59" s="8"/>
      <c r="K59" s="8"/>
    </row>
    <row r="60">
      <c r="F60" s="8"/>
      <c r="G60" s="8"/>
      <c r="H60" s="8"/>
      <c r="I60" s="8"/>
      <c r="J60" s="8"/>
      <c r="K60" s="8"/>
    </row>
    <row r="61">
      <c r="F61" s="8"/>
      <c r="G61" s="8"/>
      <c r="H61" s="8"/>
      <c r="I61" s="8"/>
      <c r="J61" s="8"/>
      <c r="K61" s="8"/>
    </row>
    <row r="62">
      <c r="F62" s="8"/>
      <c r="G62" s="8"/>
      <c r="H62" s="8"/>
      <c r="I62" s="8"/>
      <c r="J62" s="8"/>
      <c r="K62" s="8"/>
    </row>
    <row r="63">
      <c r="F63" s="8"/>
      <c r="G63" s="8"/>
      <c r="H63" s="8"/>
      <c r="I63" s="8"/>
      <c r="J63" s="8"/>
      <c r="K63" s="8"/>
    </row>
    <row r="64">
      <c r="F64" s="8"/>
      <c r="G64" s="8"/>
      <c r="H64" s="8"/>
      <c r="I64" s="8"/>
      <c r="J64" s="8"/>
      <c r="K64" s="8"/>
    </row>
    <row r="65">
      <c r="F65" s="8"/>
      <c r="G65" s="8"/>
      <c r="H65" s="8"/>
      <c r="I65" s="8"/>
      <c r="J65" s="8"/>
      <c r="K65" s="8"/>
    </row>
    <row r="66">
      <c r="F66" s="8"/>
      <c r="G66" s="8"/>
      <c r="H66" s="8"/>
      <c r="I66" s="8"/>
      <c r="J66" s="8"/>
      <c r="K66" s="8"/>
    </row>
    <row r="67">
      <c r="F67" s="8"/>
      <c r="G67" s="8"/>
      <c r="H67" s="8"/>
      <c r="I67" s="8"/>
      <c r="J67" s="8"/>
      <c r="K67" s="8"/>
    </row>
    <row r="68">
      <c r="F68" s="8"/>
      <c r="G68" s="8"/>
      <c r="H68" s="8"/>
      <c r="I68" s="8"/>
      <c r="J68" s="8"/>
      <c r="K68" s="8"/>
    </row>
    <row r="69">
      <c r="F69" s="8"/>
      <c r="G69" s="8"/>
      <c r="H69" s="8"/>
      <c r="I69" s="8"/>
      <c r="J69" s="8"/>
      <c r="K69" s="8"/>
    </row>
    <row r="70">
      <c r="F70" s="8"/>
      <c r="G70" s="8"/>
      <c r="H70" s="8"/>
      <c r="I70" s="8"/>
      <c r="J70" s="8"/>
      <c r="K70" s="8"/>
    </row>
    <row r="71">
      <c r="F71" s="8"/>
      <c r="G71" s="8"/>
      <c r="H71" s="8"/>
      <c r="I71" s="8"/>
      <c r="J71" s="8"/>
      <c r="K71" s="8"/>
    </row>
    <row r="72">
      <c r="F72" s="8"/>
      <c r="G72" s="8"/>
      <c r="H72" s="8"/>
      <c r="I72" s="8"/>
      <c r="J72" s="8"/>
      <c r="K72" s="8"/>
    </row>
    <row r="73">
      <c r="F73" s="8"/>
      <c r="G73" s="8"/>
      <c r="H73" s="8"/>
      <c r="I73" s="8"/>
      <c r="J73" s="8"/>
      <c r="K73" s="8"/>
    </row>
    <row r="74">
      <c r="F74" s="8"/>
      <c r="G74" s="8"/>
      <c r="H74" s="8"/>
      <c r="I74" s="8"/>
      <c r="J74" s="8"/>
      <c r="K74" s="8"/>
    </row>
    <row r="75">
      <c r="F75" s="8"/>
      <c r="G75" s="8"/>
      <c r="H75" s="8"/>
      <c r="I75" s="8"/>
      <c r="J75" s="8"/>
      <c r="K75" s="8"/>
    </row>
    <row r="76">
      <c r="F76" s="8"/>
      <c r="G76" s="8"/>
      <c r="H76" s="8"/>
      <c r="I76" s="8"/>
      <c r="J76" s="8"/>
      <c r="K76" s="8"/>
    </row>
    <row r="77">
      <c r="F77" s="8"/>
      <c r="G77" s="8"/>
      <c r="H77" s="8"/>
      <c r="I77" s="8"/>
      <c r="J77" s="8"/>
      <c r="K77" s="8"/>
    </row>
    <row r="78">
      <c r="F78" s="8"/>
      <c r="G78" s="8"/>
      <c r="H78" s="8"/>
      <c r="I78" s="8"/>
      <c r="J78" s="8"/>
      <c r="K78" s="8"/>
    </row>
    <row r="79">
      <c r="F79" s="8"/>
      <c r="G79" s="8"/>
      <c r="H79" s="8"/>
      <c r="I79" s="8"/>
      <c r="J79" s="8"/>
      <c r="K79" s="8"/>
    </row>
    <row r="80">
      <c r="F80" s="8"/>
      <c r="G80" s="8"/>
      <c r="H80" s="8"/>
      <c r="I80" s="8"/>
      <c r="J80" s="8"/>
      <c r="K80" s="8"/>
    </row>
    <row r="81">
      <c r="F81" s="8"/>
      <c r="G81" s="8"/>
      <c r="H81" s="8"/>
      <c r="I81" s="8"/>
      <c r="J81" s="8"/>
      <c r="K81" s="8"/>
    </row>
    <row r="82">
      <c r="F82" s="8"/>
      <c r="G82" s="8"/>
      <c r="H82" s="8"/>
      <c r="I82" s="8"/>
      <c r="J82" s="8"/>
      <c r="K82" s="8"/>
    </row>
    <row r="83">
      <c r="F83" s="8"/>
      <c r="G83" s="8"/>
      <c r="H83" s="8"/>
      <c r="I83" s="8"/>
      <c r="J83" s="8"/>
      <c r="K83" s="8"/>
    </row>
    <row r="84">
      <c r="F84" s="8"/>
      <c r="G84" s="8"/>
      <c r="H84" s="8"/>
      <c r="I84" s="8"/>
      <c r="J84" s="8"/>
      <c r="K84" s="8"/>
    </row>
    <row r="85">
      <c r="F85" s="8"/>
      <c r="G85" s="8"/>
      <c r="H85" s="8"/>
      <c r="I85" s="8"/>
      <c r="J85" s="8"/>
      <c r="K85" s="8"/>
    </row>
    <row r="86">
      <c r="F86" s="8"/>
      <c r="G86" s="8"/>
      <c r="H86" s="8"/>
      <c r="I86" s="8"/>
      <c r="J86" s="8"/>
      <c r="K86" s="8"/>
    </row>
    <row r="87">
      <c r="F87" s="8"/>
      <c r="G87" s="8"/>
      <c r="H87" s="8"/>
      <c r="I87" s="8"/>
      <c r="J87" s="8"/>
      <c r="K87" s="8"/>
    </row>
    <row r="88">
      <c r="F88" s="8"/>
      <c r="G88" s="8"/>
      <c r="H88" s="8"/>
      <c r="I88" s="8"/>
      <c r="J88" s="8"/>
      <c r="K88" s="8"/>
    </row>
    <row r="89">
      <c r="F89" s="8"/>
      <c r="G89" s="8"/>
      <c r="H89" s="8"/>
      <c r="I89" s="8"/>
      <c r="J89" s="8"/>
      <c r="K89" s="8"/>
    </row>
    <row r="90">
      <c r="F90" s="8"/>
      <c r="G90" s="8"/>
      <c r="H90" s="8"/>
      <c r="I90" s="8"/>
      <c r="J90" s="8"/>
      <c r="K90" s="8"/>
    </row>
    <row r="91">
      <c r="F91" s="8"/>
      <c r="G91" s="8"/>
      <c r="H91" s="8"/>
      <c r="I91" s="8"/>
      <c r="J91" s="8"/>
      <c r="K91" s="8"/>
    </row>
    <row r="92">
      <c r="F92" s="8"/>
      <c r="G92" s="8"/>
      <c r="H92" s="8"/>
      <c r="I92" s="8"/>
      <c r="J92" s="8"/>
      <c r="K92" s="8"/>
    </row>
    <row r="93">
      <c r="F93" s="8"/>
      <c r="G93" s="8"/>
      <c r="H93" s="8"/>
      <c r="I93" s="8"/>
      <c r="J93" s="8"/>
      <c r="K93" s="8"/>
    </row>
    <row r="94">
      <c r="F94" s="8"/>
      <c r="G94" s="8"/>
      <c r="H94" s="8"/>
      <c r="I94" s="8"/>
      <c r="J94" s="8"/>
      <c r="K94" s="8"/>
    </row>
    <row r="95">
      <c r="F95" s="8"/>
      <c r="G95" s="8"/>
      <c r="H95" s="8"/>
      <c r="I95" s="8"/>
      <c r="J95" s="8"/>
      <c r="K95" s="8"/>
    </row>
    <row r="96">
      <c r="F96" s="8"/>
      <c r="G96" s="8"/>
      <c r="H96" s="8"/>
      <c r="I96" s="8"/>
      <c r="J96" s="8"/>
      <c r="K96" s="8"/>
    </row>
    <row r="97">
      <c r="F97" s="8"/>
      <c r="G97" s="8"/>
      <c r="H97" s="8"/>
      <c r="I97" s="8"/>
      <c r="J97" s="8"/>
      <c r="K97" s="8"/>
    </row>
    <row r="98">
      <c r="F98" s="8"/>
      <c r="G98" s="8"/>
      <c r="H98" s="8"/>
      <c r="I98" s="8"/>
      <c r="J98" s="8"/>
      <c r="K98" s="8"/>
    </row>
    <row r="99">
      <c r="F99" s="8"/>
      <c r="G99" s="8"/>
      <c r="H99" s="8"/>
      <c r="I99" s="8"/>
      <c r="J99" s="8"/>
      <c r="K99" s="8"/>
    </row>
    <row r="100">
      <c r="F100" s="8"/>
      <c r="G100" s="8"/>
      <c r="H100" s="8"/>
      <c r="I100" s="8"/>
      <c r="J100" s="8"/>
      <c r="K100" s="8"/>
    </row>
    <row r="101">
      <c r="F101" s="8"/>
      <c r="G101" s="8"/>
      <c r="H101" s="8"/>
      <c r="I101" s="8"/>
      <c r="J101" s="8"/>
      <c r="K101" s="8"/>
    </row>
    <row r="102">
      <c r="F102" s="8"/>
      <c r="G102" s="8"/>
      <c r="H102" s="8"/>
      <c r="I102" s="8"/>
      <c r="J102" s="8"/>
      <c r="K102" s="8"/>
    </row>
    <row r="103">
      <c r="F103" s="8"/>
      <c r="G103" s="8"/>
      <c r="H103" s="8"/>
      <c r="I103" s="8"/>
      <c r="J103" s="8"/>
      <c r="K103" s="8"/>
    </row>
    <row r="104">
      <c r="F104" s="8"/>
      <c r="G104" s="8"/>
      <c r="H104" s="8"/>
      <c r="I104" s="8"/>
      <c r="J104" s="8"/>
      <c r="K104" s="8"/>
    </row>
    <row r="105">
      <c r="F105" s="8"/>
      <c r="G105" s="8"/>
      <c r="H105" s="8"/>
      <c r="I105" s="8"/>
      <c r="J105" s="8"/>
      <c r="K105" s="8"/>
    </row>
    <row r="106">
      <c r="F106" s="8"/>
      <c r="G106" s="8"/>
      <c r="H106" s="8"/>
      <c r="I106" s="8"/>
      <c r="J106" s="8"/>
      <c r="K106" s="8"/>
    </row>
    <row r="107">
      <c r="F107" s="8"/>
      <c r="G107" s="8"/>
      <c r="H107" s="8"/>
      <c r="I107" s="8"/>
      <c r="J107" s="8"/>
      <c r="K107" s="8"/>
    </row>
    <row r="108">
      <c r="F108" s="8"/>
      <c r="G108" s="8"/>
      <c r="H108" s="8"/>
      <c r="I108" s="8"/>
      <c r="J108" s="8"/>
      <c r="K108" s="8"/>
    </row>
    <row r="109">
      <c r="F109" s="8"/>
      <c r="G109" s="8"/>
      <c r="H109" s="8"/>
      <c r="I109" s="8"/>
      <c r="J109" s="8"/>
      <c r="K109" s="8"/>
    </row>
    <row r="110">
      <c r="F110" s="8"/>
      <c r="G110" s="8"/>
      <c r="H110" s="8"/>
      <c r="I110" s="8"/>
      <c r="J110" s="8"/>
      <c r="K110" s="8"/>
    </row>
    <row r="111">
      <c r="F111" s="8"/>
      <c r="G111" s="8"/>
      <c r="H111" s="8"/>
      <c r="I111" s="8"/>
      <c r="J111" s="8"/>
      <c r="K111" s="8"/>
    </row>
    <row r="112">
      <c r="F112" s="8"/>
      <c r="G112" s="8"/>
      <c r="H112" s="8"/>
      <c r="I112" s="8"/>
      <c r="J112" s="8"/>
      <c r="K112" s="8"/>
    </row>
    <row r="113">
      <c r="F113" s="8"/>
      <c r="G113" s="8"/>
      <c r="H113" s="8"/>
      <c r="I113" s="8"/>
      <c r="J113" s="8"/>
      <c r="K113" s="8"/>
    </row>
    <row r="114">
      <c r="F114" s="8"/>
      <c r="G114" s="8"/>
      <c r="H114" s="8"/>
      <c r="I114" s="8"/>
      <c r="J114" s="8"/>
      <c r="K114" s="8"/>
    </row>
    <row r="115">
      <c r="F115" s="8"/>
      <c r="G115" s="8"/>
      <c r="H115" s="8"/>
      <c r="I115" s="8"/>
      <c r="J115" s="8"/>
      <c r="K115" s="8"/>
    </row>
    <row r="116">
      <c r="F116" s="8"/>
      <c r="G116" s="8"/>
      <c r="H116" s="8"/>
      <c r="I116" s="8"/>
      <c r="J116" s="8"/>
      <c r="K116" s="8"/>
    </row>
    <row r="117">
      <c r="F117" s="8"/>
      <c r="G117" s="8"/>
      <c r="H117" s="8"/>
      <c r="I117" s="8"/>
      <c r="J117" s="8"/>
      <c r="K117" s="8"/>
    </row>
    <row r="118">
      <c r="F118" s="8"/>
      <c r="G118" s="8"/>
      <c r="H118" s="8"/>
      <c r="I118" s="8"/>
      <c r="J118" s="8"/>
      <c r="K118" s="8"/>
    </row>
    <row r="119">
      <c r="F119" s="8"/>
      <c r="G119" s="8"/>
      <c r="H119" s="8"/>
      <c r="I119" s="8"/>
      <c r="J119" s="8"/>
      <c r="K119" s="8"/>
    </row>
    <row r="120">
      <c r="F120" s="8"/>
      <c r="G120" s="8"/>
      <c r="H120" s="8"/>
      <c r="I120" s="8"/>
      <c r="J120" s="8"/>
      <c r="K120" s="8"/>
    </row>
    <row r="121">
      <c r="F121" s="8"/>
      <c r="G121" s="8"/>
      <c r="H121" s="8"/>
      <c r="I121" s="8"/>
      <c r="J121" s="8"/>
      <c r="K121" s="8"/>
    </row>
    <row r="122">
      <c r="F122" s="8"/>
      <c r="G122" s="8"/>
      <c r="H122" s="8"/>
      <c r="I122" s="8"/>
      <c r="J122" s="8"/>
      <c r="K122" s="8"/>
    </row>
    <row r="123">
      <c r="F123" s="8"/>
      <c r="G123" s="8"/>
      <c r="H123" s="8"/>
      <c r="I123" s="8"/>
      <c r="J123" s="8"/>
      <c r="K123" s="8"/>
    </row>
    <row r="124">
      <c r="F124" s="8"/>
      <c r="G124" s="8"/>
      <c r="H124" s="8"/>
      <c r="I124" s="8"/>
      <c r="J124" s="8"/>
      <c r="K124" s="8"/>
    </row>
    <row r="125">
      <c r="F125" s="8"/>
      <c r="G125" s="8"/>
      <c r="H125" s="8"/>
      <c r="I125" s="8"/>
      <c r="J125" s="8"/>
      <c r="K125" s="8"/>
    </row>
    <row r="126">
      <c r="F126" s="8"/>
      <c r="G126" s="8"/>
      <c r="H126" s="8"/>
      <c r="I126" s="8"/>
      <c r="J126" s="8"/>
      <c r="K126" s="8"/>
    </row>
    <row r="127">
      <c r="F127" s="8"/>
      <c r="G127" s="8"/>
      <c r="H127" s="8"/>
      <c r="I127" s="8"/>
      <c r="J127" s="8"/>
      <c r="K127" s="8"/>
    </row>
    <row r="128">
      <c r="F128" s="8"/>
      <c r="G128" s="8"/>
      <c r="H128" s="8"/>
      <c r="I128" s="8"/>
      <c r="J128" s="8"/>
      <c r="K128" s="8"/>
    </row>
    <row r="129">
      <c r="F129" s="8"/>
      <c r="G129" s="8"/>
      <c r="H129" s="8"/>
      <c r="I129" s="8"/>
      <c r="J129" s="8"/>
      <c r="K129" s="8"/>
    </row>
    <row r="130">
      <c r="F130" s="8"/>
      <c r="G130" s="8"/>
      <c r="H130" s="8"/>
      <c r="I130" s="8"/>
      <c r="J130" s="8"/>
      <c r="K130" s="8"/>
    </row>
    <row r="131">
      <c r="F131" s="8"/>
      <c r="G131" s="8"/>
      <c r="H131" s="8"/>
      <c r="I131" s="8"/>
      <c r="J131" s="8"/>
      <c r="K131" s="8"/>
    </row>
    <row r="132">
      <c r="F132" s="8"/>
      <c r="G132" s="8"/>
      <c r="H132" s="8"/>
      <c r="I132" s="8"/>
      <c r="J132" s="8"/>
      <c r="K132" s="8"/>
    </row>
    <row r="133">
      <c r="F133" s="8"/>
      <c r="G133" s="8"/>
      <c r="H133" s="8"/>
      <c r="I133" s="8"/>
      <c r="J133" s="8"/>
      <c r="K133" s="8"/>
    </row>
    <row r="134">
      <c r="F134" s="8"/>
      <c r="G134" s="8"/>
      <c r="H134" s="8"/>
      <c r="I134" s="8"/>
      <c r="J134" s="8"/>
      <c r="K134" s="8"/>
    </row>
    <row r="135">
      <c r="F135" s="8"/>
      <c r="G135" s="8"/>
      <c r="H135" s="8"/>
      <c r="I135" s="8"/>
      <c r="J135" s="8"/>
      <c r="K135" s="8"/>
    </row>
    <row r="136">
      <c r="F136" s="8"/>
      <c r="G136" s="8"/>
      <c r="H136" s="8"/>
      <c r="I136" s="8"/>
      <c r="J136" s="8"/>
      <c r="K136" s="8"/>
    </row>
    <row r="137">
      <c r="F137" s="8"/>
      <c r="G137" s="8"/>
      <c r="H137" s="8"/>
      <c r="I137" s="8"/>
      <c r="J137" s="8"/>
      <c r="K137" s="8"/>
    </row>
    <row r="138">
      <c r="F138" s="8"/>
      <c r="G138" s="8"/>
      <c r="H138" s="8"/>
      <c r="I138" s="8"/>
      <c r="J138" s="8"/>
      <c r="K138" s="8"/>
    </row>
    <row r="139">
      <c r="F139" s="8"/>
      <c r="G139" s="8"/>
      <c r="H139" s="8"/>
      <c r="I139" s="8"/>
      <c r="J139" s="8"/>
      <c r="K139" s="8"/>
    </row>
    <row r="140">
      <c r="F140" s="8"/>
      <c r="G140" s="8"/>
      <c r="H140" s="8"/>
      <c r="I140" s="8"/>
      <c r="J140" s="8"/>
      <c r="K140" s="8"/>
    </row>
    <row r="141">
      <c r="F141" s="8"/>
      <c r="G141" s="8"/>
      <c r="H141" s="8"/>
      <c r="I141" s="8"/>
      <c r="J141" s="8"/>
      <c r="K141" s="8"/>
    </row>
    <row r="142">
      <c r="F142" s="8"/>
      <c r="G142" s="8"/>
      <c r="H142" s="8"/>
      <c r="I142" s="8"/>
      <c r="J142" s="8"/>
      <c r="K142" s="8"/>
    </row>
    <row r="143">
      <c r="F143" s="8"/>
      <c r="G143" s="8"/>
      <c r="H143" s="8"/>
      <c r="I143" s="8"/>
      <c r="J143" s="8"/>
      <c r="K143" s="8"/>
    </row>
    <row r="144">
      <c r="F144" s="8"/>
      <c r="G144" s="8"/>
      <c r="H144" s="8"/>
      <c r="I144" s="8"/>
      <c r="J144" s="8"/>
      <c r="K144" s="8"/>
    </row>
    <row r="145">
      <c r="F145" s="8"/>
      <c r="G145" s="8"/>
      <c r="H145" s="8"/>
      <c r="I145" s="8"/>
      <c r="J145" s="8"/>
      <c r="K145" s="8"/>
    </row>
    <row r="146">
      <c r="F146" s="8"/>
      <c r="G146" s="8"/>
      <c r="H146" s="8"/>
      <c r="I146" s="8"/>
      <c r="J146" s="8"/>
      <c r="K146" s="8"/>
    </row>
    <row r="147">
      <c r="F147" s="8"/>
      <c r="G147" s="8"/>
      <c r="H147" s="8"/>
      <c r="I147" s="8"/>
      <c r="J147" s="8"/>
      <c r="K147" s="8"/>
    </row>
    <row r="148">
      <c r="F148" s="8"/>
      <c r="G148" s="8"/>
      <c r="H148" s="8"/>
      <c r="I148" s="8"/>
      <c r="J148" s="8"/>
      <c r="K148" s="8"/>
    </row>
    <row r="149">
      <c r="F149" s="8"/>
      <c r="G149" s="8"/>
      <c r="H149" s="8"/>
      <c r="I149" s="8"/>
      <c r="J149" s="8"/>
      <c r="K149" s="8"/>
    </row>
    <row r="150">
      <c r="F150" s="8"/>
      <c r="G150" s="8"/>
      <c r="H150" s="8"/>
      <c r="I150" s="8"/>
      <c r="J150" s="8"/>
      <c r="K150" s="8"/>
    </row>
    <row r="151">
      <c r="F151" s="8"/>
      <c r="G151" s="8"/>
      <c r="H151" s="8"/>
      <c r="I151" s="8"/>
      <c r="J151" s="8"/>
      <c r="K151" s="8"/>
    </row>
    <row r="152">
      <c r="F152" s="8"/>
      <c r="G152" s="8"/>
      <c r="H152" s="8"/>
      <c r="I152" s="8"/>
      <c r="J152" s="8"/>
      <c r="K152" s="8"/>
    </row>
    <row r="153">
      <c r="F153" s="8"/>
      <c r="G153" s="8"/>
      <c r="H153" s="8"/>
      <c r="I153" s="8"/>
      <c r="J153" s="8"/>
      <c r="K153" s="8"/>
    </row>
    <row r="154">
      <c r="F154" s="8"/>
      <c r="G154" s="8"/>
      <c r="H154" s="8"/>
      <c r="I154" s="8"/>
      <c r="J154" s="8"/>
      <c r="K154" s="8"/>
    </row>
    <row r="155">
      <c r="F155" s="8"/>
      <c r="G155" s="8"/>
      <c r="H155" s="8"/>
      <c r="I155" s="8"/>
      <c r="J155" s="8"/>
      <c r="K155" s="8"/>
    </row>
    <row r="156">
      <c r="F156" s="8"/>
      <c r="G156" s="8"/>
      <c r="H156" s="8"/>
      <c r="I156" s="8"/>
      <c r="J156" s="8"/>
      <c r="K156" s="8"/>
    </row>
    <row r="157">
      <c r="F157" s="8"/>
      <c r="G157" s="8"/>
      <c r="H157" s="8"/>
      <c r="I157" s="8"/>
      <c r="J157" s="8"/>
      <c r="K157" s="8"/>
    </row>
    <row r="158">
      <c r="F158" s="8"/>
      <c r="G158" s="8"/>
      <c r="H158" s="8"/>
      <c r="I158" s="8"/>
      <c r="J158" s="8"/>
      <c r="K158" s="8"/>
    </row>
    <row r="159">
      <c r="F159" s="8"/>
      <c r="G159" s="8"/>
      <c r="H159" s="8"/>
      <c r="I159" s="8"/>
      <c r="J159" s="8"/>
      <c r="K159" s="8"/>
    </row>
    <row r="160">
      <c r="F160" s="8"/>
      <c r="G160" s="8"/>
      <c r="H160" s="8"/>
      <c r="I160" s="8"/>
      <c r="J160" s="8"/>
      <c r="K160" s="8"/>
    </row>
    <row r="161">
      <c r="F161" s="8"/>
      <c r="G161" s="8"/>
      <c r="H161" s="8"/>
      <c r="I161" s="8"/>
      <c r="J161" s="8"/>
      <c r="K161" s="8"/>
    </row>
    <row r="162">
      <c r="F162" s="8"/>
      <c r="G162" s="8"/>
      <c r="H162" s="8"/>
      <c r="I162" s="8"/>
      <c r="J162" s="8"/>
      <c r="K162" s="8"/>
    </row>
    <row r="163">
      <c r="F163" s="8"/>
      <c r="G163" s="8"/>
      <c r="H163" s="8"/>
      <c r="I163" s="8"/>
      <c r="J163" s="8"/>
      <c r="K163" s="8"/>
    </row>
    <row r="164">
      <c r="F164" s="8"/>
      <c r="G164" s="8"/>
      <c r="H164" s="8"/>
      <c r="I164" s="8"/>
      <c r="J164" s="8"/>
      <c r="K164" s="8"/>
    </row>
    <row r="165">
      <c r="F165" s="8"/>
      <c r="G165" s="8"/>
      <c r="H165" s="8"/>
      <c r="I165" s="8"/>
      <c r="J165" s="8"/>
      <c r="K165" s="8"/>
    </row>
    <row r="166">
      <c r="F166" s="8"/>
      <c r="G166" s="8"/>
      <c r="H166" s="8"/>
      <c r="I166" s="8"/>
      <c r="J166" s="8"/>
      <c r="K166" s="8"/>
    </row>
    <row r="167">
      <c r="F167" s="8"/>
      <c r="G167" s="8"/>
      <c r="H167" s="8"/>
      <c r="I167" s="8"/>
      <c r="J167" s="8"/>
      <c r="K167" s="8"/>
    </row>
    <row r="168">
      <c r="F168" s="8"/>
      <c r="G168" s="8"/>
      <c r="H168" s="8"/>
      <c r="I168" s="8"/>
      <c r="J168" s="8"/>
      <c r="K168" s="8"/>
    </row>
    <row r="169">
      <c r="F169" s="8"/>
      <c r="G169" s="8"/>
      <c r="H169" s="8"/>
      <c r="I169" s="8"/>
      <c r="J169" s="8"/>
      <c r="K169" s="8"/>
    </row>
    <row r="170">
      <c r="F170" s="8"/>
      <c r="G170" s="8"/>
      <c r="H170" s="8"/>
      <c r="I170" s="8"/>
      <c r="J170" s="8"/>
      <c r="K170" s="8"/>
    </row>
    <row r="171">
      <c r="F171" s="8"/>
      <c r="G171" s="8"/>
      <c r="H171" s="8"/>
      <c r="I171" s="8"/>
      <c r="J171" s="8"/>
      <c r="K171" s="8"/>
    </row>
    <row r="172">
      <c r="F172" s="8"/>
      <c r="G172" s="8"/>
      <c r="H172" s="8"/>
      <c r="I172" s="8"/>
      <c r="J172" s="8"/>
      <c r="K172" s="8"/>
    </row>
    <row r="173">
      <c r="F173" s="8"/>
      <c r="G173" s="8"/>
      <c r="H173" s="8"/>
      <c r="I173" s="8"/>
      <c r="J173" s="8"/>
      <c r="K173" s="8"/>
    </row>
    <row r="174">
      <c r="F174" s="8"/>
      <c r="G174" s="8"/>
      <c r="H174" s="8"/>
      <c r="I174" s="8"/>
      <c r="J174" s="8"/>
      <c r="K174" s="8"/>
    </row>
    <row r="175">
      <c r="F175" s="8"/>
      <c r="G175" s="8"/>
      <c r="H175" s="8"/>
      <c r="I175" s="8"/>
      <c r="J175" s="8"/>
      <c r="K175" s="8"/>
    </row>
    <row r="176">
      <c r="F176" s="8"/>
      <c r="G176" s="8"/>
      <c r="H176" s="8"/>
      <c r="I176" s="8"/>
      <c r="J176" s="8"/>
      <c r="K176" s="8"/>
    </row>
    <row r="177">
      <c r="F177" s="8"/>
      <c r="G177" s="8"/>
      <c r="H177" s="8"/>
      <c r="I177" s="8"/>
      <c r="J177" s="8"/>
      <c r="K177" s="8"/>
    </row>
    <row r="178">
      <c r="F178" s="8"/>
      <c r="G178" s="8"/>
      <c r="H178" s="8"/>
      <c r="I178" s="8"/>
      <c r="J178" s="8"/>
      <c r="K178" s="8"/>
    </row>
    <row r="179">
      <c r="F179" s="8"/>
      <c r="G179" s="8"/>
      <c r="H179" s="8"/>
      <c r="I179" s="8"/>
      <c r="J179" s="8"/>
      <c r="K179" s="8"/>
    </row>
    <row r="180">
      <c r="F180" s="8"/>
      <c r="G180" s="8"/>
      <c r="H180" s="8"/>
      <c r="I180" s="8"/>
      <c r="J180" s="8"/>
      <c r="K180" s="8"/>
    </row>
    <row r="181">
      <c r="F181" s="8"/>
      <c r="G181" s="8"/>
      <c r="H181" s="8"/>
      <c r="I181" s="8"/>
      <c r="J181" s="8"/>
      <c r="K181" s="8"/>
    </row>
    <row r="182">
      <c r="F182" s="8"/>
      <c r="G182" s="8"/>
      <c r="H182" s="8"/>
      <c r="I182" s="8"/>
      <c r="J182" s="8"/>
      <c r="K182" s="8"/>
    </row>
    <row r="183">
      <c r="F183" s="8"/>
      <c r="G183" s="8"/>
      <c r="H183" s="8"/>
      <c r="I183" s="8"/>
      <c r="J183" s="8"/>
      <c r="K183" s="8"/>
    </row>
    <row r="184">
      <c r="F184" s="8"/>
      <c r="G184" s="8"/>
      <c r="H184" s="8"/>
      <c r="I184" s="8"/>
      <c r="J184" s="8"/>
      <c r="K184" s="8"/>
    </row>
    <row r="185">
      <c r="F185" s="8"/>
      <c r="G185" s="8"/>
      <c r="H185" s="8"/>
      <c r="I185" s="8"/>
      <c r="J185" s="8"/>
      <c r="K185" s="8"/>
    </row>
    <row r="186">
      <c r="F186" s="8"/>
      <c r="G186" s="8"/>
      <c r="H186" s="8"/>
      <c r="I186" s="8"/>
      <c r="J186" s="8"/>
      <c r="K186" s="8"/>
    </row>
    <row r="187">
      <c r="F187" s="8"/>
      <c r="G187" s="8"/>
      <c r="H187" s="8"/>
      <c r="I187" s="8"/>
      <c r="J187" s="8"/>
      <c r="K187" s="8"/>
    </row>
    <row r="188">
      <c r="F188" s="8"/>
      <c r="G188" s="8"/>
      <c r="H188" s="8"/>
      <c r="I188" s="8"/>
      <c r="J188" s="8"/>
      <c r="K188" s="8"/>
    </row>
    <row r="189">
      <c r="F189" s="8"/>
      <c r="G189" s="8"/>
      <c r="H189" s="8"/>
      <c r="I189" s="8"/>
      <c r="J189" s="8"/>
      <c r="K189" s="8"/>
    </row>
    <row r="190">
      <c r="F190" s="8"/>
      <c r="G190" s="8"/>
      <c r="H190" s="8"/>
      <c r="I190" s="8"/>
      <c r="J190" s="8"/>
      <c r="K190" s="8"/>
    </row>
    <row r="191">
      <c r="F191" s="8"/>
      <c r="G191" s="8"/>
      <c r="H191" s="8"/>
      <c r="I191" s="8"/>
      <c r="J191" s="8"/>
      <c r="K191" s="8"/>
    </row>
    <row r="192">
      <c r="F192" s="8"/>
      <c r="G192" s="8"/>
      <c r="H192" s="8"/>
      <c r="I192" s="8"/>
      <c r="J192" s="8"/>
      <c r="K192" s="8"/>
    </row>
    <row r="193">
      <c r="F193" s="8"/>
      <c r="G193" s="8"/>
      <c r="H193" s="8"/>
      <c r="I193" s="8"/>
      <c r="J193" s="8"/>
      <c r="K193" s="8"/>
    </row>
    <row r="194">
      <c r="F194" s="8"/>
      <c r="G194" s="8"/>
      <c r="H194" s="8"/>
      <c r="I194" s="8"/>
      <c r="J194" s="8"/>
      <c r="K194" s="8"/>
    </row>
    <row r="195">
      <c r="F195" s="8"/>
      <c r="G195" s="8"/>
      <c r="H195" s="8"/>
      <c r="I195" s="8"/>
      <c r="J195" s="8"/>
      <c r="K195" s="8"/>
    </row>
    <row r="196">
      <c r="F196" s="8"/>
      <c r="G196" s="8"/>
      <c r="H196" s="8"/>
      <c r="I196" s="8"/>
      <c r="J196" s="8"/>
      <c r="K196" s="8"/>
    </row>
    <row r="197">
      <c r="F197" s="8"/>
      <c r="G197" s="8"/>
      <c r="H197" s="8"/>
      <c r="I197" s="8"/>
      <c r="J197" s="8"/>
      <c r="K197" s="8"/>
    </row>
    <row r="198">
      <c r="F198" s="8"/>
      <c r="G198" s="8"/>
      <c r="H198" s="8"/>
      <c r="I198" s="8"/>
      <c r="J198" s="8"/>
      <c r="K198" s="8"/>
    </row>
    <row r="199">
      <c r="F199" s="8"/>
      <c r="G199" s="8"/>
      <c r="H199" s="8"/>
      <c r="I199" s="8"/>
      <c r="J199" s="8"/>
      <c r="K199" s="8"/>
    </row>
    <row r="200">
      <c r="F200" s="8"/>
      <c r="G200" s="8"/>
      <c r="H200" s="8"/>
      <c r="I200" s="8"/>
      <c r="J200" s="8"/>
      <c r="K200" s="8"/>
    </row>
    <row r="201">
      <c r="F201" s="8"/>
      <c r="G201" s="8"/>
      <c r="H201" s="8"/>
      <c r="I201" s="8"/>
      <c r="J201" s="8"/>
      <c r="K201" s="8"/>
    </row>
    <row r="202">
      <c r="F202" s="8"/>
      <c r="G202" s="8"/>
      <c r="H202" s="8"/>
      <c r="I202" s="8"/>
      <c r="J202" s="8"/>
      <c r="K202" s="8"/>
    </row>
    <row r="203">
      <c r="F203" s="8"/>
      <c r="G203" s="8"/>
      <c r="H203" s="8"/>
      <c r="I203" s="8"/>
      <c r="J203" s="8"/>
      <c r="K203" s="8"/>
    </row>
    <row r="204">
      <c r="F204" s="8"/>
      <c r="G204" s="8"/>
      <c r="H204" s="8"/>
      <c r="I204" s="8"/>
      <c r="J204" s="8"/>
      <c r="K204" s="8"/>
    </row>
    <row r="205">
      <c r="F205" s="8"/>
      <c r="G205" s="8"/>
      <c r="H205" s="8"/>
      <c r="I205" s="8"/>
      <c r="J205" s="8"/>
      <c r="K205" s="8"/>
    </row>
    <row r="206">
      <c r="F206" s="8"/>
      <c r="G206" s="8"/>
      <c r="H206" s="8"/>
      <c r="I206" s="8"/>
      <c r="J206" s="8"/>
      <c r="K206" s="8"/>
    </row>
    <row r="207">
      <c r="F207" s="8"/>
      <c r="G207" s="8"/>
      <c r="H207" s="8"/>
      <c r="I207" s="8"/>
      <c r="J207" s="8"/>
      <c r="K207" s="8"/>
    </row>
    <row r="208">
      <c r="F208" s="8"/>
      <c r="G208" s="8"/>
      <c r="H208" s="8"/>
      <c r="I208" s="8"/>
      <c r="J208" s="8"/>
      <c r="K208" s="8"/>
    </row>
    <row r="209">
      <c r="F209" s="8"/>
      <c r="G209" s="8"/>
      <c r="H209" s="8"/>
      <c r="I209" s="8"/>
      <c r="J209" s="8"/>
      <c r="K209" s="8"/>
    </row>
    <row r="210">
      <c r="F210" s="8"/>
      <c r="G210" s="8"/>
      <c r="H210" s="8"/>
      <c r="I210" s="8"/>
      <c r="J210" s="8"/>
      <c r="K210" s="8"/>
    </row>
    <row r="211">
      <c r="F211" s="8"/>
      <c r="G211" s="8"/>
      <c r="H211" s="8"/>
      <c r="I211" s="8"/>
      <c r="J211" s="8"/>
      <c r="K211" s="8"/>
    </row>
    <row r="212">
      <c r="F212" s="8"/>
      <c r="G212" s="8"/>
      <c r="H212" s="8"/>
      <c r="I212" s="8"/>
      <c r="J212" s="8"/>
      <c r="K212" s="8"/>
    </row>
    <row r="213">
      <c r="F213" s="8"/>
      <c r="G213" s="8"/>
      <c r="H213" s="8"/>
      <c r="I213" s="8"/>
      <c r="J213" s="8"/>
      <c r="K213" s="8"/>
    </row>
    <row r="214">
      <c r="F214" s="8"/>
      <c r="G214" s="8"/>
      <c r="H214" s="8"/>
      <c r="I214" s="8"/>
      <c r="J214" s="8"/>
      <c r="K214" s="8"/>
    </row>
    <row r="215">
      <c r="F215" s="8"/>
      <c r="G215" s="8"/>
      <c r="H215" s="8"/>
      <c r="I215" s="8"/>
      <c r="J215" s="8"/>
      <c r="K215" s="8"/>
    </row>
    <row r="216">
      <c r="F216" s="8"/>
      <c r="G216" s="8"/>
      <c r="H216" s="8"/>
      <c r="I216" s="8"/>
      <c r="J216" s="8"/>
      <c r="K216" s="8"/>
    </row>
    <row r="217">
      <c r="F217" s="8"/>
      <c r="G217" s="8"/>
      <c r="H217" s="8"/>
      <c r="I217" s="8"/>
      <c r="J217" s="8"/>
      <c r="K217" s="8"/>
    </row>
    <row r="218">
      <c r="F218" s="8"/>
      <c r="G218" s="8"/>
      <c r="H218" s="8"/>
      <c r="I218" s="8"/>
      <c r="J218" s="8"/>
      <c r="K218" s="8"/>
    </row>
    <row r="219">
      <c r="F219" s="8"/>
      <c r="G219" s="8"/>
      <c r="H219" s="8"/>
      <c r="I219" s="8"/>
      <c r="J219" s="8"/>
      <c r="K219" s="8"/>
    </row>
    <row r="220">
      <c r="F220" s="8"/>
      <c r="G220" s="8"/>
      <c r="H220" s="8"/>
      <c r="I220" s="8"/>
      <c r="J220" s="8"/>
      <c r="K220" s="8"/>
    </row>
    <row r="221">
      <c r="F221" s="8"/>
      <c r="G221" s="8"/>
      <c r="H221" s="8"/>
      <c r="I221" s="8"/>
      <c r="J221" s="8"/>
      <c r="K221" s="8"/>
    </row>
    <row r="222">
      <c r="F222" s="8"/>
      <c r="G222" s="8"/>
      <c r="H222" s="8"/>
      <c r="I222" s="8"/>
      <c r="J222" s="8"/>
      <c r="K222" s="8"/>
    </row>
    <row r="223">
      <c r="F223" s="8"/>
      <c r="G223" s="8"/>
      <c r="H223" s="8"/>
      <c r="I223" s="8"/>
      <c r="J223" s="8"/>
      <c r="K223" s="8"/>
    </row>
    <row r="224">
      <c r="F224" s="8"/>
      <c r="G224" s="8"/>
      <c r="H224" s="8"/>
      <c r="I224" s="8"/>
      <c r="J224" s="8"/>
      <c r="K224" s="8"/>
    </row>
    <row r="225">
      <c r="F225" s="8"/>
      <c r="G225" s="8"/>
      <c r="H225" s="8"/>
      <c r="I225" s="8"/>
      <c r="J225" s="8"/>
      <c r="K225" s="8"/>
    </row>
    <row r="226">
      <c r="F226" s="8"/>
      <c r="G226" s="8"/>
      <c r="H226" s="8"/>
      <c r="I226" s="8"/>
      <c r="J226" s="8"/>
      <c r="K226" s="8"/>
    </row>
    <row r="227">
      <c r="F227" s="8"/>
      <c r="G227" s="8"/>
      <c r="H227" s="8"/>
      <c r="I227" s="8"/>
      <c r="J227" s="8"/>
      <c r="K227" s="8"/>
    </row>
    <row r="228">
      <c r="F228" s="8"/>
      <c r="G228" s="8"/>
      <c r="H228" s="8"/>
      <c r="I228" s="8"/>
      <c r="J228" s="8"/>
      <c r="K228" s="8"/>
    </row>
    <row r="229">
      <c r="F229" s="8"/>
      <c r="G229" s="8"/>
      <c r="H229" s="8"/>
      <c r="I229" s="8"/>
      <c r="J229" s="8"/>
      <c r="K229" s="8"/>
    </row>
    <row r="230">
      <c r="F230" s="8"/>
      <c r="G230" s="8"/>
      <c r="H230" s="8"/>
      <c r="I230" s="8"/>
      <c r="J230" s="8"/>
      <c r="K230" s="8"/>
    </row>
    <row r="231">
      <c r="F231" s="8"/>
      <c r="G231" s="8"/>
      <c r="H231" s="8"/>
      <c r="I231" s="8"/>
      <c r="J231" s="8"/>
      <c r="K231" s="8"/>
    </row>
    <row r="232">
      <c r="F232" s="8"/>
      <c r="G232" s="8"/>
      <c r="H232" s="8"/>
      <c r="I232" s="8"/>
      <c r="J232" s="8"/>
      <c r="K232" s="8"/>
    </row>
    <row r="233">
      <c r="F233" s="8"/>
      <c r="G233" s="8"/>
      <c r="H233" s="8"/>
      <c r="I233" s="8"/>
      <c r="J233" s="8"/>
      <c r="K233" s="8"/>
    </row>
    <row r="234">
      <c r="F234" s="8"/>
      <c r="G234" s="8"/>
      <c r="H234" s="8"/>
      <c r="I234" s="8"/>
      <c r="J234" s="8"/>
      <c r="K234" s="8"/>
    </row>
    <row r="235">
      <c r="F235" s="8"/>
      <c r="G235" s="8"/>
      <c r="H235" s="8"/>
      <c r="I235" s="8"/>
      <c r="J235" s="8"/>
      <c r="K235" s="8"/>
    </row>
    <row r="236">
      <c r="F236" s="8"/>
      <c r="G236" s="8"/>
      <c r="H236" s="8"/>
      <c r="I236" s="8"/>
      <c r="J236" s="8"/>
      <c r="K236" s="8"/>
    </row>
    <row r="237">
      <c r="F237" s="8"/>
      <c r="G237" s="8"/>
      <c r="H237" s="8"/>
      <c r="I237" s="8"/>
      <c r="J237" s="8"/>
      <c r="K237" s="8"/>
    </row>
    <row r="238">
      <c r="F238" s="8"/>
      <c r="G238" s="8"/>
      <c r="H238" s="8"/>
      <c r="I238" s="8"/>
      <c r="J238" s="8"/>
      <c r="K238" s="8"/>
    </row>
    <row r="239">
      <c r="F239" s="8"/>
      <c r="G239" s="8"/>
      <c r="H239" s="8"/>
      <c r="I239" s="8"/>
      <c r="J239" s="8"/>
      <c r="K239" s="8"/>
    </row>
    <row r="240">
      <c r="F240" s="8"/>
      <c r="G240" s="8"/>
      <c r="H240" s="8"/>
      <c r="I240" s="8"/>
      <c r="J240" s="8"/>
      <c r="K240" s="8"/>
    </row>
    <row r="241">
      <c r="F241" s="8"/>
      <c r="G241" s="8"/>
      <c r="H241" s="8"/>
      <c r="I241" s="8"/>
      <c r="J241" s="8"/>
      <c r="K241" s="8"/>
    </row>
    <row r="242">
      <c r="F242" s="8"/>
      <c r="G242" s="8"/>
      <c r="H242" s="8"/>
      <c r="I242" s="8"/>
      <c r="J242" s="8"/>
      <c r="K242" s="8"/>
    </row>
    <row r="243">
      <c r="F243" s="8"/>
      <c r="G243" s="8"/>
      <c r="H243" s="8"/>
      <c r="I243" s="8"/>
      <c r="J243" s="8"/>
      <c r="K243" s="8"/>
    </row>
    <row r="244">
      <c r="F244" s="8"/>
      <c r="G244" s="8"/>
      <c r="H244" s="8"/>
      <c r="I244" s="8"/>
      <c r="J244" s="8"/>
      <c r="K244" s="8"/>
    </row>
    <row r="245">
      <c r="F245" s="8"/>
      <c r="G245" s="8"/>
      <c r="H245" s="8"/>
      <c r="I245" s="8"/>
      <c r="J245" s="8"/>
      <c r="K245" s="8"/>
    </row>
    <row r="246">
      <c r="F246" s="8"/>
      <c r="G246" s="8"/>
      <c r="H246" s="8"/>
      <c r="I246" s="8"/>
      <c r="J246" s="8"/>
      <c r="K246" s="8"/>
    </row>
    <row r="247">
      <c r="F247" s="8"/>
      <c r="G247" s="8"/>
      <c r="H247" s="8"/>
      <c r="I247" s="8"/>
      <c r="J247" s="8"/>
      <c r="K247" s="8"/>
    </row>
    <row r="248">
      <c r="F248" s="8"/>
      <c r="G248" s="8"/>
      <c r="H248" s="8"/>
      <c r="I248" s="8"/>
      <c r="J248" s="8"/>
      <c r="K248" s="8"/>
    </row>
    <row r="249">
      <c r="F249" s="8"/>
      <c r="G249" s="8"/>
      <c r="H249" s="8"/>
      <c r="I249" s="8"/>
      <c r="J249" s="8"/>
      <c r="K249" s="8"/>
    </row>
    <row r="250">
      <c r="F250" s="8"/>
      <c r="G250" s="8"/>
      <c r="H250" s="8"/>
      <c r="I250" s="8"/>
      <c r="J250" s="8"/>
      <c r="K250" s="8"/>
    </row>
    <row r="251">
      <c r="F251" s="8"/>
      <c r="G251" s="8"/>
      <c r="H251" s="8"/>
      <c r="I251" s="8"/>
      <c r="J251" s="8"/>
      <c r="K251" s="8"/>
    </row>
    <row r="252">
      <c r="F252" s="8"/>
      <c r="G252" s="8"/>
      <c r="H252" s="8"/>
      <c r="I252" s="8"/>
      <c r="J252" s="8"/>
      <c r="K252" s="8"/>
    </row>
    <row r="253">
      <c r="F253" s="8"/>
      <c r="G253" s="8"/>
      <c r="H253" s="8"/>
      <c r="I253" s="8"/>
      <c r="J253" s="8"/>
      <c r="K253" s="8"/>
    </row>
    <row r="254">
      <c r="F254" s="8"/>
      <c r="G254" s="8"/>
      <c r="H254" s="8"/>
      <c r="I254" s="8"/>
      <c r="J254" s="8"/>
      <c r="K254" s="8"/>
    </row>
    <row r="255">
      <c r="F255" s="8"/>
      <c r="G255" s="8"/>
      <c r="H255" s="8"/>
      <c r="I255" s="8"/>
      <c r="J255" s="8"/>
      <c r="K255" s="8"/>
    </row>
    <row r="256">
      <c r="F256" s="8"/>
      <c r="G256" s="8"/>
      <c r="H256" s="8"/>
      <c r="I256" s="8"/>
      <c r="J256" s="8"/>
      <c r="K256" s="8"/>
    </row>
    <row r="257">
      <c r="F257" s="8"/>
      <c r="G257" s="8"/>
      <c r="H257" s="8"/>
      <c r="I257" s="8"/>
      <c r="J257" s="8"/>
      <c r="K257" s="8"/>
    </row>
    <row r="258">
      <c r="F258" s="8"/>
      <c r="G258" s="8"/>
      <c r="H258" s="8"/>
      <c r="I258" s="8"/>
      <c r="J258" s="8"/>
      <c r="K258" s="8"/>
    </row>
    <row r="259">
      <c r="F259" s="8"/>
      <c r="G259" s="8"/>
      <c r="H259" s="8"/>
      <c r="I259" s="8"/>
      <c r="J259" s="8"/>
      <c r="K259" s="8"/>
    </row>
    <row r="260">
      <c r="F260" s="8"/>
      <c r="G260" s="8"/>
      <c r="H260" s="8"/>
      <c r="I260" s="8"/>
      <c r="J260" s="8"/>
      <c r="K260" s="8"/>
    </row>
    <row r="261">
      <c r="F261" s="8"/>
      <c r="G261" s="8"/>
      <c r="H261" s="8"/>
      <c r="I261" s="8"/>
      <c r="J261" s="8"/>
      <c r="K261" s="8"/>
    </row>
    <row r="262">
      <c r="F262" s="8"/>
      <c r="G262" s="8"/>
      <c r="H262" s="8"/>
      <c r="I262" s="8"/>
      <c r="J262" s="8"/>
      <c r="K262" s="8"/>
    </row>
    <row r="263">
      <c r="F263" s="8"/>
      <c r="G263" s="8"/>
      <c r="H263" s="8"/>
      <c r="I263" s="8"/>
      <c r="J263" s="8"/>
      <c r="K263" s="8"/>
    </row>
    <row r="264">
      <c r="F264" s="8"/>
      <c r="G264" s="8"/>
      <c r="H264" s="8"/>
      <c r="I264" s="8"/>
      <c r="J264" s="8"/>
      <c r="K264" s="8"/>
    </row>
    <row r="265">
      <c r="F265" s="8"/>
      <c r="G265" s="8"/>
      <c r="H265" s="8"/>
      <c r="I265" s="8"/>
      <c r="J265" s="8"/>
      <c r="K265" s="8"/>
    </row>
    <row r="266">
      <c r="F266" s="8"/>
      <c r="G266" s="8"/>
      <c r="H266" s="8"/>
      <c r="I266" s="8"/>
      <c r="J266" s="8"/>
      <c r="K266" s="8"/>
    </row>
    <row r="267">
      <c r="F267" s="8"/>
      <c r="G267" s="8"/>
      <c r="H267" s="8"/>
      <c r="I267" s="8"/>
      <c r="J267" s="8"/>
      <c r="K267" s="8"/>
    </row>
    <row r="268">
      <c r="F268" s="8"/>
      <c r="G268" s="8"/>
      <c r="H268" s="8"/>
      <c r="I268" s="8"/>
      <c r="J268" s="8"/>
      <c r="K268" s="8"/>
    </row>
    <row r="269">
      <c r="F269" s="8"/>
      <c r="G269" s="8"/>
      <c r="H269" s="8"/>
      <c r="I269" s="8"/>
      <c r="J269" s="8"/>
      <c r="K269" s="8"/>
    </row>
    <row r="270">
      <c r="F270" s="8"/>
      <c r="G270" s="8"/>
      <c r="H270" s="8"/>
      <c r="I270" s="8"/>
      <c r="J270" s="8"/>
      <c r="K270" s="8"/>
    </row>
    <row r="271">
      <c r="F271" s="8"/>
      <c r="G271" s="8"/>
      <c r="H271" s="8"/>
      <c r="I271" s="8"/>
      <c r="J271" s="8"/>
      <c r="K271" s="8"/>
    </row>
    <row r="272">
      <c r="F272" s="8"/>
      <c r="G272" s="8"/>
      <c r="H272" s="8"/>
      <c r="I272" s="8"/>
      <c r="J272" s="8"/>
      <c r="K272" s="8"/>
    </row>
    <row r="273">
      <c r="F273" s="8"/>
      <c r="G273" s="8"/>
      <c r="H273" s="8"/>
      <c r="I273" s="8"/>
      <c r="J273" s="8"/>
      <c r="K273" s="8"/>
    </row>
    <row r="274">
      <c r="F274" s="8"/>
      <c r="G274" s="8"/>
      <c r="H274" s="8"/>
      <c r="I274" s="8"/>
      <c r="J274" s="8"/>
      <c r="K274" s="8"/>
    </row>
    <row r="275">
      <c r="F275" s="8"/>
      <c r="G275" s="8"/>
      <c r="H275" s="8"/>
      <c r="I275" s="8"/>
      <c r="J275" s="8"/>
      <c r="K275" s="8"/>
    </row>
    <row r="276">
      <c r="F276" s="8"/>
      <c r="G276" s="8"/>
      <c r="H276" s="8"/>
      <c r="I276" s="8"/>
      <c r="J276" s="8"/>
      <c r="K276" s="8"/>
    </row>
    <row r="277">
      <c r="F277" s="8"/>
      <c r="G277" s="8"/>
      <c r="H277" s="8"/>
      <c r="I277" s="8"/>
      <c r="J277" s="8"/>
      <c r="K277" s="8"/>
    </row>
    <row r="278">
      <c r="F278" s="8"/>
      <c r="G278" s="8"/>
      <c r="H278" s="8"/>
      <c r="I278" s="8"/>
      <c r="J278" s="8"/>
      <c r="K278" s="8"/>
    </row>
    <row r="279">
      <c r="F279" s="8"/>
      <c r="G279" s="8"/>
      <c r="H279" s="8"/>
      <c r="I279" s="8"/>
      <c r="J279" s="8"/>
      <c r="K279" s="8"/>
    </row>
    <row r="280">
      <c r="F280" s="8"/>
      <c r="G280" s="8"/>
      <c r="H280" s="8"/>
      <c r="I280" s="8"/>
      <c r="J280" s="8"/>
      <c r="K280" s="8"/>
    </row>
    <row r="281">
      <c r="F281" s="8"/>
      <c r="G281" s="8"/>
      <c r="H281" s="8"/>
      <c r="I281" s="8"/>
      <c r="J281" s="8"/>
      <c r="K281" s="8"/>
    </row>
    <row r="282">
      <c r="F282" s="8"/>
      <c r="G282" s="8"/>
      <c r="H282" s="8"/>
      <c r="I282" s="8"/>
      <c r="J282" s="8"/>
      <c r="K282" s="8"/>
    </row>
    <row r="283">
      <c r="F283" s="8"/>
      <c r="G283" s="8"/>
      <c r="H283" s="8"/>
      <c r="I283" s="8"/>
      <c r="J283" s="8"/>
      <c r="K283" s="8"/>
    </row>
    <row r="284">
      <c r="F284" s="8"/>
      <c r="G284" s="8"/>
      <c r="H284" s="8"/>
      <c r="I284" s="8"/>
      <c r="J284" s="8"/>
      <c r="K284" s="8"/>
    </row>
    <row r="285">
      <c r="F285" s="8"/>
      <c r="G285" s="8"/>
      <c r="H285" s="8"/>
      <c r="I285" s="8"/>
      <c r="J285" s="8"/>
      <c r="K285" s="8"/>
    </row>
    <row r="286">
      <c r="F286" s="8"/>
      <c r="G286" s="8"/>
      <c r="H286" s="8"/>
      <c r="I286" s="8"/>
      <c r="J286" s="8"/>
      <c r="K286" s="8"/>
    </row>
    <row r="287">
      <c r="F287" s="8"/>
      <c r="G287" s="8"/>
      <c r="H287" s="8"/>
      <c r="I287" s="8"/>
      <c r="J287" s="8"/>
      <c r="K287" s="8"/>
    </row>
    <row r="288">
      <c r="F288" s="8"/>
      <c r="G288" s="8"/>
      <c r="H288" s="8"/>
      <c r="I288" s="8"/>
      <c r="J288" s="8"/>
      <c r="K288" s="8"/>
    </row>
    <row r="289">
      <c r="F289" s="8"/>
      <c r="G289" s="8"/>
      <c r="H289" s="8"/>
      <c r="I289" s="8"/>
      <c r="J289" s="8"/>
      <c r="K289" s="8"/>
    </row>
    <row r="290">
      <c r="F290" s="8"/>
      <c r="G290" s="8"/>
      <c r="H290" s="8"/>
      <c r="I290" s="8"/>
      <c r="J290" s="8"/>
      <c r="K290" s="8"/>
    </row>
    <row r="291">
      <c r="F291" s="8"/>
      <c r="G291" s="8"/>
      <c r="H291" s="8"/>
      <c r="I291" s="8"/>
      <c r="J291" s="8"/>
      <c r="K291" s="8"/>
    </row>
    <row r="292">
      <c r="F292" s="8"/>
      <c r="G292" s="8"/>
      <c r="H292" s="8"/>
      <c r="I292" s="8"/>
      <c r="J292" s="8"/>
      <c r="K292" s="8"/>
    </row>
    <row r="293">
      <c r="F293" s="8"/>
      <c r="G293" s="8"/>
      <c r="H293" s="8"/>
      <c r="I293" s="8"/>
      <c r="J293" s="8"/>
      <c r="K293" s="8"/>
    </row>
    <row r="294">
      <c r="F294" s="8"/>
      <c r="G294" s="8"/>
      <c r="H294" s="8"/>
      <c r="I294" s="8"/>
      <c r="J294" s="8"/>
      <c r="K294" s="8"/>
    </row>
    <row r="295">
      <c r="F295" s="8"/>
      <c r="G295" s="8"/>
      <c r="H295" s="8"/>
      <c r="I295" s="8"/>
      <c r="J295" s="8"/>
      <c r="K295" s="8"/>
    </row>
    <row r="296">
      <c r="F296" s="8"/>
      <c r="G296" s="8"/>
      <c r="H296" s="8"/>
      <c r="I296" s="8"/>
      <c r="J296" s="8"/>
      <c r="K296" s="8"/>
    </row>
    <row r="297">
      <c r="F297" s="8"/>
      <c r="G297" s="8"/>
      <c r="H297" s="8"/>
      <c r="I297" s="8"/>
      <c r="J297" s="8"/>
      <c r="K297" s="8"/>
    </row>
    <row r="298">
      <c r="F298" s="8"/>
      <c r="G298" s="8"/>
      <c r="H298" s="8"/>
      <c r="I298" s="8"/>
      <c r="J298" s="8"/>
      <c r="K298" s="8"/>
    </row>
    <row r="299">
      <c r="F299" s="8"/>
      <c r="G299" s="8"/>
      <c r="H299" s="8"/>
      <c r="I299" s="8"/>
      <c r="J299" s="8"/>
      <c r="K299" s="8"/>
    </row>
    <row r="300">
      <c r="F300" s="8"/>
      <c r="G300" s="8"/>
      <c r="H300" s="8"/>
      <c r="I300" s="8"/>
      <c r="J300" s="8"/>
      <c r="K300" s="8"/>
    </row>
    <row r="301">
      <c r="F301" s="8"/>
      <c r="G301" s="8"/>
      <c r="H301" s="8"/>
      <c r="I301" s="8"/>
      <c r="J301" s="8"/>
      <c r="K301" s="8"/>
    </row>
    <row r="302">
      <c r="F302" s="8"/>
      <c r="G302" s="8"/>
      <c r="H302" s="8"/>
      <c r="I302" s="8"/>
      <c r="J302" s="8"/>
      <c r="K302" s="8"/>
    </row>
    <row r="303">
      <c r="F303" s="8"/>
      <c r="G303" s="8"/>
      <c r="H303" s="8"/>
      <c r="I303" s="8"/>
      <c r="J303" s="8"/>
      <c r="K303" s="8"/>
    </row>
    <row r="304">
      <c r="F304" s="8"/>
      <c r="G304" s="8"/>
      <c r="H304" s="8"/>
      <c r="I304" s="8"/>
      <c r="J304" s="8"/>
      <c r="K304" s="8"/>
    </row>
    <row r="305">
      <c r="F305" s="8"/>
      <c r="G305" s="8"/>
      <c r="H305" s="8"/>
      <c r="I305" s="8"/>
      <c r="J305" s="8"/>
      <c r="K305" s="8"/>
    </row>
    <row r="306">
      <c r="F306" s="8"/>
      <c r="G306" s="8"/>
      <c r="H306" s="8"/>
      <c r="I306" s="8"/>
      <c r="J306" s="8"/>
      <c r="K306" s="8"/>
    </row>
    <row r="307">
      <c r="F307" s="8"/>
      <c r="G307" s="8"/>
      <c r="H307" s="8"/>
      <c r="I307" s="8"/>
      <c r="J307" s="8"/>
      <c r="K307" s="8"/>
    </row>
    <row r="308">
      <c r="F308" s="8"/>
      <c r="G308" s="8"/>
      <c r="H308" s="8"/>
      <c r="I308" s="8"/>
      <c r="J308" s="8"/>
      <c r="K308" s="8"/>
    </row>
    <row r="309">
      <c r="F309" s="8"/>
      <c r="G309" s="8"/>
      <c r="H309" s="8"/>
      <c r="I309" s="8"/>
      <c r="J309" s="8"/>
      <c r="K309" s="8"/>
    </row>
    <row r="310">
      <c r="F310" s="8"/>
      <c r="G310" s="8"/>
      <c r="H310" s="8"/>
      <c r="I310" s="8"/>
      <c r="J310" s="8"/>
      <c r="K310" s="8"/>
    </row>
    <row r="311">
      <c r="F311" s="8"/>
      <c r="G311" s="8"/>
      <c r="H311" s="8"/>
      <c r="I311" s="8"/>
      <c r="J311" s="8"/>
      <c r="K311" s="8"/>
    </row>
    <row r="312">
      <c r="F312" s="8"/>
      <c r="G312" s="8"/>
      <c r="H312" s="8"/>
      <c r="I312" s="8"/>
      <c r="J312" s="8"/>
      <c r="K312" s="8"/>
    </row>
    <row r="313">
      <c r="F313" s="8"/>
      <c r="G313" s="8"/>
      <c r="H313" s="8"/>
      <c r="I313" s="8"/>
      <c r="J313" s="8"/>
      <c r="K313" s="8"/>
    </row>
    <row r="314">
      <c r="F314" s="8"/>
      <c r="G314" s="8"/>
      <c r="H314" s="8"/>
      <c r="I314" s="8"/>
      <c r="J314" s="8"/>
      <c r="K314" s="8"/>
    </row>
    <row r="315">
      <c r="F315" s="8"/>
      <c r="G315" s="8"/>
      <c r="H315" s="8"/>
      <c r="I315" s="8"/>
      <c r="J315" s="8"/>
      <c r="K315" s="8"/>
    </row>
    <row r="316">
      <c r="F316" s="8"/>
      <c r="G316" s="8"/>
      <c r="H316" s="8"/>
      <c r="I316" s="8"/>
      <c r="J316" s="8"/>
      <c r="K316" s="8"/>
    </row>
    <row r="317">
      <c r="F317" s="8"/>
      <c r="G317" s="8"/>
      <c r="H317" s="8"/>
      <c r="I317" s="8"/>
      <c r="J317" s="8"/>
      <c r="K317" s="8"/>
    </row>
    <row r="318">
      <c r="F318" s="8"/>
      <c r="G318" s="8"/>
      <c r="H318" s="8"/>
      <c r="I318" s="8"/>
      <c r="J318" s="8"/>
      <c r="K318" s="8"/>
    </row>
    <row r="319">
      <c r="F319" s="8"/>
      <c r="G319" s="8"/>
      <c r="H319" s="8"/>
      <c r="I319" s="8"/>
      <c r="J319" s="8"/>
      <c r="K319" s="8"/>
    </row>
    <row r="320">
      <c r="F320" s="8"/>
      <c r="G320" s="8"/>
      <c r="H320" s="8"/>
      <c r="I320" s="8"/>
      <c r="J320" s="8"/>
      <c r="K320" s="8"/>
    </row>
    <row r="321">
      <c r="F321" s="8"/>
      <c r="G321" s="8"/>
      <c r="H321" s="8"/>
      <c r="I321" s="8"/>
      <c r="J321" s="8"/>
      <c r="K321" s="8"/>
    </row>
    <row r="322">
      <c r="F322" s="8"/>
      <c r="G322" s="8"/>
      <c r="H322" s="8"/>
      <c r="I322" s="8"/>
      <c r="J322" s="8"/>
      <c r="K322" s="8"/>
    </row>
    <row r="323">
      <c r="F323" s="8"/>
      <c r="G323" s="8"/>
      <c r="H323" s="8"/>
      <c r="I323" s="8"/>
      <c r="J323" s="8"/>
      <c r="K323" s="8"/>
    </row>
    <row r="324">
      <c r="F324" s="8"/>
      <c r="G324" s="8"/>
      <c r="H324" s="8"/>
      <c r="I324" s="8"/>
      <c r="J324" s="8"/>
      <c r="K324" s="8"/>
    </row>
    <row r="325">
      <c r="F325" s="8"/>
      <c r="G325" s="8"/>
      <c r="H325" s="8"/>
      <c r="I325" s="8"/>
      <c r="J325" s="8"/>
      <c r="K325" s="8"/>
    </row>
    <row r="326">
      <c r="F326" s="8"/>
      <c r="G326" s="8"/>
      <c r="H326" s="8"/>
      <c r="I326" s="8"/>
      <c r="J326" s="8"/>
      <c r="K326" s="8"/>
    </row>
    <row r="327">
      <c r="F327" s="8"/>
      <c r="G327" s="8"/>
      <c r="H327" s="8"/>
      <c r="I327" s="8"/>
      <c r="J327" s="8"/>
      <c r="K327" s="8"/>
    </row>
    <row r="328">
      <c r="F328" s="8"/>
      <c r="G328" s="8"/>
      <c r="H328" s="8"/>
      <c r="I328" s="8"/>
      <c r="J328" s="8"/>
      <c r="K328" s="8"/>
    </row>
    <row r="329">
      <c r="F329" s="8"/>
      <c r="G329" s="8"/>
      <c r="H329" s="8"/>
      <c r="I329" s="8"/>
      <c r="J329" s="8"/>
      <c r="K329" s="8"/>
    </row>
    <row r="330">
      <c r="F330" s="8"/>
      <c r="G330" s="8"/>
      <c r="H330" s="8"/>
      <c r="I330" s="8"/>
      <c r="J330" s="8"/>
      <c r="K330" s="8"/>
    </row>
    <row r="331">
      <c r="F331" s="8"/>
      <c r="G331" s="8"/>
      <c r="H331" s="8"/>
      <c r="I331" s="8"/>
      <c r="J331" s="8"/>
      <c r="K331" s="8"/>
    </row>
    <row r="332">
      <c r="F332" s="8"/>
      <c r="G332" s="8"/>
      <c r="H332" s="8"/>
      <c r="I332" s="8"/>
      <c r="J332" s="8"/>
      <c r="K332" s="8"/>
    </row>
    <row r="333">
      <c r="F333" s="8"/>
      <c r="G333" s="8"/>
      <c r="H333" s="8"/>
      <c r="I333" s="8"/>
      <c r="J333" s="8"/>
      <c r="K333" s="8"/>
    </row>
    <row r="334">
      <c r="F334" s="8"/>
      <c r="G334" s="8"/>
      <c r="H334" s="8"/>
      <c r="I334" s="8"/>
      <c r="J334" s="8"/>
      <c r="K334" s="8"/>
    </row>
    <row r="335">
      <c r="F335" s="8"/>
      <c r="G335" s="8"/>
      <c r="H335" s="8"/>
      <c r="I335" s="8"/>
      <c r="J335" s="8"/>
      <c r="K335" s="8"/>
    </row>
    <row r="336">
      <c r="F336" s="8"/>
      <c r="G336" s="8"/>
      <c r="H336" s="8"/>
      <c r="I336" s="8"/>
      <c r="J336" s="8"/>
      <c r="K336" s="8"/>
    </row>
    <row r="337">
      <c r="F337" s="8"/>
      <c r="G337" s="8"/>
      <c r="H337" s="8"/>
      <c r="I337" s="8"/>
      <c r="J337" s="8"/>
      <c r="K337" s="8"/>
    </row>
    <row r="338">
      <c r="F338" s="8"/>
      <c r="G338" s="8"/>
      <c r="H338" s="8"/>
      <c r="I338" s="8"/>
      <c r="J338" s="8"/>
      <c r="K338" s="8"/>
    </row>
    <row r="339">
      <c r="F339" s="8"/>
      <c r="G339" s="8"/>
      <c r="H339" s="8"/>
      <c r="I339" s="8"/>
      <c r="J339" s="8"/>
      <c r="K339" s="8"/>
    </row>
    <row r="340">
      <c r="F340" s="8"/>
      <c r="G340" s="8"/>
      <c r="H340" s="8"/>
      <c r="I340" s="8"/>
      <c r="J340" s="8"/>
      <c r="K340" s="8"/>
    </row>
    <row r="341">
      <c r="F341" s="8"/>
      <c r="G341" s="8"/>
      <c r="H341" s="8"/>
      <c r="I341" s="8"/>
      <c r="J341" s="8"/>
      <c r="K341" s="8"/>
    </row>
    <row r="342">
      <c r="F342" s="8"/>
      <c r="G342" s="8"/>
      <c r="H342" s="8"/>
      <c r="I342" s="8"/>
      <c r="J342" s="8"/>
      <c r="K342" s="8"/>
    </row>
    <row r="343">
      <c r="F343" s="8"/>
      <c r="G343" s="8"/>
      <c r="H343" s="8"/>
      <c r="I343" s="8"/>
      <c r="J343" s="8"/>
      <c r="K343" s="8"/>
    </row>
    <row r="344">
      <c r="F344" s="8"/>
      <c r="G344" s="8"/>
      <c r="H344" s="8"/>
      <c r="I344" s="8"/>
      <c r="J344" s="8"/>
      <c r="K344" s="8"/>
    </row>
    <row r="345">
      <c r="F345" s="8"/>
      <c r="G345" s="8"/>
      <c r="H345" s="8"/>
      <c r="I345" s="8"/>
      <c r="J345" s="8"/>
      <c r="K345" s="8"/>
    </row>
    <row r="346">
      <c r="F346" s="8"/>
      <c r="G346" s="8"/>
      <c r="H346" s="8"/>
      <c r="I346" s="8"/>
      <c r="J346" s="8"/>
      <c r="K346" s="8"/>
    </row>
    <row r="347">
      <c r="F347" s="8"/>
      <c r="G347" s="8"/>
      <c r="H347" s="8"/>
      <c r="I347" s="8"/>
      <c r="J347" s="8"/>
      <c r="K347" s="8"/>
    </row>
    <row r="348">
      <c r="F348" s="8"/>
      <c r="G348" s="8"/>
      <c r="H348" s="8"/>
      <c r="I348" s="8"/>
      <c r="J348" s="8"/>
      <c r="K348" s="8"/>
    </row>
    <row r="349">
      <c r="F349" s="8"/>
      <c r="G349" s="8"/>
      <c r="H349" s="8"/>
      <c r="I349" s="8"/>
      <c r="J349" s="8"/>
      <c r="K349" s="8"/>
    </row>
    <row r="350">
      <c r="F350" s="8"/>
      <c r="G350" s="8"/>
      <c r="H350" s="8"/>
      <c r="I350" s="8"/>
      <c r="J350" s="8"/>
      <c r="K350" s="8"/>
    </row>
    <row r="351">
      <c r="F351" s="8"/>
      <c r="G351" s="8"/>
      <c r="H351" s="8"/>
      <c r="I351" s="8"/>
      <c r="J351" s="8"/>
      <c r="K351" s="8"/>
    </row>
    <row r="352">
      <c r="F352" s="8"/>
      <c r="G352" s="8"/>
      <c r="H352" s="8"/>
      <c r="I352" s="8"/>
      <c r="J352" s="8"/>
      <c r="K352" s="8"/>
    </row>
    <row r="353">
      <c r="F353" s="8"/>
      <c r="G353" s="8"/>
      <c r="H353" s="8"/>
      <c r="I353" s="8"/>
      <c r="J353" s="8"/>
      <c r="K353" s="8"/>
    </row>
    <row r="354">
      <c r="F354" s="8"/>
      <c r="G354" s="8"/>
      <c r="H354" s="8"/>
      <c r="I354" s="8"/>
      <c r="J354" s="8"/>
      <c r="K354" s="8"/>
    </row>
    <row r="355">
      <c r="F355" s="8"/>
      <c r="G355" s="8"/>
      <c r="H355" s="8"/>
      <c r="I355" s="8"/>
      <c r="J355" s="8"/>
      <c r="K355" s="8"/>
    </row>
    <row r="356">
      <c r="F356" s="8"/>
      <c r="G356" s="8"/>
      <c r="H356" s="8"/>
      <c r="I356" s="8"/>
      <c r="J356" s="8"/>
      <c r="K356" s="8"/>
    </row>
    <row r="357">
      <c r="F357" s="8"/>
      <c r="G357" s="8"/>
      <c r="H357" s="8"/>
      <c r="I357" s="8"/>
      <c r="J357" s="8"/>
      <c r="K357" s="8"/>
    </row>
    <row r="358">
      <c r="F358" s="8"/>
      <c r="G358" s="8"/>
      <c r="H358" s="8"/>
      <c r="I358" s="8"/>
      <c r="J358" s="8"/>
      <c r="K358" s="8"/>
    </row>
    <row r="359">
      <c r="F359" s="8"/>
      <c r="G359" s="8"/>
      <c r="H359" s="8"/>
      <c r="I359" s="8"/>
      <c r="J359" s="8"/>
      <c r="K359" s="8"/>
    </row>
    <row r="360">
      <c r="F360" s="8"/>
      <c r="G360" s="8"/>
      <c r="H360" s="8"/>
      <c r="I360" s="8"/>
      <c r="J360" s="8"/>
      <c r="K360" s="8"/>
    </row>
    <row r="361">
      <c r="F361" s="8"/>
      <c r="G361" s="8"/>
      <c r="H361" s="8"/>
      <c r="I361" s="8"/>
      <c r="J361" s="8"/>
      <c r="K361" s="8"/>
    </row>
    <row r="362">
      <c r="F362" s="8"/>
      <c r="G362" s="8"/>
      <c r="H362" s="8"/>
      <c r="I362" s="8"/>
      <c r="J362" s="8"/>
      <c r="K362" s="8"/>
    </row>
    <row r="363">
      <c r="F363" s="8"/>
      <c r="G363" s="8"/>
      <c r="H363" s="8"/>
      <c r="I363" s="8"/>
      <c r="J363" s="8"/>
      <c r="K363" s="8"/>
    </row>
    <row r="364">
      <c r="F364" s="8"/>
      <c r="G364" s="8"/>
      <c r="H364" s="8"/>
      <c r="I364" s="8"/>
      <c r="J364" s="8"/>
      <c r="K364" s="8"/>
    </row>
    <row r="365">
      <c r="F365" s="8"/>
      <c r="G365" s="8"/>
      <c r="H365" s="8"/>
      <c r="I365" s="8"/>
      <c r="J365" s="8"/>
      <c r="K365" s="8"/>
    </row>
    <row r="366">
      <c r="F366" s="8"/>
      <c r="G366" s="8"/>
      <c r="H366" s="8"/>
      <c r="I366" s="8"/>
      <c r="J366" s="8"/>
      <c r="K366" s="8"/>
    </row>
    <row r="367">
      <c r="F367" s="8"/>
      <c r="G367" s="8"/>
      <c r="H367" s="8"/>
      <c r="I367" s="8"/>
      <c r="J367" s="8"/>
      <c r="K367" s="8"/>
    </row>
    <row r="368">
      <c r="F368" s="8"/>
      <c r="G368" s="8"/>
      <c r="H368" s="8"/>
      <c r="I368" s="8"/>
      <c r="J368" s="8"/>
      <c r="K368" s="8"/>
    </row>
    <row r="369">
      <c r="F369" s="8"/>
      <c r="G369" s="8"/>
      <c r="H369" s="8"/>
      <c r="I369" s="8"/>
      <c r="J369" s="8"/>
      <c r="K369" s="8"/>
    </row>
    <row r="370">
      <c r="F370" s="8"/>
      <c r="G370" s="8"/>
      <c r="H370" s="8"/>
      <c r="I370" s="8"/>
      <c r="J370" s="8"/>
      <c r="K370" s="8"/>
    </row>
    <row r="371">
      <c r="F371" s="8"/>
      <c r="G371" s="8"/>
      <c r="H371" s="8"/>
      <c r="I371" s="8"/>
      <c r="J371" s="8"/>
      <c r="K371" s="8"/>
    </row>
    <row r="372">
      <c r="F372" s="8"/>
      <c r="G372" s="8"/>
      <c r="H372" s="8"/>
      <c r="I372" s="8"/>
      <c r="J372" s="8"/>
      <c r="K372" s="8"/>
    </row>
    <row r="373">
      <c r="F373" s="8"/>
      <c r="G373" s="8"/>
      <c r="H373" s="8"/>
      <c r="I373" s="8"/>
      <c r="J373" s="8"/>
      <c r="K373" s="8"/>
    </row>
    <row r="374">
      <c r="F374" s="8"/>
      <c r="G374" s="8"/>
      <c r="H374" s="8"/>
      <c r="I374" s="8"/>
      <c r="J374" s="8"/>
      <c r="K374" s="8"/>
    </row>
    <row r="375">
      <c r="F375" s="8"/>
      <c r="G375" s="8"/>
      <c r="H375" s="8"/>
      <c r="I375" s="8"/>
      <c r="J375" s="8"/>
      <c r="K375" s="8"/>
    </row>
    <row r="376">
      <c r="F376" s="8"/>
      <c r="G376" s="8"/>
      <c r="H376" s="8"/>
      <c r="I376" s="8"/>
      <c r="J376" s="8"/>
      <c r="K376" s="8"/>
    </row>
    <row r="377">
      <c r="F377" s="8"/>
      <c r="G377" s="8"/>
      <c r="H377" s="8"/>
      <c r="I377" s="8"/>
      <c r="J377" s="8"/>
      <c r="K377" s="8"/>
    </row>
    <row r="378">
      <c r="F378" s="8"/>
      <c r="G378" s="8"/>
      <c r="H378" s="8"/>
      <c r="I378" s="8"/>
      <c r="J378" s="8"/>
      <c r="K378" s="8"/>
    </row>
    <row r="379">
      <c r="F379" s="8"/>
      <c r="G379" s="8"/>
      <c r="H379" s="8"/>
      <c r="I379" s="8"/>
      <c r="J379" s="8"/>
      <c r="K379" s="8"/>
    </row>
    <row r="380">
      <c r="F380" s="8"/>
      <c r="G380" s="8"/>
      <c r="H380" s="8"/>
      <c r="I380" s="8"/>
      <c r="J380" s="8"/>
      <c r="K380" s="8"/>
    </row>
    <row r="381">
      <c r="F381" s="8"/>
      <c r="G381" s="8"/>
      <c r="H381" s="8"/>
      <c r="I381" s="8"/>
      <c r="J381" s="8"/>
      <c r="K381" s="8"/>
    </row>
    <row r="382">
      <c r="F382" s="8"/>
      <c r="G382" s="8"/>
      <c r="H382" s="8"/>
      <c r="I382" s="8"/>
      <c r="J382" s="8"/>
      <c r="K382" s="8"/>
    </row>
    <row r="383">
      <c r="F383" s="8"/>
      <c r="G383" s="8"/>
      <c r="H383" s="8"/>
      <c r="I383" s="8"/>
      <c r="J383" s="8"/>
      <c r="K383" s="8"/>
    </row>
    <row r="384">
      <c r="F384" s="8"/>
      <c r="G384" s="8"/>
      <c r="H384" s="8"/>
      <c r="I384" s="8"/>
      <c r="J384" s="8"/>
      <c r="K384" s="8"/>
    </row>
    <row r="385">
      <c r="F385" s="8"/>
      <c r="G385" s="8"/>
      <c r="H385" s="8"/>
      <c r="I385" s="8"/>
      <c r="J385" s="8"/>
      <c r="K385" s="8"/>
    </row>
    <row r="386">
      <c r="F386" s="8"/>
      <c r="G386" s="8"/>
      <c r="H386" s="8"/>
      <c r="I386" s="8"/>
      <c r="J386" s="8"/>
      <c r="K386" s="8"/>
    </row>
    <row r="387">
      <c r="F387" s="8"/>
      <c r="G387" s="8"/>
      <c r="H387" s="8"/>
      <c r="I387" s="8"/>
      <c r="J387" s="8"/>
      <c r="K387" s="8"/>
    </row>
    <row r="388">
      <c r="F388" s="8"/>
      <c r="G388" s="8"/>
      <c r="H388" s="8"/>
      <c r="I388" s="8"/>
      <c r="J388" s="8"/>
      <c r="K388" s="8"/>
    </row>
    <row r="389">
      <c r="F389" s="8"/>
      <c r="G389" s="8"/>
      <c r="H389" s="8"/>
      <c r="I389" s="8"/>
      <c r="J389" s="8"/>
      <c r="K389" s="8"/>
    </row>
    <row r="390">
      <c r="F390" s="8"/>
      <c r="G390" s="8"/>
      <c r="H390" s="8"/>
      <c r="I390" s="8"/>
      <c r="J390" s="8"/>
      <c r="K390" s="8"/>
    </row>
    <row r="391">
      <c r="F391" s="8"/>
      <c r="G391" s="8"/>
      <c r="H391" s="8"/>
      <c r="I391" s="8"/>
      <c r="J391" s="8"/>
      <c r="K391" s="8"/>
    </row>
    <row r="392">
      <c r="F392" s="8"/>
      <c r="G392" s="8"/>
      <c r="H392" s="8"/>
      <c r="I392" s="8"/>
      <c r="J392" s="8"/>
      <c r="K392" s="8"/>
    </row>
    <row r="393">
      <c r="F393" s="8"/>
      <c r="G393" s="8"/>
      <c r="H393" s="8"/>
      <c r="I393" s="8"/>
      <c r="J393" s="8"/>
      <c r="K393" s="8"/>
    </row>
    <row r="394">
      <c r="F394" s="8"/>
      <c r="G394" s="8"/>
      <c r="H394" s="8"/>
      <c r="I394" s="8"/>
      <c r="J394" s="8"/>
      <c r="K394" s="8"/>
    </row>
    <row r="395">
      <c r="F395" s="8"/>
      <c r="G395" s="8"/>
      <c r="H395" s="8"/>
      <c r="I395" s="8"/>
      <c r="J395" s="8"/>
      <c r="K395" s="8"/>
    </row>
    <row r="396">
      <c r="F396" s="8"/>
      <c r="G396" s="8"/>
      <c r="H396" s="8"/>
      <c r="I396" s="8"/>
      <c r="J396" s="8"/>
      <c r="K396" s="8"/>
    </row>
    <row r="397">
      <c r="F397" s="8"/>
      <c r="G397" s="8"/>
      <c r="H397" s="8"/>
      <c r="I397" s="8"/>
      <c r="J397" s="8"/>
      <c r="K397" s="8"/>
    </row>
    <row r="398">
      <c r="F398" s="8"/>
      <c r="G398" s="8"/>
      <c r="H398" s="8"/>
      <c r="I398" s="8"/>
      <c r="J398" s="8"/>
      <c r="K398" s="8"/>
    </row>
    <row r="399">
      <c r="F399" s="8"/>
      <c r="G399" s="8"/>
      <c r="H399" s="8"/>
      <c r="I399" s="8"/>
      <c r="J399" s="8"/>
      <c r="K399" s="8"/>
    </row>
    <row r="400">
      <c r="F400" s="8"/>
      <c r="G400" s="8"/>
      <c r="H400" s="8"/>
      <c r="I400" s="8"/>
      <c r="J400" s="8"/>
      <c r="K400" s="8"/>
    </row>
    <row r="401">
      <c r="F401" s="8"/>
      <c r="G401" s="8"/>
      <c r="H401" s="8"/>
      <c r="I401" s="8"/>
      <c r="J401" s="8"/>
      <c r="K401" s="8"/>
    </row>
    <row r="402">
      <c r="F402" s="8"/>
      <c r="G402" s="8"/>
      <c r="H402" s="8"/>
      <c r="I402" s="8"/>
      <c r="J402" s="8"/>
      <c r="K402" s="8"/>
    </row>
    <row r="403">
      <c r="F403" s="8"/>
      <c r="G403" s="8"/>
      <c r="H403" s="8"/>
      <c r="I403" s="8"/>
      <c r="J403" s="8"/>
      <c r="K403" s="8"/>
    </row>
    <row r="404">
      <c r="F404" s="8"/>
      <c r="G404" s="8"/>
      <c r="H404" s="8"/>
      <c r="I404" s="8"/>
      <c r="J404" s="8"/>
      <c r="K404" s="8"/>
    </row>
    <row r="405">
      <c r="F405" s="8"/>
      <c r="G405" s="8"/>
      <c r="H405" s="8"/>
      <c r="I405" s="8"/>
      <c r="J405" s="8"/>
      <c r="K405" s="8"/>
    </row>
    <row r="406">
      <c r="F406" s="8"/>
      <c r="G406" s="8"/>
      <c r="H406" s="8"/>
      <c r="I406" s="8"/>
      <c r="J406" s="8"/>
      <c r="K406" s="8"/>
    </row>
    <row r="407">
      <c r="F407" s="8"/>
      <c r="G407" s="8"/>
      <c r="H407" s="8"/>
      <c r="I407" s="8"/>
      <c r="J407" s="8"/>
      <c r="K407" s="8"/>
    </row>
    <row r="408">
      <c r="F408" s="8"/>
      <c r="G408" s="8"/>
      <c r="H408" s="8"/>
      <c r="I408" s="8"/>
      <c r="J408" s="8"/>
      <c r="K408" s="8"/>
    </row>
    <row r="409">
      <c r="F409" s="8"/>
      <c r="G409" s="8"/>
      <c r="H409" s="8"/>
      <c r="I409" s="8"/>
      <c r="J409" s="8"/>
      <c r="K409" s="8"/>
    </row>
    <row r="410">
      <c r="F410" s="8"/>
      <c r="G410" s="8"/>
      <c r="H410" s="8"/>
      <c r="I410" s="8"/>
      <c r="J410" s="8"/>
      <c r="K410" s="8"/>
    </row>
    <row r="411">
      <c r="F411" s="8"/>
      <c r="G411" s="8"/>
      <c r="H411" s="8"/>
      <c r="I411" s="8"/>
      <c r="J411" s="8"/>
      <c r="K411" s="8"/>
    </row>
    <row r="412">
      <c r="F412" s="8"/>
      <c r="G412" s="8"/>
      <c r="H412" s="8"/>
      <c r="I412" s="8"/>
      <c r="J412" s="8"/>
      <c r="K412" s="8"/>
    </row>
    <row r="413">
      <c r="F413" s="8"/>
      <c r="G413" s="8"/>
      <c r="H413" s="8"/>
      <c r="I413" s="8"/>
      <c r="J413" s="8"/>
      <c r="K413" s="8"/>
    </row>
    <row r="414">
      <c r="F414" s="8"/>
      <c r="G414" s="8"/>
      <c r="H414" s="8"/>
      <c r="I414" s="8"/>
      <c r="J414" s="8"/>
      <c r="K414" s="8"/>
    </row>
    <row r="415">
      <c r="F415" s="8"/>
      <c r="G415" s="8"/>
      <c r="H415" s="8"/>
      <c r="I415" s="8"/>
      <c r="J415" s="8"/>
      <c r="K415" s="8"/>
    </row>
    <row r="416">
      <c r="F416" s="8"/>
      <c r="G416" s="8"/>
      <c r="H416" s="8"/>
      <c r="I416" s="8"/>
      <c r="J416" s="8"/>
      <c r="K416" s="8"/>
    </row>
    <row r="417">
      <c r="F417" s="8"/>
      <c r="G417" s="8"/>
      <c r="H417" s="8"/>
      <c r="I417" s="8"/>
      <c r="J417" s="8"/>
      <c r="K417" s="8"/>
    </row>
    <row r="418">
      <c r="F418" s="8"/>
      <c r="G418" s="8"/>
      <c r="H418" s="8"/>
      <c r="I418" s="8"/>
      <c r="J418" s="8"/>
      <c r="K418" s="8"/>
    </row>
    <row r="419">
      <c r="F419" s="8"/>
      <c r="G419" s="8"/>
      <c r="H419" s="8"/>
      <c r="I419" s="8"/>
      <c r="J419" s="8"/>
      <c r="K419" s="8"/>
    </row>
    <row r="420">
      <c r="F420" s="8"/>
      <c r="G420" s="8"/>
      <c r="H420" s="8"/>
      <c r="I420" s="8"/>
      <c r="J420" s="8"/>
      <c r="K420" s="8"/>
    </row>
    <row r="421">
      <c r="F421" s="8"/>
      <c r="G421" s="8"/>
      <c r="H421" s="8"/>
      <c r="I421" s="8"/>
      <c r="J421" s="8"/>
      <c r="K421" s="8"/>
    </row>
    <row r="422">
      <c r="F422" s="8"/>
      <c r="G422" s="8"/>
      <c r="H422" s="8"/>
      <c r="I422" s="8"/>
      <c r="J422" s="8"/>
      <c r="K422" s="8"/>
    </row>
    <row r="423">
      <c r="F423" s="8"/>
      <c r="G423" s="8"/>
      <c r="H423" s="8"/>
      <c r="I423" s="8"/>
      <c r="J423" s="8"/>
      <c r="K423" s="8"/>
    </row>
    <row r="424">
      <c r="F424" s="8"/>
      <c r="G424" s="8"/>
      <c r="H424" s="8"/>
      <c r="I424" s="8"/>
      <c r="J424" s="8"/>
      <c r="K424" s="8"/>
    </row>
    <row r="425">
      <c r="F425" s="8"/>
      <c r="G425" s="8"/>
      <c r="H425" s="8"/>
      <c r="I425" s="8"/>
      <c r="J425" s="8"/>
      <c r="K425" s="8"/>
    </row>
    <row r="426">
      <c r="F426" s="8"/>
      <c r="G426" s="8"/>
      <c r="H426" s="8"/>
      <c r="I426" s="8"/>
      <c r="J426" s="8"/>
      <c r="K426" s="8"/>
    </row>
    <row r="427">
      <c r="F427" s="8"/>
      <c r="G427" s="8"/>
      <c r="H427" s="8"/>
      <c r="I427" s="8"/>
      <c r="J427" s="8"/>
      <c r="K427" s="8"/>
    </row>
    <row r="428">
      <c r="F428" s="8"/>
      <c r="G428" s="8"/>
      <c r="H428" s="8"/>
      <c r="I428" s="8"/>
      <c r="J428" s="8"/>
      <c r="K428" s="8"/>
    </row>
    <row r="429">
      <c r="F429" s="8"/>
      <c r="G429" s="8"/>
      <c r="H429" s="8"/>
      <c r="I429" s="8"/>
      <c r="J429" s="8"/>
      <c r="K429" s="8"/>
    </row>
    <row r="430">
      <c r="F430" s="8"/>
      <c r="G430" s="8"/>
      <c r="H430" s="8"/>
      <c r="I430" s="8"/>
      <c r="J430" s="8"/>
      <c r="K430" s="8"/>
    </row>
    <row r="431">
      <c r="F431" s="8"/>
      <c r="G431" s="8"/>
      <c r="H431" s="8"/>
      <c r="I431" s="8"/>
      <c r="J431" s="8"/>
      <c r="K431" s="8"/>
    </row>
    <row r="432">
      <c r="F432" s="8"/>
      <c r="G432" s="8"/>
      <c r="H432" s="8"/>
      <c r="I432" s="8"/>
      <c r="J432" s="8"/>
      <c r="K432" s="8"/>
    </row>
    <row r="433">
      <c r="F433" s="8"/>
      <c r="G433" s="8"/>
      <c r="H433" s="8"/>
      <c r="I433" s="8"/>
      <c r="J433" s="8"/>
      <c r="K433" s="8"/>
    </row>
    <row r="434">
      <c r="F434" s="8"/>
      <c r="G434" s="8"/>
      <c r="H434" s="8"/>
      <c r="I434" s="8"/>
      <c r="J434" s="8"/>
      <c r="K434" s="8"/>
    </row>
    <row r="435">
      <c r="F435" s="8"/>
      <c r="G435" s="8"/>
      <c r="H435" s="8"/>
      <c r="I435" s="8"/>
      <c r="J435" s="8"/>
      <c r="K435" s="8"/>
    </row>
    <row r="436">
      <c r="F436" s="8"/>
      <c r="G436" s="8"/>
      <c r="H436" s="8"/>
      <c r="I436" s="8"/>
      <c r="J436" s="8"/>
      <c r="K436" s="8"/>
    </row>
    <row r="437">
      <c r="F437" s="8"/>
      <c r="G437" s="8"/>
      <c r="H437" s="8"/>
      <c r="I437" s="8"/>
      <c r="J437" s="8"/>
      <c r="K437" s="8"/>
    </row>
    <row r="438">
      <c r="F438" s="8"/>
      <c r="G438" s="8"/>
      <c r="H438" s="8"/>
      <c r="I438" s="8"/>
      <c r="J438" s="8"/>
      <c r="K438" s="8"/>
    </row>
    <row r="439">
      <c r="F439" s="8"/>
      <c r="G439" s="8"/>
      <c r="H439" s="8"/>
      <c r="I439" s="8"/>
      <c r="J439" s="8"/>
      <c r="K439" s="8"/>
    </row>
    <row r="440">
      <c r="F440" s="8"/>
      <c r="G440" s="8"/>
      <c r="H440" s="8"/>
      <c r="I440" s="8"/>
      <c r="J440" s="8"/>
      <c r="K440" s="8"/>
    </row>
    <row r="441">
      <c r="F441" s="8"/>
      <c r="G441" s="8"/>
      <c r="H441" s="8"/>
      <c r="I441" s="8"/>
      <c r="J441" s="8"/>
      <c r="K441" s="8"/>
    </row>
    <row r="442">
      <c r="F442" s="8"/>
      <c r="G442" s="8"/>
      <c r="H442" s="8"/>
      <c r="I442" s="8"/>
      <c r="J442" s="8"/>
      <c r="K442" s="8"/>
    </row>
    <row r="443">
      <c r="F443" s="8"/>
      <c r="G443" s="8"/>
      <c r="H443" s="8"/>
      <c r="I443" s="8"/>
      <c r="J443" s="8"/>
      <c r="K443" s="8"/>
    </row>
    <row r="444">
      <c r="F444" s="8"/>
      <c r="G444" s="8"/>
      <c r="H444" s="8"/>
      <c r="I444" s="8"/>
      <c r="J444" s="8"/>
      <c r="K444" s="8"/>
    </row>
    <row r="445">
      <c r="F445" s="8"/>
      <c r="G445" s="8"/>
      <c r="H445" s="8"/>
      <c r="I445" s="8"/>
      <c r="J445" s="8"/>
      <c r="K445" s="8"/>
    </row>
    <row r="446">
      <c r="F446" s="8"/>
      <c r="G446" s="8"/>
      <c r="H446" s="8"/>
      <c r="I446" s="8"/>
      <c r="J446" s="8"/>
      <c r="K446" s="8"/>
    </row>
    <row r="447">
      <c r="F447" s="8"/>
      <c r="G447" s="8"/>
      <c r="H447" s="8"/>
      <c r="I447" s="8"/>
      <c r="J447" s="8"/>
      <c r="K447" s="8"/>
    </row>
    <row r="448">
      <c r="F448" s="8"/>
      <c r="G448" s="8"/>
      <c r="H448" s="8"/>
      <c r="I448" s="8"/>
      <c r="J448" s="8"/>
      <c r="K448" s="8"/>
    </row>
    <row r="449">
      <c r="F449" s="8"/>
      <c r="G449" s="8"/>
      <c r="H449" s="8"/>
      <c r="I449" s="8"/>
      <c r="J449" s="8"/>
      <c r="K449" s="8"/>
    </row>
    <row r="450">
      <c r="F450" s="8"/>
      <c r="G450" s="8"/>
      <c r="H450" s="8"/>
      <c r="I450" s="8"/>
      <c r="J450" s="8"/>
      <c r="K450" s="8"/>
    </row>
    <row r="451">
      <c r="F451" s="8"/>
      <c r="G451" s="8"/>
      <c r="H451" s="8"/>
      <c r="I451" s="8"/>
      <c r="J451" s="8"/>
      <c r="K451" s="8"/>
    </row>
    <row r="452">
      <c r="F452" s="8"/>
      <c r="G452" s="8"/>
      <c r="H452" s="8"/>
      <c r="I452" s="8"/>
      <c r="J452" s="8"/>
      <c r="K452" s="8"/>
    </row>
    <row r="453">
      <c r="F453" s="8"/>
      <c r="G453" s="8"/>
      <c r="H453" s="8"/>
      <c r="I453" s="8"/>
      <c r="J453" s="8"/>
      <c r="K453" s="8"/>
    </row>
    <row r="454">
      <c r="F454" s="8"/>
      <c r="G454" s="8"/>
      <c r="H454" s="8"/>
      <c r="I454" s="8"/>
      <c r="J454" s="8"/>
      <c r="K454" s="8"/>
    </row>
    <row r="455">
      <c r="F455" s="8"/>
      <c r="G455" s="8"/>
      <c r="H455" s="8"/>
      <c r="I455" s="8"/>
      <c r="J455" s="8"/>
      <c r="K455" s="8"/>
    </row>
    <row r="456">
      <c r="F456" s="8"/>
      <c r="G456" s="8"/>
      <c r="H456" s="8"/>
      <c r="I456" s="8"/>
      <c r="J456" s="8"/>
      <c r="K456" s="8"/>
    </row>
    <row r="457">
      <c r="F457" s="8"/>
      <c r="G457" s="8"/>
      <c r="H457" s="8"/>
      <c r="I457" s="8"/>
      <c r="J457" s="8"/>
      <c r="K457" s="8"/>
    </row>
    <row r="458">
      <c r="F458" s="8"/>
      <c r="G458" s="8"/>
      <c r="H458" s="8"/>
      <c r="I458" s="8"/>
      <c r="J458" s="8"/>
      <c r="K458" s="8"/>
    </row>
    <row r="459">
      <c r="F459" s="8"/>
      <c r="G459" s="8"/>
      <c r="H459" s="8"/>
      <c r="I459" s="8"/>
      <c r="J459" s="8"/>
      <c r="K459" s="8"/>
    </row>
    <row r="460">
      <c r="F460" s="8"/>
      <c r="G460" s="8"/>
      <c r="H460" s="8"/>
      <c r="I460" s="8"/>
      <c r="J460" s="8"/>
      <c r="K460" s="8"/>
    </row>
    <row r="461">
      <c r="F461" s="8"/>
      <c r="G461" s="8"/>
      <c r="H461" s="8"/>
      <c r="I461" s="8"/>
      <c r="J461" s="8"/>
      <c r="K461" s="8"/>
    </row>
    <row r="462">
      <c r="F462" s="8"/>
      <c r="G462" s="8"/>
      <c r="H462" s="8"/>
      <c r="I462" s="8"/>
      <c r="J462" s="8"/>
      <c r="K462" s="8"/>
    </row>
    <row r="463">
      <c r="F463" s="8"/>
      <c r="G463" s="8"/>
      <c r="H463" s="8"/>
      <c r="I463" s="8"/>
      <c r="J463" s="8"/>
      <c r="K463" s="8"/>
    </row>
    <row r="464">
      <c r="F464" s="8"/>
      <c r="G464" s="8"/>
      <c r="H464" s="8"/>
      <c r="I464" s="8"/>
      <c r="J464" s="8"/>
      <c r="K464" s="8"/>
    </row>
    <row r="465">
      <c r="F465" s="8"/>
      <c r="G465" s="8"/>
      <c r="H465" s="8"/>
      <c r="I465" s="8"/>
      <c r="J465" s="8"/>
      <c r="K465" s="8"/>
    </row>
    <row r="466">
      <c r="F466" s="8"/>
      <c r="G466" s="8"/>
      <c r="H466" s="8"/>
      <c r="I466" s="8"/>
      <c r="J466" s="8"/>
      <c r="K466" s="8"/>
    </row>
    <row r="467">
      <c r="F467" s="8"/>
      <c r="G467" s="8"/>
      <c r="H467" s="8"/>
      <c r="I467" s="8"/>
      <c r="J467" s="8"/>
      <c r="K467" s="8"/>
    </row>
    <row r="468">
      <c r="F468" s="8"/>
      <c r="G468" s="8"/>
      <c r="H468" s="8"/>
      <c r="I468" s="8"/>
      <c r="J468" s="8"/>
      <c r="K468" s="8"/>
    </row>
    <row r="469">
      <c r="F469" s="8"/>
      <c r="G469" s="8"/>
      <c r="H469" s="8"/>
      <c r="I469" s="8"/>
      <c r="J469" s="8"/>
      <c r="K469" s="8"/>
    </row>
    <row r="470">
      <c r="F470" s="8"/>
      <c r="G470" s="8"/>
      <c r="H470" s="8"/>
      <c r="I470" s="8"/>
      <c r="J470" s="8"/>
      <c r="K470" s="8"/>
    </row>
    <row r="471">
      <c r="F471" s="8"/>
      <c r="G471" s="8"/>
      <c r="H471" s="8"/>
      <c r="I471" s="8"/>
      <c r="J471" s="8"/>
      <c r="K471" s="8"/>
    </row>
    <row r="472">
      <c r="F472" s="8"/>
      <c r="G472" s="8"/>
      <c r="H472" s="8"/>
      <c r="I472" s="8"/>
      <c r="J472" s="8"/>
      <c r="K472" s="8"/>
    </row>
    <row r="473">
      <c r="F473" s="8"/>
      <c r="G473" s="8"/>
      <c r="H473" s="8"/>
      <c r="I473" s="8"/>
      <c r="J473" s="8"/>
      <c r="K473" s="8"/>
    </row>
    <row r="474">
      <c r="F474" s="8"/>
      <c r="G474" s="8"/>
      <c r="H474" s="8"/>
      <c r="I474" s="8"/>
      <c r="J474" s="8"/>
      <c r="K474" s="8"/>
    </row>
    <row r="475">
      <c r="F475" s="8"/>
      <c r="G475" s="8"/>
      <c r="H475" s="8"/>
      <c r="I475" s="8"/>
      <c r="J475" s="8"/>
      <c r="K475" s="8"/>
    </row>
    <row r="476">
      <c r="F476" s="8"/>
      <c r="G476" s="8"/>
      <c r="H476" s="8"/>
      <c r="I476" s="8"/>
      <c r="J476" s="8"/>
      <c r="K476" s="8"/>
    </row>
    <row r="477">
      <c r="F477" s="8"/>
      <c r="G477" s="8"/>
      <c r="H477" s="8"/>
      <c r="I477" s="8"/>
      <c r="J477" s="8"/>
      <c r="K477" s="8"/>
    </row>
    <row r="478">
      <c r="F478" s="8"/>
      <c r="G478" s="8"/>
      <c r="H478" s="8"/>
      <c r="I478" s="8"/>
      <c r="J478" s="8"/>
      <c r="K478" s="8"/>
    </row>
    <row r="479">
      <c r="F479" s="8"/>
      <c r="G479" s="8"/>
      <c r="H479" s="8"/>
      <c r="I479" s="8"/>
      <c r="J479" s="8"/>
      <c r="K479" s="8"/>
    </row>
    <row r="480">
      <c r="F480" s="8"/>
      <c r="G480" s="8"/>
      <c r="H480" s="8"/>
      <c r="I480" s="8"/>
      <c r="J480" s="8"/>
      <c r="K480" s="8"/>
    </row>
    <row r="481">
      <c r="F481" s="8"/>
      <c r="G481" s="8"/>
      <c r="H481" s="8"/>
      <c r="I481" s="8"/>
      <c r="J481" s="8"/>
      <c r="K481" s="8"/>
    </row>
    <row r="482">
      <c r="F482" s="8"/>
      <c r="G482" s="8"/>
      <c r="H482" s="8"/>
      <c r="I482" s="8"/>
      <c r="J482" s="8"/>
      <c r="K482" s="8"/>
    </row>
    <row r="483">
      <c r="F483" s="8"/>
      <c r="G483" s="8"/>
      <c r="H483" s="8"/>
      <c r="I483" s="8"/>
      <c r="J483" s="8"/>
      <c r="K483" s="8"/>
    </row>
    <row r="484">
      <c r="F484" s="8"/>
      <c r="G484" s="8"/>
      <c r="H484" s="8"/>
      <c r="I484" s="8"/>
      <c r="J484" s="8"/>
      <c r="K484" s="8"/>
    </row>
    <row r="485">
      <c r="F485" s="8"/>
      <c r="G485" s="8"/>
      <c r="H485" s="8"/>
      <c r="I485" s="8"/>
      <c r="J485" s="8"/>
      <c r="K485" s="8"/>
    </row>
    <row r="486">
      <c r="F486" s="8"/>
      <c r="G486" s="8"/>
      <c r="H486" s="8"/>
      <c r="I486" s="8"/>
      <c r="J486" s="8"/>
      <c r="K486" s="8"/>
    </row>
    <row r="487">
      <c r="F487" s="8"/>
      <c r="G487" s="8"/>
      <c r="H487" s="8"/>
      <c r="I487" s="8"/>
      <c r="J487" s="8"/>
      <c r="K487" s="8"/>
    </row>
    <row r="488">
      <c r="F488" s="8"/>
      <c r="G488" s="8"/>
      <c r="H488" s="8"/>
      <c r="I488" s="8"/>
      <c r="J488" s="8"/>
      <c r="K488" s="8"/>
    </row>
    <row r="489">
      <c r="F489" s="8"/>
      <c r="G489" s="8"/>
      <c r="H489" s="8"/>
      <c r="I489" s="8"/>
      <c r="J489" s="8"/>
      <c r="K489" s="8"/>
    </row>
    <row r="490">
      <c r="F490" s="8"/>
      <c r="G490" s="8"/>
      <c r="H490" s="8"/>
      <c r="I490" s="8"/>
      <c r="J490" s="8"/>
      <c r="K490" s="8"/>
    </row>
    <row r="491">
      <c r="F491" s="8"/>
      <c r="G491" s="8"/>
      <c r="H491" s="8"/>
      <c r="I491" s="8"/>
      <c r="J491" s="8"/>
      <c r="K491" s="8"/>
    </row>
    <row r="492">
      <c r="F492" s="8"/>
      <c r="G492" s="8"/>
      <c r="H492" s="8"/>
      <c r="I492" s="8"/>
      <c r="J492" s="8"/>
      <c r="K492" s="8"/>
    </row>
    <row r="493">
      <c r="F493" s="8"/>
      <c r="G493" s="8"/>
      <c r="H493" s="8"/>
      <c r="I493" s="8"/>
      <c r="J493" s="8"/>
      <c r="K493" s="8"/>
    </row>
    <row r="494">
      <c r="F494" s="8"/>
      <c r="G494" s="8"/>
      <c r="H494" s="8"/>
      <c r="I494" s="8"/>
      <c r="J494" s="8"/>
      <c r="K494" s="8"/>
    </row>
    <row r="495">
      <c r="F495" s="8"/>
      <c r="G495" s="8"/>
      <c r="H495" s="8"/>
      <c r="I495" s="8"/>
      <c r="J495" s="8"/>
      <c r="K495" s="8"/>
    </row>
    <row r="496">
      <c r="F496" s="8"/>
      <c r="G496" s="8"/>
      <c r="H496" s="8"/>
      <c r="I496" s="8"/>
      <c r="J496" s="8"/>
      <c r="K496" s="8"/>
    </row>
    <row r="497">
      <c r="F497" s="8"/>
      <c r="G497" s="8"/>
      <c r="H497" s="8"/>
      <c r="I497" s="8"/>
      <c r="J497" s="8"/>
      <c r="K497" s="8"/>
    </row>
    <row r="498">
      <c r="F498" s="8"/>
      <c r="G498" s="8"/>
      <c r="H498" s="8"/>
      <c r="I498" s="8"/>
      <c r="J498" s="8"/>
      <c r="K498" s="8"/>
    </row>
    <row r="499">
      <c r="F499" s="8"/>
      <c r="G499" s="8"/>
      <c r="H499" s="8"/>
      <c r="I499" s="8"/>
      <c r="J499" s="8"/>
      <c r="K499" s="8"/>
    </row>
    <row r="500">
      <c r="F500" s="8"/>
      <c r="G500" s="8"/>
      <c r="H500" s="8"/>
      <c r="I500" s="8"/>
      <c r="J500" s="8"/>
      <c r="K500" s="8"/>
    </row>
    <row r="501">
      <c r="F501" s="8"/>
      <c r="G501" s="8"/>
      <c r="H501" s="8"/>
      <c r="I501" s="8"/>
      <c r="J501" s="8"/>
      <c r="K501" s="8"/>
    </row>
    <row r="502">
      <c r="F502" s="8"/>
      <c r="G502" s="8"/>
      <c r="H502" s="8"/>
      <c r="I502" s="8"/>
      <c r="J502" s="8"/>
      <c r="K502" s="8"/>
    </row>
    <row r="503">
      <c r="F503" s="8"/>
      <c r="G503" s="8"/>
      <c r="H503" s="8"/>
      <c r="I503" s="8"/>
      <c r="J503" s="8"/>
      <c r="K503" s="8"/>
    </row>
    <row r="504">
      <c r="F504" s="8"/>
      <c r="G504" s="8"/>
      <c r="H504" s="8"/>
      <c r="I504" s="8"/>
      <c r="J504" s="8"/>
      <c r="K504" s="8"/>
    </row>
    <row r="505">
      <c r="F505" s="8"/>
      <c r="G505" s="8"/>
      <c r="H505" s="8"/>
      <c r="I505" s="8"/>
      <c r="J505" s="8"/>
      <c r="K505" s="8"/>
    </row>
    <row r="506">
      <c r="F506" s="8"/>
      <c r="G506" s="8"/>
      <c r="H506" s="8"/>
      <c r="I506" s="8"/>
      <c r="J506" s="8"/>
      <c r="K506" s="8"/>
    </row>
    <row r="507">
      <c r="F507" s="8"/>
      <c r="G507" s="8"/>
      <c r="H507" s="8"/>
      <c r="I507" s="8"/>
      <c r="J507" s="8"/>
      <c r="K507" s="8"/>
    </row>
    <row r="508">
      <c r="F508" s="8"/>
      <c r="G508" s="8"/>
      <c r="H508" s="8"/>
      <c r="I508" s="8"/>
      <c r="J508" s="8"/>
      <c r="K508" s="8"/>
    </row>
    <row r="509">
      <c r="F509" s="8"/>
      <c r="G509" s="8"/>
      <c r="H509" s="8"/>
      <c r="I509" s="8"/>
      <c r="J509" s="8"/>
      <c r="K509" s="8"/>
    </row>
    <row r="510">
      <c r="F510" s="8"/>
      <c r="G510" s="8"/>
      <c r="H510" s="8"/>
      <c r="I510" s="8"/>
      <c r="J510" s="8"/>
      <c r="K510" s="8"/>
    </row>
    <row r="511">
      <c r="F511" s="8"/>
      <c r="G511" s="8"/>
      <c r="H511" s="8"/>
      <c r="I511" s="8"/>
      <c r="J511" s="8"/>
      <c r="K511" s="8"/>
    </row>
    <row r="512">
      <c r="F512" s="8"/>
      <c r="G512" s="8"/>
      <c r="H512" s="8"/>
      <c r="I512" s="8"/>
      <c r="J512" s="8"/>
      <c r="K512" s="8"/>
    </row>
    <row r="513">
      <c r="F513" s="8"/>
      <c r="G513" s="8"/>
      <c r="H513" s="8"/>
      <c r="I513" s="8"/>
      <c r="J513" s="8"/>
      <c r="K513" s="8"/>
    </row>
    <row r="514">
      <c r="F514" s="8"/>
      <c r="G514" s="8"/>
      <c r="H514" s="8"/>
      <c r="I514" s="8"/>
      <c r="J514" s="8"/>
      <c r="K514" s="8"/>
    </row>
    <row r="515">
      <c r="F515" s="8"/>
      <c r="G515" s="8"/>
      <c r="H515" s="8"/>
      <c r="I515" s="8"/>
      <c r="J515" s="8"/>
      <c r="K515" s="8"/>
    </row>
    <row r="516">
      <c r="F516" s="8"/>
      <c r="G516" s="8"/>
      <c r="H516" s="8"/>
      <c r="I516" s="8"/>
      <c r="J516" s="8"/>
      <c r="K516" s="8"/>
    </row>
    <row r="517">
      <c r="F517" s="8"/>
      <c r="G517" s="8"/>
      <c r="H517" s="8"/>
      <c r="I517" s="8"/>
      <c r="J517" s="8"/>
      <c r="K517" s="8"/>
    </row>
    <row r="518">
      <c r="F518" s="8"/>
      <c r="G518" s="8"/>
      <c r="H518" s="8"/>
      <c r="I518" s="8"/>
      <c r="J518" s="8"/>
      <c r="K518" s="8"/>
    </row>
    <row r="519">
      <c r="F519" s="8"/>
      <c r="G519" s="8"/>
      <c r="H519" s="8"/>
      <c r="I519" s="8"/>
      <c r="J519" s="8"/>
      <c r="K519" s="8"/>
    </row>
    <row r="520">
      <c r="F520" s="8"/>
      <c r="G520" s="8"/>
      <c r="H520" s="8"/>
      <c r="I520" s="8"/>
      <c r="J520" s="8"/>
      <c r="K520" s="8"/>
    </row>
    <row r="521">
      <c r="F521" s="8"/>
      <c r="G521" s="8"/>
      <c r="H521" s="8"/>
      <c r="I521" s="8"/>
      <c r="J521" s="8"/>
      <c r="K521" s="8"/>
    </row>
    <row r="522">
      <c r="F522" s="8"/>
      <c r="G522" s="8"/>
      <c r="H522" s="8"/>
      <c r="I522" s="8"/>
      <c r="J522" s="8"/>
      <c r="K522" s="8"/>
    </row>
    <row r="523">
      <c r="F523" s="8"/>
      <c r="G523" s="8"/>
      <c r="H523" s="8"/>
      <c r="I523" s="8"/>
      <c r="J523" s="8"/>
      <c r="K523" s="8"/>
    </row>
    <row r="524">
      <c r="F524" s="8"/>
      <c r="G524" s="8"/>
      <c r="H524" s="8"/>
      <c r="I524" s="8"/>
      <c r="J524" s="8"/>
      <c r="K524" s="8"/>
    </row>
    <row r="525">
      <c r="F525" s="8"/>
      <c r="G525" s="8"/>
      <c r="H525" s="8"/>
      <c r="I525" s="8"/>
      <c r="J525" s="8"/>
      <c r="K525" s="8"/>
    </row>
    <row r="526">
      <c r="F526" s="8"/>
      <c r="G526" s="8"/>
      <c r="H526" s="8"/>
      <c r="I526" s="8"/>
      <c r="J526" s="8"/>
      <c r="K526" s="8"/>
    </row>
    <row r="527">
      <c r="F527" s="8"/>
      <c r="G527" s="8"/>
      <c r="H527" s="8"/>
      <c r="I527" s="8"/>
      <c r="J527" s="8"/>
      <c r="K527" s="8"/>
    </row>
    <row r="528">
      <c r="F528" s="8"/>
      <c r="G528" s="8"/>
      <c r="H528" s="8"/>
      <c r="I528" s="8"/>
      <c r="J528" s="8"/>
      <c r="K528" s="8"/>
    </row>
    <row r="529">
      <c r="F529" s="8"/>
      <c r="G529" s="8"/>
      <c r="H529" s="8"/>
      <c r="I529" s="8"/>
      <c r="J529" s="8"/>
      <c r="K529" s="8"/>
    </row>
    <row r="530">
      <c r="F530" s="8"/>
      <c r="G530" s="8"/>
      <c r="H530" s="8"/>
      <c r="I530" s="8"/>
      <c r="J530" s="8"/>
      <c r="K530" s="8"/>
    </row>
    <row r="531">
      <c r="F531" s="8"/>
      <c r="G531" s="8"/>
      <c r="H531" s="8"/>
      <c r="I531" s="8"/>
      <c r="J531" s="8"/>
      <c r="K531" s="8"/>
    </row>
    <row r="532">
      <c r="F532" s="8"/>
      <c r="G532" s="8"/>
      <c r="H532" s="8"/>
      <c r="I532" s="8"/>
      <c r="J532" s="8"/>
      <c r="K532" s="8"/>
    </row>
    <row r="533">
      <c r="F533" s="8"/>
      <c r="G533" s="8"/>
      <c r="H533" s="8"/>
      <c r="I533" s="8"/>
      <c r="J533" s="8"/>
      <c r="K533" s="8"/>
    </row>
    <row r="534">
      <c r="F534" s="8"/>
      <c r="G534" s="8"/>
      <c r="H534" s="8"/>
      <c r="I534" s="8"/>
      <c r="J534" s="8"/>
      <c r="K534" s="8"/>
    </row>
    <row r="535">
      <c r="F535" s="8"/>
      <c r="G535" s="8"/>
      <c r="H535" s="8"/>
      <c r="I535" s="8"/>
      <c r="J535" s="8"/>
      <c r="K535" s="8"/>
    </row>
    <row r="536">
      <c r="F536" s="8"/>
      <c r="G536" s="8"/>
      <c r="H536" s="8"/>
      <c r="I536" s="8"/>
      <c r="J536" s="8"/>
      <c r="K536" s="8"/>
    </row>
    <row r="537">
      <c r="F537" s="8"/>
      <c r="G537" s="8"/>
      <c r="H537" s="8"/>
      <c r="I537" s="8"/>
      <c r="J537" s="8"/>
      <c r="K537" s="8"/>
    </row>
    <row r="538">
      <c r="F538" s="8"/>
      <c r="G538" s="8"/>
      <c r="H538" s="8"/>
      <c r="I538" s="8"/>
      <c r="J538" s="8"/>
      <c r="K538" s="8"/>
    </row>
    <row r="539">
      <c r="F539" s="8"/>
      <c r="G539" s="8"/>
      <c r="H539" s="8"/>
      <c r="I539" s="8"/>
      <c r="J539" s="8"/>
      <c r="K539" s="8"/>
    </row>
    <row r="540">
      <c r="F540" s="8"/>
      <c r="G540" s="8"/>
      <c r="H540" s="8"/>
      <c r="I540" s="8"/>
      <c r="J540" s="8"/>
      <c r="K540" s="8"/>
    </row>
    <row r="541">
      <c r="F541" s="8"/>
      <c r="G541" s="8"/>
      <c r="H541" s="8"/>
      <c r="I541" s="8"/>
      <c r="J541" s="8"/>
      <c r="K541" s="8"/>
    </row>
    <row r="542">
      <c r="F542" s="8"/>
      <c r="G542" s="8"/>
      <c r="H542" s="8"/>
      <c r="I542" s="8"/>
      <c r="J542" s="8"/>
      <c r="K542" s="8"/>
    </row>
    <row r="543">
      <c r="F543" s="8"/>
      <c r="G543" s="8"/>
      <c r="H543" s="8"/>
      <c r="I543" s="8"/>
      <c r="J543" s="8"/>
      <c r="K543" s="8"/>
    </row>
    <row r="544">
      <c r="F544" s="8"/>
      <c r="G544" s="8"/>
      <c r="H544" s="8"/>
      <c r="I544" s="8"/>
      <c r="J544" s="8"/>
      <c r="K544" s="8"/>
    </row>
    <row r="545">
      <c r="F545" s="8"/>
      <c r="G545" s="8"/>
      <c r="H545" s="8"/>
      <c r="I545" s="8"/>
      <c r="J545" s="8"/>
      <c r="K545" s="8"/>
    </row>
    <row r="546">
      <c r="F546" s="8"/>
      <c r="G546" s="8"/>
      <c r="H546" s="8"/>
      <c r="I546" s="8"/>
      <c r="J546" s="8"/>
      <c r="K546" s="8"/>
    </row>
    <row r="547">
      <c r="F547" s="8"/>
      <c r="G547" s="8"/>
      <c r="H547" s="8"/>
      <c r="I547" s="8"/>
      <c r="J547" s="8"/>
      <c r="K547" s="8"/>
    </row>
    <row r="548">
      <c r="F548" s="8"/>
      <c r="G548" s="8"/>
      <c r="H548" s="8"/>
      <c r="I548" s="8"/>
      <c r="J548" s="8"/>
      <c r="K548" s="8"/>
    </row>
    <row r="549">
      <c r="F549" s="8"/>
      <c r="G549" s="8"/>
      <c r="H549" s="8"/>
      <c r="I549" s="8"/>
      <c r="J549" s="8"/>
      <c r="K549" s="8"/>
    </row>
    <row r="550">
      <c r="F550" s="8"/>
      <c r="G550" s="8"/>
      <c r="H550" s="8"/>
      <c r="I550" s="8"/>
      <c r="J550" s="8"/>
      <c r="K550" s="8"/>
    </row>
    <row r="551">
      <c r="F551" s="8"/>
      <c r="G551" s="8"/>
      <c r="H551" s="8"/>
      <c r="I551" s="8"/>
      <c r="J551" s="8"/>
      <c r="K551" s="8"/>
    </row>
    <row r="552">
      <c r="F552" s="8"/>
      <c r="G552" s="8"/>
      <c r="H552" s="8"/>
      <c r="I552" s="8"/>
      <c r="J552" s="8"/>
      <c r="K552" s="8"/>
    </row>
    <row r="553">
      <c r="F553" s="8"/>
      <c r="G553" s="8"/>
      <c r="H553" s="8"/>
      <c r="I553" s="8"/>
      <c r="J553" s="8"/>
      <c r="K553" s="8"/>
    </row>
    <row r="554">
      <c r="F554" s="8"/>
      <c r="G554" s="8"/>
      <c r="H554" s="8"/>
      <c r="I554" s="8"/>
      <c r="J554" s="8"/>
      <c r="K554" s="8"/>
    </row>
    <row r="555">
      <c r="F555" s="8"/>
      <c r="G555" s="8"/>
      <c r="H555" s="8"/>
      <c r="I555" s="8"/>
      <c r="J555" s="8"/>
      <c r="K555" s="8"/>
    </row>
    <row r="556">
      <c r="F556" s="8"/>
      <c r="G556" s="8"/>
      <c r="H556" s="8"/>
      <c r="I556" s="8"/>
      <c r="J556" s="8"/>
      <c r="K556" s="8"/>
    </row>
    <row r="557">
      <c r="F557" s="8"/>
      <c r="G557" s="8"/>
      <c r="H557" s="8"/>
      <c r="I557" s="8"/>
      <c r="J557" s="8"/>
      <c r="K557" s="8"/>
    </row>
    <row r="558">
      <c r="F558" s="8"/>
      <c r="G558" s="8"/>
      <c r="H558" s="8"/>
      <c r="I558" s="8"/>
      <c r="J558" s="8"/>
      <c r="K558" s="8"/>
    </row>
    <row r="559">
      <c r="F559" s="8"/>
      <c r="G559" s="8"/>
      <c r="H559" s="8"/>
      <c r="I559" s="8"/>
      <c r="J559" s="8"/>
      <c r="K559" s="8"/>
    </row>
    <row r="560">
      <c r="F560" s="8"/>
      <c r="G560" s="8"/>
      <c r="H560" s="8"/>
      <c r="I560" s="8"/>
      <c r="J560" s="8"/>
      <c r="K560" s="8"/>
    </row>
    <row r="561">
      <c r="F561" s="8"/>
      <c r="G561" s="8"/>
      <c r="H561" s="8"/>
      <c r="I561" s="8"/>
      <c r="J561" s="8"/>
      <c r="K561" s="8"/>
    </row>
    <row r="562">
      <c r="F562" s="8"/>
      <c r="G562" s="8"/>
      <c r="H562" s="8"/>
      <c r="I562" s="8"/>
      <c r="J562" s="8"/>
      <c r="K562" s="8"/>
    </row>
    <row r="563">
      <c r="F563" s="8"/>
      <c r="G563" s="8"/>
      <c r="H563" s="8"/>
      <c r="I563" s="8"/>
      <c r="J563" s="8"/>
      <c r="K563" s="8"/>
    </row>
    <row r="564">
      <c r="F564" s="8"/>
      <c r="G564" s="8"/>
      <c r="H564" s="8"/>
      <c r="I564" s="8"/>
      <c r="J564" s="8"/>
      <c r="K564" s="8"/>
    </row>
    <row r="565">
      <c r="F565" s="8"/>
      <c r="G565" s="8"/>
      <c r="H565" s="8"/>
      <c r="I565" s="8"/>
      <c r="J565" s="8"/>
      <c r="K565" s="8"/>
    </row>
    <row r="566">
      <c r="F566" s="8"/>
      <c r="G566" s="8"/>
      <c r="H566" s="8"/>
      <c r="I566" s="8"/>
      <c r="J566" s="8"/>
      <c r="K566" s="8"/>
    </row>
    <row r="567">
      <c r="F567" s="8"/>
      <c r="G567" s="8"/>
      <c r="H567" s="8"/>
      <c r="I567" s="8"/>
      <c r="J567" s="8"/>
      <c r="K567" s="8"/>
    </row>
    <row r="568">
      <c r="F568" s="8"/>
      <c r="G568" s="8"/>
      <c r="H568" s="8"/>
      <c r="I568" s="8"/>
      <c r="J568" s="8"/>
      <c r="K568" s="8"/>
    </row>
    <row r="569">
      <c r="F569" s="8"/>
      <c r="G569" s="8"/>
      <c r="H569" s="8"/>
      <c r="I569" s="8"/>
      <c r="J569" s="8"/>
      <c r="K569" s="8"/>
    </row>
    <row r="570">
      <c r="F570" s="8"/>
      <c r="G570" s="8"/>
      <c r="H570" s="8"/>
      <c r="I570" s="8"/>
      <c r="J570" s="8"/>
      <c r="K570" s="8"/>
    </row>
    <row r="571">
      <c r="F571" s="8"/>
      <c r="G571" s="8"/>
      <c r="H571" s="8"/>
      <c r="I571" s="8"/>
      <c r="J571" s="8"/>
      <c r="K571" s="8"/>
    </row>
    <row r="572">
      <c r="F572" s="8"/>
      <c r="G572" s="8"/>
      <c r="H572" s="8"/>
      <c r="I572" s="8"/>
      <c r="J572" s="8"/>
      <c r="K572" s="8"/>
    </row>
    <row r="573">
      <c r="F573" s="8"/>
      <c r="G573" s="8"/>
      <c r="H573" s="8"/>
      <c r="I573" s="8"/>
      <c r="J573" s="8"/>
      <c r="K573" s="8"/>
    </row>
    <row r="574">
      <c r="F574" s="8"/>
      <c r="G574" s="8"/>
      <c r="H574" s="8"/>
      <c r="I574" s="8"/>
      <c r="J574" s="8"/>
      <c r="K574" s="8"/>
    </row>
    <row r="575">
      <c r="F575" s="8"/>
      <c r="G575" s="8"/>
      <c r="H575" s="8"/>
      <c r="I575" s="8"/>
      <c r="J575" s="8"/>
      <c r="K575" s="8"/>
    </row>
    <row r="576">
      <c r="F576" s="8"/>
      <c r="G576" s="8"/>
      <c r="H576" s="8"/>
      <c r="I576" s="8"/>
      <c r="J576" s="8"/>
      <c r="K576" s="8"/>
    </row>
    <row r="577">
      <c r="F577" s="8"/>
      <c r="G577" s="8"/>
      <c r="H577" s="8"/>
      <c r="I577" s="8"/>
      <c r="J577" s="8"/>
      <c r="K577" s="8"/>
    </row>
    <row r="578">
      <c r="F578" s="8"/>
      <c r="G578" s="8"/>
      <c r="H578" s="8"/>
      <c r="I578" s="8"/>
      <c r="J578" s="8"/>
      <c r="K578" s="8"/>
    </row>
    <row r="579">
      <c r="F579" s="8"/>
      <c r="G579" s="8"/>
      <c r="H579" s="8"/>
      <c r="I579" s="8"/>
      <c r="J579" s="8"/>
      <c r="K579" s="8"/>
    </row>
    <row r="580">
      <c r="F580" s="8"/>
      <c r="G580" s="8"/>
      <c r="H580" s="8"/>
      <c r="I580" s="8"/>
      <c r="J580" s="8"/>
      <c r="K580" s="8"/>
    </row>
    <row r="581">
      <c r="F581" s="8"/>
      <c r="G581" s="8"/>
      <c r="H581" s="8"/>
      <c r="I581" s="8"/>
      <c r="J581" s="8"/>
      <c r="K581" s="8"/>
    </row>
    <row r="582">
      <c r="F582" s="8"/>
      <c r="G582" s="8"/>
      <c r="H582" s="8"/>
      <c r="I582" s="8"/>
      <c r="J582" s="8"/>
      <c r="K582" s="8"/>
    </row>
    <row r="583">
      <c r="F583" s="8"/>
      <c r="G583" s="8"/>
      <c r="H583" s="8"/>
      <c r="I583" s="8"/>
      <c r="J583" s="8"/>
      <c r="K583" s="8"/>
    </row>
    <row r="584">
      <c r="F584" s="8"/>
      <c r="G584" s="8"/>
      <c r="H584" s="8"/>
      <c r="I584" s="8"/>
      <c r="J584" s="8"/>
      <c r="K584" s="8"/>
    </row>
    <row r="585">
      <c r="F585" s="8"/>
      <c r="G585" s="8"/>
      <c r="H585" s="8"/>
      <c r="I585" s="8"/>
      <c r="J585" s="8"/>
      <c r="K585" s="8"/>
    </row>
    <row r="586">
      <c r="F586" s="8"/>
      <c r="G586" s="8"/>
      <c r="H586" s="8"/>
      <c r="I586" s="8"/>
      <c r="J586" s="8"/>
      <c r="K586" s="8"/>
    </row>
    <row r="587">
      <c r="F587" s="8"/>
      <c r="G587" s="8"/>
      <c r="H587" s="8"/>
      <c r="I587" s="8"/>
      <c r="J587" s="8"/>
      <c r="K587" s="8"/>
    </row>
    <row r="588">
      <c r="F588" s="8"/>
      <c r="G588" s="8"/>
      <c r="H588" s="8"/>
      <c r="I588" s="8"/>
      <c r="J588" s="8"/>
      <c r="K588" s="8"/>
    </row>
    <row r="589">
      <c r="F589" s="8"/>
      <c r="G589" s="8"/>
      <c r="H589" s="8"/>
      <c r="I589" s="8"/>
      <c r="J589" s="8"/>
      <c r="K589" s="8"/>
    </row>
    <row r="590">
      <c r="F590" s="8"/>
      <c r="G590" s="8"/>
      <c r="H590" s="8"/>
      <c r="I590" s="8"/>
      <c r="J590" s="8"/>
      <c r="K590" s="8"/>
    </row>
    <row r="591">
      <c r="F591" s="8"/>
      <c r="G591" s="8"/>
      <c r="H591" s="8"/>
      <c r="I591" s="8"/>
      <c r="J591" s="8"/>
      <c r="K591" s="8"/>
    </row>
    <row r="592">
      <c r="F592" s="8"/>
      <c r="G592" s="8"/>
      <c r="H592" s="8"/>
      <c r="I592" s="8"/>
      <c r="J592" s="8"/>
      <c r="K592" s="8"/>
    </row>
    <row r="593">
      <c r="F593" s="8"/>
      <c r="G593" s="8"/>
      <c r="H593" s="8"/>
      <c r="I593" s="8"/>
      <c r="J593" s="8"/>
      <c r="K593" s="8"/>
    </row>
    <row r="594">
      <c r="F594" s="8"/>
      <c r="G594" s="8"/>
      <c r="H594" s="8"/>
      <c r="I594" s="8"/>
      <c r="J594" s="8"/>
      <c r="K594" s="8"/>
    </row>
    <row r="595">
      <c r="F595" s="8"/>
      <c r="G595" s="8"/>
      <c r="H595" s="8"/>
      <c r="I595" s="8"/>
      <c r="J595" s="8"/>
      <c r="K595" s="8"/>
    </row>
    <row r="596">
      <c r="F596" s="8"/>
      <c r="G596" s="8"/>
      <c r="H596" s="8"/>
      <c r="I596" s="8"/>
      <c r="J596" s="8"/>
      <c r="K596" s="8"/>
    </row>
    <row r="597">
      <c r="F597" s="8"/>
      <c r="G597" s="8"/>
      <c r="H597" s="8"/>
      <c r="I597" s="8"/>
      <c r="J597" s="8"/>
      <c r="K597" s="8"/>
    </row>
    <row r="598">
      <c r="F598" s="8"/>
      <c r="G598" s="8"/>
      <c r="H598" s="8"/>
      <c r="I598" s="8"/>
      <c r="J598" s="8"/>
      <c r="K598" s="8"/>
    </row>
    <row r="599">
      <c r="F599" s="8"/>
      <c r="G599" s="8"/>
      <c r="H599" s="8"/>
      <c r="I599" s="8"/>
      <c r="J599" s="8"/>
      <c r="K599" s="8"/>
    </row>
    <row r="600">
      <c r="F600" s="8"/>
      <c r="G600" s="8"/>
      <c r="H600" s="8"/>
      <c r="I600" s="8"/>
      <c r="J600" s="8"/>
      <c r="K600" s="8"/>
    </row>
    <row r="601">
      <c r="F601" s="8"/>
      <c r="G601" s="8"/>
      <c r="H601" s="8"/>
      <c r="I601" s="8"/>
      <c r="J601" s="8"/>
      <c r="K601" s="8"/>
    </row>
    <row r="602">
      <c r="F602" s="8"/>
      <c r="G602" s="8"/>
      <c r="H602" s="8"/>
      <c r="I602" s="8"/>
      <c r="J602" s="8"/>
      <c r="K602" s="8"/>
    </row>
    <row r="603">
      <c r="F603" s="8"/>
      <c r="G603" s="8"/>
      <c r="H603" s="8"/>
      <c r="I603" s="8"/>
      <c r="J603" s="8"/>
      <c r="K603" s="8"/>
    </row>
    <row r="604">
      <c r="F604" s="8"/>
      <c r="G604" s="8"/>
      <c r="H604" s="8"/>
      <c r="I604" s="8"/>
      <c r="J604" s="8"/>
      <c r="K604" s="8"/>
    </row>
    <row r="605">
      <c r="F605" s="8"/>
      <c r="G605" s="8"/>
      <c r="H605" s="8"/>
      <c r="I605" s="8"/>
      <c r="J605" s="8"/>
      <c r="K605" s="8"/>
    </row>
    <row r="606">
      <c r="F606" s="8"/>
      <c r="G606" s="8"/>
      <c r="H606" s="8"/>
      <c r="I606" s="8"/>
      <c r="J606" s="8"/>
      <c r="K606" s="8"/>
    </row>
    <row r="607">
      <c r="F607" s="8"/>
      <c r="G607" s="8"/>
      <c r="H607" s="8"/>
      <c r="I607" s="8"/>
      <c r="J607" s="8"/>
      <c r="K607" s="8"/>
    </row>
    <row r="608">
      <c r="F608" s="8"/>
      <c r="G608" s="8"/>
      <c r="H608" s="8"/>
      <c r="I608" s="8"/>
      <c r="J608" s="8"/>
      <c r="K608" s="8"/>
    </row>
    <row r="609">
      <c r="F609" s="8"/>
      <c r="G609" s="8"/>
      <c r="H609" s="8"/>
      <c r="I609" s="8"/>
      <c r="J609" s="8"/>
      <c r="K609" s="8"/>
    </row>
    <row r="610">
      <c r="F610" s="8"/>
      <c r="G610" s="8"/>
      <c r="H610" s="8"/>
      <c r="I610" s="8"/>
      <c r="J610" s="8"/>
      <c r="K610" s="8"/>
    </row>
    <row r="611">
      <c r="F611" s="8"/>
      <c r="G611" s="8"/>
      <c r="H611" s="8"/>
      <c r="I611" s="8"/>
      <c r="J611" s="8"/>
      <c r="K611" s="8"/>
    </row>
    <row r="612">
      <c r="F612" s="8"/>
      <c r="G612" s="8"/>
      <c r="H612" s="8"/>
      <c r="I612" s="8"/>
      <c r="J612" s="8"/>
      <c r="K612" s="8"/>
    </row>
    <row r="613">
      <c r="F613" s="8"/>
      <c r="G613" s="8"/>
      <c r="H613" s="8"/>
      <c r="I613" s="8"/>
      <c r="J613" s="8"/>
      <c r="K613" s="8"/>
    </row>
    <row r="614">
      <c r="F614" s="8"/>
      <c r="G614" s="8"/>
      <c r="H614" s="8"/>
      <c r="I614" s="8"/>
      <c r="J614" s="8"/>
      <c r="K614" s="8"/>
    </row>
    <row r="615">
      <c r="F615" s="8"/>
      <c r="G615" s="8"/>
      <c r="H615" s="8"/>
      <c r="I615" s="8"/>
      <c r="J615" s="8"/>
      <c r="K615" s="8"/>
    </row>
    <row r="616">
      <c r="F616" s="8"/>
      <c r="G616" s="8"/>
      <c r="H616" s="8"/>
      <c r="I616" s="8"/>
      <c r="J616" s="8"/>
      <c r="K616" s="8"/>
    </row>
    <row r="617">
      <c r="F617" s="8"/>
      <c r="G617" s="8"/>
      <c r="H617" s="8"/>
      <c r="I617" s="8"/>
      <c r="J617" s="8"/>
      <c r="K617" s="8"/>
    </row>
    <row r="618">
      <c r="F618" s="8"/>
      <c r="G618" s="8"/>
      <c r="H618" s="8"/>
      <c r="I618" s="8"/>
      <c r="J618" s="8"/>
      <c r="K618" s="8"/>
    </row>
    <row r="619">
      <c r="F619" s="8"/>
      <c r="G619" s="8"/>
      <c r="H619" s="8"/>
      <c r="I619" s="8"/>
      <c r="J619" s="8"/>
      <c r="K619" s="8"/>
    </row>
    <row r="620">
      <c r="F620" s="8"/>
      <c r="G620" s="8"/>
      <c r="H620" s="8"/>
      <c r="I620" s="8"/>
      <c r="J620" s="8"/>
      <c r="K620" s="8"/>
    </row>
    <row r="621">
      <c r="F621" s="8"/>
      <c r="G621" s="8"/>
      <c r="H621" s="8"/>
      <c r="I621" s="8"/>
      <c r="J621" s="8"/>
      <c r="K621" s="8"/>
    </row>
    <row r="622">
      <c r="F622" s="8"/>
      <c r="G622" s="8"/>
      <c r="H622" s="8"/>
      <c r="I622" s="8"/>
      <c r="J622" s="8"/>
      <c r="K622" s="8"/>
    </row>
    <row r="623">
      <c r="F623" s="8"/>
      <c r="G623" s="8"/>
      <c r="H623" s="8"/>
      <c r="I623" s="8"/>
      <c r="J623" s="8"/>
      <c r="K623" s="8"/>
    </row>
    <row r="624">
      <c r="F624" s="8"/>
      <c r="G624" s="8"/>
      <c r="H624" s="8"/>
      <c r="I624" s="8"/>
      <c r="J624" s="8"/>
      <c r="K624" s="8"/>
    </row>
    <row r="625">
      <c r="F625" s="8"/>
      <c r="G625" s="8"/>
      <c r="H625" s="8"/>
      <c r="I625" s="8"/>
      <c r="J625" s="8"/>
      <c r="K625" s="8"/>
    </row>
    <row r="626">
      <c r="F626" s="8"/>
      <c r="G626" s="8"/>
      <c r="H626" s="8"/>
      <c r="I626" s="8"/>
      <c r="J626" s="8"/>
      <c r="K626" s="8"/>
    </row>
    <row r="627">
      <c r="F627" s="8"/>
      <c r="G627" s="8"/>
      <c r="H627" s="8"/>
      <c r="I627" s="8"/>
      <c r="J627" s="8"/>
      <c r="K627" s="8"/>
    </row>
    <row r="628">
      <c r="F628" s="8"/>
      <c r="G628" s="8"/>
      <c r="H628" s="8"/>
      <c r="I628" s="8"/>
      <c r="J628" s="8"/>
      <c r="K628" s="8"/>
    </row>
    <row r="629">
      <c r="F629" s="8"/>
      <c r="G629" s="8"/>
      <c r="H629" s="8"/>
      <c r="I629" s="8"/>
      <c r="J629" s="8"/>
      <c r="K629" s="8"/>
    </row>
    <row r="630">
      <c r="F630" s="8"/>
      <c r="G630" s="8"/>
      <c r="H630" s="8"/>
      <c r="I630" s="8"/>
      <c r="J630" s="8"/>
      <c r="K630" s="8"/>
    </row>
    <row r="631">
      <c r="F631" s="8"/>
      <c r="G631" s="8"/>
      <c r="H631" s="8"/>
      <c r="I631" s="8"/>
      <c r="J631" s="8"/>
      <c r="K631" s="8"/>
    </row>
    <row r="632">
      <c r="F632" s="8"/>
      <c r="G632" s="8"/>
      <c r="H632" s="8"/>
      <c r="I632" s="8"/>
      <c r="J632" s="8"/>
      <c r="K632" s="8"/>
    </row>
    <row r="633">
      <c r="F633" s="8"/>
      <c r="G633" s="8"/>
      <c r="H633" s="8"/>
      <c r="I633" s="8"/>
      <c r="J633" s="8"/>
      <c r="K633" s="8"/>
    </row>
    <row r="634">
      <c r="F634" s="8"/>
      <c r="G634" s="8"/>
      <c r="H634" s="8"/>
      <c r="I634" s="8"/>
      <c r="J634" s="8"/>
      <c r="K634" s="8"/>
    </row>
    <row r="635">
      <c r="F635" s="8"/>
      <c r="G635" s="8"/>
      <c r="H635" s="8"/>
      <c r="I635" s="8"/>
      <c r="J635" s="8"/>
      <c r="K635" s="8"/>
    </row>
    <row r="636">
      <c r="F636" s="8"/>
      <c r="G636" s="8"/>
      <c r="H636" s="8"/>
      <c r="I636" s="8"/>
      <c r="J636" s="8"/>
      <c r="K636" s="8"/>
    </row>
    <row r="637">
      <c r="F637" s="8"/>
      <c r="G637" s="8"/>
      <c r="H637" s="8"/>
      <c r="I637" s="8"/>
      <c r="J637" s="8"/>
      <c r="K637" s="8"/>
    </row>
    <row r="638">
      <c r="F638" s="8"/>
      <c r="G638" s="8"/>
      <c r="H638" s="8"/>
      <c r="I638" s="8"/>
      <c r="J638" s="8"/>
      <c r="K638" s="8"/>
    </row>
    <row r="639">
      <c r="F639" s="8"/>
      <c r="G639" s="8"/>
      <c r="H639" s="8"/>
      <c r="I639" s="8"/>
      <c r="J639" s="8"/>
      <c r="K639" s="8"/>
    </row>
    <row r="640">
      <c r="F640" s="8"/>
      <c r="G640" s="8"/>
      <c r="H640" s="8"/>
      <c r="I640" s="8"/>
      <c r="J640" s="8"/>
      <c r="K640" s="8"/>
    </row>
    <row r="641">
      <c r="F641" s="8"/>
      <c r="G641" s="8"/>
      <c r="H641" s="8"/>
      <c r="I641" s="8"/>
      <c r="J641" s="8"/>
      <c r="K641" s="8"/>
    </row>
    <row r="642">
      <c r="F642" s="8"/>
      <c r="G642" s="8"/>
      <c r="H642" s="8"/>
      <c r="I642" s="8"/>
      <c r="J642" s="8"/>
      <c r="K642" s="8"/>
    </row>
    <row r="643">
      <c r="F643" s="8"/>
      <c r="G643" s="8"/>
      <c r="H643" s="8"/>
      <c r="I643" s="8"/>
      <c r="J643" s="8"/>
      <c r="K643" s="8"/>
    </row>
    <row r="644">
      <c r="F644" s="8"/>
      <c r="G644" s="8"/>
      <c r="H644" s="8"/>
      <c r="I644" s="8"/>
      <c r="J644" s="8"/>
      <c r="K644" s="8"/>
    </row>
    <row r="645">
      <c r="F645" s="8"/>
      <c r="G645" s="8"/>
      <c r="H645" s="8"/>
      <c r="I645" s="8"/>
      <c r="J645" s="8"/>
      <c r="K645" s="8"/>
    </row>
    <row r="646">
      <c r="F646" s="8"/>
      <c r="G646" s="8"/>
      <c r="H646" s="8"/>
      <c r="I646" s="8"/>
      <c r="J646" s="8"/>
      <c r="K646" s="8"/>
    </row>
    <row r="647">
      <c r="F647" s="8"/>
      <c r="G647" s="8"/>
      <c r="H647" s="8"/>
      <c r="I647" s="8"/>
      <c r="J647" s="8"/>
      <c r="K647" s="8"/>
    </row>
    <row r="648">
      <c r="F648" s="8"/>
      <c r="G648" s="8"/>
      <c r="H648" s="8"/>
      <c r="I648" s="8"/>
      <c r="J648" s="8"/>
      <c r="K648" s="8"/>
    </row>
    <row r="649">
      <c r="F649" s="8"/>
      <c r="G649" s="8"/>
      <c r="H649" s="8"/>
      <c r="I649" s="8"/>
      <c r="J649" s="8"/>
      <c r="K649" s="8"/>
    </row>
    <row r="650">
      <c r="F650" s="8"/>
      <c r="G650" s="8"/>
      <c r="H650" s="8"/>
      <c r="I650" s="8"/>
      <c r="J650" s="8"/>
      <c r="K650" s="8"/>
    </row>
    <row r="651">
      <c r="F651" s="8"/>
      <c r="G651" s="8"/>
      <c r="H651" s="8"/>
      <c r="I651" s="8"/>
      <c r="J651" s="8"/>
      <c r="K651" s="8"/>
    </row>
    <row r="652">
      <c r="F652" s="8"/>
      <c r="G652" s="8"/>
      <c r="H652" s="8"/>
      <c r="I652" s="8"/>
      <c r="J652" s="8"/>
      <c r="K652" s="8"/>
    </row>
    <row r="653">
      <c r="F653" s="8"/>
      <c r="G653" s="8"/>
      <c r="H653" s="8"/>
      <c r="I653" s="8"/>
      <c r="J653" s="8"/>
      <c r="K653" s="8"/>
    </row>
    <row r="654">
      <c r="F654" s="8"/>
      <c r="G654" s="8"/>
      <c r="H654" s="8"/>
      <c r="I654" s="8"/>
      <c r="J654" s="8"/>
      <c r="K654" s="8"/>
    </row>
    <row r="655">
      <c r="F655" s="8"/>
      <c r="G655" s="8"/>
      <c r="H655" s="8"/>
      <c r="I655" s="8"/>
      <c r="J655" s="8"/>
      <c r="K655" s="8"/>
    </row>
    <row r="656">
      <c r="F656" s="8"/>
      <c r="G656" s="8"/>
      <c r="H656" s="8"/>
      <c r="I656" s="8"/>
      <c r="J656" s="8"/>
      <c r="K656" s="8"/>
    </row>
    <row r="657">
      <c r="F657" s="8"/>
      <c r="G657" s="8"/>
      <c r="H657" s="8"/>
      <c r="I657" s="8"/>
      <c r="J657" s="8"/>
      <c r="K657" s="8"/>
    </row>
    <row r="658">
      <c r="F658" s="8"/>
      <c r="G658" s="8"/>
      <c r="H658" s="8"/>
      <c r="I658" s="8"/>
      <c r="J658" s="8"/>
      <c r="K658" s="8"/>
    </row>
    <row r="659">
      <c r="F659" s="8"/>
      <c r="G659" s="8"/>
      <c r="H659" s="8"/>
      <c r="I659" s="8"/>
      <c r="J659" s="8"/>
      <c r="K659" s="8"/>
    </row>
    <row r="660">
      <c r="F660" s="8"/>
      <c r="G660" s="8"/>
      <c r="H660" s="8"/>
      <c r="I660" s="8"/>
      <c r="J660" s="8"/>
      <c r="K660" s="8"/>
    </row>
    <row r="661">
      <c r="F661" s="8"/>
      <c r="G661" s="8"/>
      <c r="H661" s="8"/>
      <c r="I661" s="8"/>
      <c r="J661" s="8"/>
      <c r="K661" s="8"/>
    </row>
    <row r="662">
      <c r="F662" s="8"/>
      <c r="G662" s="8"/>
      <c r="H662" s="8"/>
      <c r="I662" s="8"/>
      <c r="J662" s="8"/>
      <c r="K662" s="8"/>
    </row>
    <row r="663">
      <c r="F663" s="8"/>
      <c r="G663" s="8"/>
      <c r="H663" s="8"/>
      <c r="I663" s="8"/>
      <c r="J663" s="8"/>
      <c r="K663" s="8"/>
    </row>
    <row r="664">
      <c r="F664" s="8"/>
      <c r="G664" s="8"/>
      <c r="H664" s="8"/>
      <c r="I664" s="8"/>
      <c r="J664" s="8"/>
      <c r="K664" s="8"/>
    </row>
    <row r="665">
      <c r="F665" s="8"/>
      <c r="G665" s="8"/>
      <c r="H665" s="8"/>
      <c r="I665" s="8"/>
      <c r="J665" s="8"/>
      <c r="K665" s="8"/>
    </row>
    <row r="666">
      <c r="F666" s="8"/>
      <c r="G666" s="8"/>
      <c r="H666" s="8"/>
      <c r="I666" s="8"/>
      <c r="J666" s="8"/>
      <c r="K666" s="8"/>
    </row>
    <row r="667">
      <c r="F667" s="8"/>
      <c r="G667" s="8"/>
      <c r="H667" s="8"/>
      <c r="I667" s="8"/>
      <c r="J667" s="8"/>
      <c r="K667" s="8"/>
    </row>
    <row r="668">
      <c r="F668" s="8"/>
      <c r="G668" s="8"/>
      <c r="H668" s="8"/>
      <c r="I668" s="8"/>
      <c r="J668" s="8"/>
      <c r="K668" s="8"/>
    </row>
    <row r="669">
      <c r="F669" s="8"/>
      <c r="G669" s="8"/>
      <c r="H669" s="8"/>
      <c r="I669" s="8"/>
      <c r="J669" s="8"/>
      <c r="K669" s="8"/>
    </row>
    <row r="670">
      <c r="F670" s="8"/>
      <c r="G670" s="8"/>
      <c r="H670" s="8"/>
      <c r="I670" s="8"/>
      <c r="J670" s="8"/>
      <c r="K670" s="8"/>
    </row>
    <row r="671">
      <c r="F671" s="8"/>
      <c r="G671" s="8"/>
      <c r="H671" s="8"/>
      <c r="I671" s="8"/>
      <c r="J671" s="8"/>
      <c r="K671" s="8"/>
    </row>
    <row r="672">
      <c r="F672" s="8"/>
      <c r="G672" s="8"/>
      <c r="H672" s="8"/>
      <c r="I672" s="8"/>
      <c r="J672" s="8"/>
      <c r="K672" s="8"/>
    </row>
    <row r="673">
      <c r="F673" s="8"/>
      <c r="G673" s="8"/>
      <c r="H673" s="8"/>
      <c r="I673" s="8"/>
      <c r="J673" s="8"/>
      <c r="K673" s="8"/>
    </row>
    <row r="674">
      <c r="F674" s="8"/>
      <c r="G674" s="8"/>
      <c r="H674" s="8"/>
      <c r="I674" s="8"/>
      <c r="J674" s="8"/>
      <c r="K674" s="8"/>
    </row>
    <row r="675">
      <c r="F675" s="8"/>
      <c r="G675" s="8"/>
      <c r="H675" s="8"/>
      <c r="I675" s="8"/>
      <c r="J675" s="8"/>
      <c r="K675" s="8"/>
    </row>
    <row r="676">
      <c r="F676" s="8"/>
      <c r="G676" s="8"/>
      <c r="H676" s="8"/>
      <c r="I676" s="8"/>
      <c r="J676" s="8"/>
      <c r="K676" s="8"/>
    </row>
    <row r="677">
      <c r="F677" s="8"/>
      <c r="G677" s="8"/>
      <c r="H677" s="8"/>
      <c r="I677" s="8"/>
      <c r="J677" s="8"/>
      <c r="K677" s="8"/>
    </row>
    <row r="678">
      <c r="F678" s="8"/>
      <c r="G678" s="8"/>
      <c r="H678" s="8"/>
      <c r="I678" s="8"/>
      <c r="J678" s="8"/>
      <c r="K678" s="8"/>
    </row>
    <row r="679">
      <c r="F679" s="8"/>
      <c r="G679" s="8"/>
      <c r="H679" s="8"/>
      <c r="I679" s="8"/>
      <c r="J679" s="8"/>
      <c r="K679" s="8"/>
    </row>
    <row r="680">
      <c r="F680" s="8"/>
      <c r="G680" s="8"/>
      <c r="H680" s="8"/>
      <c r="I680" s="8"/>
      <c r="J680" s="8"/>
      <c r="K680" s="8"/>
    </row>
    <row r="681">
      <c r="F681" s="8"/>
      <c r="G681" s="8"/>
      <c r="H681" s="8"/>
      <c r="I681" s="8"/>
      <c r="J681" s="8"/>
      <c r="K681" s="8"/>
    </row>
    <row r="682">
      <c r="F682" s="8"/>
      <c r="G682" s="8"/>
      <c r="H682" s="8"/>
      <c r="I682" s="8"/>
      <c r="J682" s="8"/>
      <c r="K682" s="8"/>
    </row>
    <row r="683">
      <c r="F683" s="8"/>
      <c r="G683" s="8"/>
      <c r="H683" s="8"/>
      <c r="I683" s="8"/>
      <c r="J683" s="8"/>
      <c r="K683" s="8"/>
    </row>
    <row r="684">
      <c r="F684" s="8"/>
      <c r="G684" s="8"/>
      <c r="H684" s="8"/>
      <c r="I684" s="8"/>
      <c r="J684" s="8"/>
      <c r="K684" s="8"/>
    </row>
    <row r="685">
      <c r="F685" s="8"/>
      <c r="G685" s="8"/>
      <c r="H685" s="8"/>
      <c r="I685" s="8"/>
      <c r="J685" s="8"/>
      <c r="K685" s="8"/>
    </row>
    <row r="686">
      <c r="F686" s="8"/>
      <c r="G686" s="8"/>
      <c r="H686" s="8"/>
      <c r="I686" s="8"/>
      <c r="J686" s="8"/>
      <c r="K686" s="8"/>
    </row>
    <row r="687">
      <c r="F687" s="8"/>
      <c r="G687" s="8"/>
      <c r="H687" s="8"/>
      <c r="I687" s="8"/>
      <c r="J687" s="8"/>
      <c r="K687" s="8"/>
    </row>
    <row r="688">
      <c r="F688" s="8"/>
      <c r="G688" s="8"/>
      <c r="H688" s="8"/>
      <c r="I688" s="8"/>
      <c r="J688" s="8"/>
      <c r="K688" s="8"/>
    </row>
    <row r="689">
      <c r="F689" s="8"/>
      <c r="G689" s="8"/>
      <c r="H689" s="8"/>
      <c r="I689" s="8"/>
      <c r="J689" s="8"/>
      <c r="K689" s="8"/>
    </row>
    <row r="690">
      <c r="F690" s="8"/>
      <c r="G690" s="8"/>
      <c r="H690" s="8"/>
      <c r="I690" s="8"/>
      <c r="J690" s="8"/>
      <c r="K690" s="8"/>
    </row>
    <row r="691">
      <c r="F691" s="8"/>
      <c r="G691" s="8"/>
      <c r="H691" s="8"/>
      <c r="I691" s="8"/>
      <c r="J691" s="8"/>
      <c r="K691" s="8"/>
    </row>
    <row r="692">
      <c r="F692" s="8"/>
      <c r="G692" s="8"/>
      <c r="H692" s="8"/>
      <c r="I692" s="8"/>
      <c r="J692" s="8"/>
      <c r="K692" s="8"/>
    </row>
    <row r="693">
      <c r="F693" s="8"/>
      <c r="G693" s="8"/>
      <c r="H693" s="8"/>
      <c r="I693" s="8"/>
      <c r="J693" s="8"/>
      <c r="K693" s="8"/>
    </row>
    <row r="694">
      <c r="F694" s="8"/>
      <c r="G694" s="8"/>
      <c r="H694" s="8"/>
      <c r="I694" s="8"/>
      <c r="J694" s="8"/>
      <c r="K694" s="8"/>
    </row>
    <row r="695">
      <c r="F695" s="8"/>
      <c r="G695" s="8"/>
      <c r="H695" s="8"/>
      <c r="I695" s="8"/>
      <c r="J695" s="8"/>
      <c r="K695" s="8"/>
    </row>
    <row r="696">
      <c r="F696" s="8"/>
      <c r="G696" s="8"/>
      <c r="H696" s="8"/>
      <c r="I696" s="8"/>
      <c r="J696" s="8"/>
      <c r="K696" s="8"/>
    </row>
    <row r="697">
      <c r="F697" s="8"/>
      <c r="G697" s="8"/>
      <c r="H697" s="8"/>
      <c r="I697" s="8"/>
      <c r="J697" s="8"/>
      <c r="K697" s="8"/>
    </row>
    <row r="698">
      <c r="F698" s="8"/>
      <c r="G698" s="8"/>
      <c r="H698" s="8"/>
      <c r="I698" s="8"/>
      <c r="J698" s="8"/>
      <c r="K698" s="8"/>
    </row>
    <row r="699">
      <c r="F699" s="8"/>
      <c r="G699" s="8"/>
      <c r="H699" s="8"/>
      <c r="I699" s="8"/>
      <c r="J699" s="8"/>
      <c r="K699" s="8"/>
    </row>
    <row r="700">
      <c r="F700" s="8"/>
      <c r="G700" s="8"/>
      <c r="H700" s="8"/>
      <c r="I700" s="8"/>
      <c r="J700" s="8"/>
      <c r="K700" s="8"/>
    </row>
    <row r="701">
      <c r="F701" s="8"/>
      <c r="G701" s="8"/>
      <c r="H701" s="8"/>
      <c r="I701" s="8"/>
      <c r="J701" s="8"/>
      <c r="K701" s="8"/>
    </row>
    <row r="702">
      <c r="F702" s="8"/>
      <c r="G702" s="8"/>
      <c r="H702" s="8"/>
      <c r="I702" s="8"/>
      <c r="J702" s="8"/>
      <c r="K702" s="8"/>
    </row>
    <row r="703">
      <c r="F703" s="8"/>
      <c r="G703" s="8"/>
      <c r="H703" s="8"/>
      <c r="I703" s="8"/>
      <c r="J703" s="8"/>
      <c r="K703" s="8"/>
    </row>
    <row r="704">
      <c r="F704" s="8"/>
      <c r="G704" s="8"/>
      <c r="H704" s="8"/>
      <c r="I704" s="8"/>
      <c r="J704" s="8"/>
      <c r="K704" s="8"/>
    </row>
    <row r="705">
      <c r="F705" s="8"/>
      <c r="G705" s="8"/>
      <c r="H705" s="8"/>
      <c r="I705" s="8"/>
      <c r="J705" s="8"/>
      <c r="K705" s="8"/>
    </row>
    <row r="706">
      <c r="F706" s="8"/>
      <c r="G706" s="8"/>
      <c r="H706" s="8"/>
      <c r="I706" s="8"/>
      <c r="J706" s="8"/>
      <c r="K706" s="8"/>
    </row>
    <row r="707">
      <c r="F707" s="8"/>
      <c r="G707" s="8"/>
      <c r="H707" s="8"/>
      <c r="I707" s="8"/>
      <c r="J707" s="8"/>
      <c r="K707" s="8"/>
    </row>
    <row r="708">
      <c r="F708" s="8"/>
      <c r="G708" s="8"/>
      <c r="H708" s="8"/>
      <c r="I708" s="8"/>
      <c r="J708" s="8"/>
      <c r="K708" s="8"/>
    </row>
    <row r="709">
      <c r="F709" s="8"/>
      <c r="G709" s="8"/>
      <c r="H709" s="8"/>
      <c r="I709" s="8"/>
      <c r="J709" s="8"/>
      <c r="K709" s="8"/>
    </row>
    <row r="710">
      <c r="F710" s="8"/>
      <c r="G710" s="8"/>
      <c r="H710" s="8"/>
      <c r="I710" s="8"/>
      <c r="J710" s="8"/>
      <c r="K710" s="8"/>
    </row>
    <row r="711">
      <c r="F711" s="8"/>
      <c r="G711" s="8"/>
      <c r="H711" s="8"/>
      <c r="I711" s="8"/>
      <c r="J711" s="8"/>
      <c r="K711" s="8"/>
    </row>
    <row r="712">
      <c r="F712" s="8"/>
      <c r="G712" s="8"/>
      <c r="H712" s="8"/>
      <c r="I712" s="8"/>
      <c r="J712" s="8"/>
      <c r="K712" s="8"/>
    </row>
    <row r="713">
      <c r="F713" s="8"/>
      <c r="G713" s="8"/>
      <c r="H713" s="8"/>
      <c r="I713" s="8"/>
      <c r="J713" s="8"/>
      <c r="K713" s="8"/>
    </row>
    <row r="714">
      <c r="F714" s="8"/>
      <c r="G714" s="8"/>
      <c r="H714" s="8"/>
      <c r="I714" s="8"/>
      <c r="J714" s="8"/>
      <c r="K714" s="8"/>
    </row>
    <row r="715">
      <c r="F715" s="8"/>
      <c r="G715" s="8"/>
      <c r="H715" s="8"/>
      <c r="I715" s="8"/>
      <c r="J715" s="8"/>
      <c r="K715" s="8"/>
    </row>
    <row r="716">
      <c r="F716" s="8"/>
      <c r="G716" s="8"/>
      <c r="H716" s="8"/>
      <c r="I716" s="8"/>
      <c r="J716" s="8"/>
      <c r="K716" s="8"/>
    </row>
    <row r="717">
      <c r="F717" s="8"/>
      <c r="G717" s="8"/>
      <c r="H717" s="8"/>
      <c r="I717" s="8"/>
      <c r="J717" s="8"/>
      <c r="K717" s="8"/>
    </row>
    <row r="718">
      <c r="F718" s="8"/>
      <c r="G718" s="8"/>
      <c r="H718" s="8"/>
      <c r="I718" s="8"/>
      <c r="J718" s="8"/>
      <c r="K718" s="8"/>
    </row>
    <row r="719">
      <c r="F719" s="8"/>
      <c r="G719" s="8"/>
      <c r="H719" s="8"/>
      <c r="I719" s="8"/>
      <c r="J719" s="8"/>
      <c r="K719" s="8"/>
    </row>
    <row r="720">
      <c r="F720" s="8"/>
      <c r="G720" s="8"/>
      <c r="H720" s="8"/>
      <c r="I720" s="8"/>
      <c r="J720" s="8"/>
      <c r="K720" s="8"/>
    </row>
    <row r="721">
      <c r="F721" s="8"/>
      <c r="G721" s="8"/>
      <c r="H721" s="8"/>
      <c r="I721" s="8"/>
      <c r="J721" s="8"/>
      <c r="K721" s="8"/>
    </row>
    <row r="722">
      <c r="F722" s="8"/>
      <c r="G722" s="8"/>
      <c r="H722" s="8"/>
      <c r="I722" s="8"/>
      <c r="J722" s="8"/>
      <c r="K722" s="8"/>
    </row>
    <row r="723">
      <c r="F723" s="8"/>
      <c r="G723" s="8"/>
      <c r="H723" s="8"/>
      <c r="I723" s="8"/>
      <c r="J723" s="8"/>
      <c r="K723" s="8"/>
    </row>
    <row r="724">
      <c r="F724" s="8"/>
      <c r="G724" s="8"/>
      <c r="H724" s="8"/>
      <c r="I724" s="8"/>
      <c r="J724" s="8"/>
      <c r="K724" s="8"/>
    </row>
    <row r="725">
      <c r="F725" s="8"/>
      <c r="G725" s="8"/>
      <c r="H725" s="8"/>
      <c r="I725" s="8"/>
      <c r="J725" s="8"/>
      <c r="K725" s="8"/>
    </row>
    <row r="726">
      <c r="F726" s="8"/>
      <c r="G726" s="8"/>
      <c r="H726" s="8"/>
      <c r="I726" s="8"/>
      <c r="J726" s="8"/>
      <c r="K726" s="8"/>
    </row>
    <row r="727">
      <c r="F727" s="8"/>
      <c r="G727" s="8"/>
      <c r="H727" s="8"/>
      <c r="I727" s="8"/>
      <c r="J727" s="8"/>
      <c r="K727" s="8"/>
    </row>
    <row r="728">
      <c r="F728" s="8"/>
      <c r="G728" s="8"/>
      <c r="H728" s="8"/>
      <c r="I728" s="8"/>
      <c r="J728" s="8"/>
      <c r="K728" s="8"/>
    </row>
    <row r="729">
      <c r="F729" s="8"/>
      <c r="G729" s="8"/>
      <c r="H729" s="8"/>
      <c r="I729" s="8"/>
      <c r="J729" s="8"/>
      <c r="K729" s="8"/>
    </row>
    <row r="730">
      <c r="F730" s="8"/>
      <c r="G730" s="8"/>
      <c r="H730" s="8"/>
      <c r="I730" s="8"/>
      <c r="J730" s="8"/>
      <c r="K730" s="8"/>
    </row>
    <row r="731">
      <c r="F731" s="8"/>
      <c r="G731" s="8"/>
      <c r="H731" s="8"/>
      <c r="I731" s="8"/>
      <c r="J731" s="8"/>
      <c r="K731" s="8"/>
    </row>
    <row r="732">
      <c r="F732" s="8"/>
      <c r="G732" s="8"/>
      <c r="H732" s="8"/>
      <c r="I732" s="8"/>
      <c r="J732" s="8"/>
      <c r="K732" s="8"/>
    </row>
    <row r="733">
      <c r="F733" s="8"/>
      <c r="G733" s="8"/>
      <c r="H733" s="8"/>
      <c r="I733" s="8"/>
      <c r="J733" s="8"/>
      <c r="K733" s="8"/>
    </row>
    <row r="734">
      <c r="F734" s="8"/>
      <c r="G734" s="8"/>
      <c r="H734" s="8"/>
      <c r="I734" s="8"/>
      <c r="J734" s="8"/>
      <c r="K734" s="8"/>
    </row>
    <row r="735">
      <c r="F735" s="8"/>
      <c r="G735" s="8"/>
      <c r="H735" s="8"/>
      <c r="I735" s="8"/>
      <c r="J735" s="8"/>
      <c r="K735" s="8"/>
    </row>
    <row r="736">
      <c r="F736" s="8"/>
      <c r="G736" s="8"/>
      <c r="H736" s="8"/>
      <c r="I736" s="8"/>
      <c r="J736" s="8"/>
      <c r="K736" s="8"/>
    </row>
    <row r="737">
      <c r="F737" s="8"/>
      <c r="G737" s="8"/>
      <c r="H737" s="8"/>
      <c r="I737" s="8"/>
      <c r="J737" s="8"/>
      <c r="K737" s="8"/>
    </row>
    <row r="738">
      <c r="F738" s="8"/>
      <c r="G738" s="8"/>
      <c r="H738" s="8"/>
      <c r="I738" s="8"/>
      <c r="J738" s="8"/>
      <c r="K738" s="8"/>
    </row>
    <row r="739">
      <c r="F739" s="8"/>
      <c r="G739" s="8"/>
      <c r="H739" s="8"/>
      <c r="I739" s="8"/>
      <c r="J739" s="8"/>
      <c r="K739" s="8"/>
    </row>
    <row r="740">
      <c r="F740" s="8"/>
      <c r="G740" s="8"/>
      <c r="H740" s="8"/>
      <c r="I740" s="8"/>
      <c r="J740" s="8"/>
      <c r="K740" s="8"/>
    </row>
    <row r="741">
      <c r="F741" s="8"/>
      <c r="G741" s="8"/>
      <c r="H741" s="8"/>
      <c r="I741" s="8"/>
      <c r="J741" s="8"/>
      <c r="K741" s="8"/>
    </row>
    <row r="742">
      <c r="F742" s="8"/>
      <c r="G742" s="8"/>
      <c r="H742" s="8"/>
      <c r="I742" s="8"/>
      <c r="J742" s="8"/>
      <c r="K742" s="8"/>
    </row>
    <row r="743">
      <c r="F743" s="8"/>
      <c r="G743" s="8"/>
      <c r="H743" s="8"/>
      <c r="I743" s="8"/>
      <c r="J743" s="8"/>
      <c r="K743" s="8"/>
    </row>
    <row r="744">
      <c r="F744" s="8"/>
      <c r="G744" s="8"/>
      <c r="H744" s="8"/>
      <c r="I744" s="8"/>
      <c r="J744" s="8"/>
      <c r="K744" s="8"/>
    </row>
    <row r="745">
      <c r="F745" s="8"/>
      <c r="G745" s="8"/>
      <c r="H745" s="8"/>
      <c r="I745" s="8"/>
      <c r="J745" s="8"/>
      <c r="K745" s="8"/>
    </row>
    <row r="746">
      <c r="F746" s="8"/>
      <c r="G746" s="8"/>
      <c r="H746" s="8"/>
      <c r="I746" s="8"/>
      <c r="J746" s="8"/>
      <c r="K746" s="8"/>
    </row>
    <row r="747">
      <c r="F747" s="8"/>
      <c r="G747" s="8"/>
      <c r="H747" s="8"/>
      <c r="I747" s="8"/>
      <c r="J747" s="8"/>
      <c r="K747" s="8"/>
    </row>
    <row r="748">
      <c r="F748" s="8"/>
      <c r="G748" s="8"/>
      <c r="H748" s="8"/>
      <c r="I748" s="8"/>
      <c r="J748" s="8"/>
      <c r="K748" s="8"/>
    </row>
    <row r="749">
      <c r="F749" s="8"/>
      <c r="G749" s="8"/>
      <c r="H749" s="8"/>
      <c r="I749" s="8"/>
      <c r="J749" s="8"/>
      <c r="K749" s="8"/>
    </row>
    <row r="750">
      <c r="F750" s="8"/>
      <c r="G750" s="8"/>
      <c r="H750" s="8"/>
      <c r="I750" s="8"/>
      <c r="J750" s="8"/>
      <c r="K750" s="8"/>
    </row>
    <row r="751">
      <c r="F751" s="8"/>
      <c r="G751" s="8"/>
      <c r="H751" s="8"/>
      <c r="I751" s="8"/>
      <c r="J751" s="8"/>
      <c r="K751" s="8"/>
    </row>
    <row r="752">
      <c r="F752" s="8"/>
      <c r="G752" s="8"/>
      <c r="H752" s="8"/>
      <c r="I752" s="8"/>
      <c r="J752" s="8"/>
      <c r="K752" s="8"/>
    </row>
    <row r="753">
      <c r="F753" s="8"/>
      <c r="G753" s="8"/>
      <c r="H753" s="8"/>
      <c r="I753" s="8"/>
      <c r="J753" s="8"/>
      <c r="K753" s="8"/>
    </row>
    <row r="754">
      <c r="F754" s="8"/>
      <c r="G754" s="8"/>
      <c r="H754" s="8"/>
      <c r="I754" s="8"/>
      <c r="J754" s="8"/>
      <c r="K754" s="8"/>
    </row>
    <row r="755">
      <c r="F755" s="8"/>
      <c r="G755" s="8"/>
      <c r="H755" s="8"/>
      <c r="I755" s="8"/>
      <c r="J755" s="8"/>
      <c r="K755" s="8"/>
    </row>
    <row r="756">
      <c r="F756" s="8"/>
      <c r="G756" s="8"/>
      <c r="H756" s="8"/>
      <c r="I756" s="8"/>
      <c r="J756" s="8"/>
      <c r="K756" s="8"/>
    </row>
    <row r="757">
      <c r="F757" s="8"/>
      <c r="G757" s="8"/>
      <c r="H757" s="8"/>
      <c r="I757" s="8"/>
      <c r="J757" s="8"/>
      <c r="K757" s="8"/>
    </row>
    <row r="758">
      <c r="F758" s="8"/>
      <c r="G758" s="8"/>
      <c r="H758" s="8"/>
      <c r="I758" s="8"/>
      <c r="J758" s="8"/>
      <c r="K758" s="8"/>
    </row>
    <row r="759">
      <c r="F759" s="8"/>
      <c r="G759" s="8"/>
      <c r="H759" s="8"/>
      <c r="I759" s="8"/>
      <c r="J759" s="8"/>
      <c r="K759" s="8"/>
    </row>
    <row r="760">
      <c r="F760" s="8"/>
      <c r="G760" s="8"/>
      <c r="H760" s="8"/>
      <c r="I760" s="8"/>
      <c r="J760" s="8"/>
      <c r="K760" s="8"/>
    </row>
    <row r="761">
      <c r="F761" s="8"/>
      <c r="G761" s="8"/>
      <c r="H761" s="8"/>
      <c r="I761" s="8"/>
      <c r="J761" s="8"/>
      <c r="K761" s="8"/>
    </row>
    <row r="762">
      <c r="F762" s="8"/>
      <c r="G762" s="8"/>
      <c r="H762" s="8"/>
      <c r="I762" s="8"/>
      <c r="J762" s="8"/>
      <c r="K762" s="8"/>
    </row>
    <row r="763">
      <c r="F763" s="8"/>
      <c r="G763" s="8"/>
      <c r="H763" s="8"/>
      <c r="I763" s="8"/>
      <c r="J763" s="8"/>
      <c r="K763" s="8"/>
    </row>
    <row r="764">
      <c r="F764" s="8"/>
      <c r="G764" s="8"/>
      <c r="H764" s="8"/>
      <c r="I764" s="8"/>
      <c r="J764" s="8"/>
      <c r="K764" s="8"/>
    </row>
    <row r="765">
      <c r="F765" s="8"/>
      <c r="G765" s="8"/>
      <c r="H765" s="8"/>
      <c r="I765" s="8"/>
      <c r="J765" s="8"/>
      <c r="K765" s="8"/>
    </row>
    <row r="766">
      <c r="F766" s="8"/>
      <c r="G766" s="8"/>
      <c r="H766" s="8"/>
      <c r="I766" s="8"/>
      <c r="J766" s="8"/>
      <c r="K766" s="8"/>
    </row>
    <row r="767">
      <c r="F767" s="8"/>
      <c r="G767" s="8"/>
      <c r="H767" s="8"/>
      <c r="I767" s="8"/>
      <c r="J767" s="8"/>
      <c r="K767" s="8"/>
    </row>
    <row r="768">
      <c r="F768" s="8"/>
      <c r="G768" s="8"/>
      <c r="H768" s="8"/>
      <c r="I768" s="8"/>
      <c r="J768" s="8"/>
      <c r="K768" s="8"/>
    </row>
    <row r="769">
      <c r="F769" s="8"/>
      <c r="G769" s="8"/>
      <c r="H769" s="8"/>
      <c r="I769" s="8"/>
      <c r="J769" s="8"/>
      <c r="K769" s="8"/>
    </row>
    <row r="770">
      <c r="F770" s="8"/>
      <c r="G770" s="8"/>
      <c r="H770" s="8"/>
      <c r="I770" s="8"/>
      <c r="J770" s="8"/>
      <c r="K770" s="8"/>
    </row>
    <row r="771">
      <c r="F771" s="8"/>
      <c r="G771" s="8"/>
      <c r="H771" s="8"/>
      <c r="I771" s="8"/>
      <c r="J771" s="8"/>
      <c r="K771" s="8"/>
    </row>
    <row r="772">
      <c r="F772" s="8"/>
      <c r="G772" s="8"/>
      <c r="H772" s="8"/>
      <c r="I772" s="8"/>
      <c r="J772" s="8"/>
      <c r="K772" s="8"/>
    </row>
    <row r="773">
      <c r="F773" s="8"/>
      <c r="G773" s="8"/>
      <c r="H773" s="8"/>
      <c r="I773" s="8"/>
      <c r="J773" s="8"/>
      <c r="K773" s="8"/>
    </row>
    <row r="774">
      <c r="F774" s="8"/>
      <c r="G774" s="8"/>
      <c r="H774" s="8"/>
      <c r="I774" s="8"/>
      <c r="J774" s="8"/>
      <c r="K774" s="8"/>
    </row>
    <row r="775">
      <c r="F775" s="8"/>
      <c r="G775" s="8"/>
      <c r="H775" s="8"/>
      <c r="I775" s="8"/>
      <c r="J775" s="8"/>
      <c r="K775" s="8"/>
    </row>
    <row r="776">
      <c r="F776" s="8"/>
      <c r="G776" s="8"/>
      <c r="H776" s="8"/>
      <c r="I776" s="8"/>
      <c r="J776" s="8"/>
      <c r="K776" s="8"/>
    </row>
    <row r="777">
      <c r="F777" s="8"/>
      <c r="G777" s="8"/>
      <c r="H777" s="8"/>
      <c r="I777" s="8"/>
      <c r="J777" s="8"/>
      <c r="K777" s="8"/>
    </row>
    <row r="778">
      <c r="F778" s="8"/>
      <c r="G778" s="8"/>
      <c r="H778" s="8"/>
      <c r="I778" s="8"/>
      <c r="J778" s="8"/>
      <c r="K778" s="8"/>
    </row>
    <row r="779">
      <c r="F779" s="8"/>
      <c r="G779" s="8"/>
      <c r="H779" s="8"/>
      <c r="I779" s="8"/>
      <c r="J779" s="8"/>
      <c r="K779" s="8"/>
    </row>
    <row r="780">
      <c r="F780" s="8"/>
      <c r="G780" s="8"/>
      <c r="H780" s="8"/>
      <c r="I780" s="8"/>
      <c r="J780" s="8"/>
      <c r="K780" s="8"/>
    </row>
    <row r="781">
      <c r="F781" s="8"/>
      <c r="G781" s="8"/>
      <c r="H781" s="8"/>
      <c r="I781" s="8"/>
      <c r="J781" s="8"/>
      <c r="K781" s="8"/>
    </row>
    <row r="782">
      <c r="F782" s="8"/>
      <c r="G782" s="8"/>
      <c r="H782" s="8"/>
      <c r="I782" s="8"/>
      <c r="J782" s="8"/>
      <c r="K782" s="8"/>
    </row>
    <row r="783">
      <c r="F783" s="8"/>
      <c r="G783" s="8"/>
      <c r="H783" s="8"/>
      <c r="I783" s="8"/>
      <c r="J783" s="8"/>
      <c r="K783" s="8"/>
    </row>
    <row r="784">
      <c r="F784" s="8"/>
      <c r="G784" s="8"/>
      <c r="H784" s="8"/>
      <c r="I784" s="8"/>
      <c r="J784" s="8"/>
      <c r="K784" s="8"/>
    </row>
    <row r="785">
      <c r="F785" s="8"/>
      <c r="G785" s="8"/>
      <c r="H785" s="8"/>
      <c r="I785" s="8"/>
      <c r="J785" s="8"/>
      <c r="K785" s="8"/>
    </row>
    <row r="786">
      <c r="F786" s="8"/>
      <c r="G786" s="8"/>
      <c r="H786" s="8"/>
      <c r="I786" s="8"/>
      <c r="J786" s="8"/>
      <c r="K786" s="8"/>
    </row>
    <row r="787">
      <c r="F787" s="8"/>
      <c r="G787" s="8"/>
      <c r="H787" s="8"/>
      <c r="I787" s="8"/>
      <c r="J787" s="8"/>
      <c r="K787" s="8"/>
    </row>
    <row r="788">
      <c r="F788" s="8"/>
      <c r="G788" s="8"/>
      <c r="H788" s="8"/>
      <c r="I788" s="8"/>
      <c r="J788" s="8"/>
      <c r="K788" s="8"/>
    </row>
    <row r="789">
      <c r="F789" s="8"/>
      <c r="G789" s="8"/>
      <c r="H789" s="8"/>
      <c r="I789" s="8"/>
      <c r="J789" s="8"/>
      <c r="K789" s="8"/>
    </row>
    <row r="790">
      <c r="F790" s="8"/>
      <c r="G790" s="8"/>
      <c r="H790" s="8"/>
      <c r="I790" s="8"/>
      <c r="J790" s="8"/>
      <c r="K790" s="8"/>
    </row>
    <row r="791">
      <c r="F791" s="8"/>
      <c r="G791" s="8"/>
      <c r="H791" s="8"/>
      <c r="I791" s="8"/>
      <c r="J791" s="8"/>
      <c r="K791" s="8"/>
    </row>
    <row r="792">
      <c r="F792" s="8"/>
      <c r="G792" s="8"/>
      <c r="H792" s="8"/>
      <c r="I792" s="8"/>
      <c r="J792" s="8"/>
      <c r="K792" s="8"/>
    </row>
    <row r="793">
      <c r="F793" s="8"/>
      <c r="G793" s="8"/>
      <c r="H793" s="8"/>
      <c r="I793" s="8"/>
      <c r="J793" s="8"/>
      <c r="K793" s="8"/>
    </row>
    <row r="794">
      <c r="F794" s="8"/>
      <c r="G794" s="8"/>
      <c r="H794" s="8"/>
      <c r="I794" s="8"/>
      <c r="J794" s="8"/>
      <c r="K794" s="8"/>
    </row>
    <row r="795">
      <c r="F795" s="8"/>
      <c r="G795" s="8"/>
      <c r="H795" s="8"/>
      <c r="I795" s="8"/>
      <c r="J795" s="8"/>
      <c r="K795" s="8"/>
    </row>
    <row r="796">
      <c r="F796" s="8"/>
      <c r="G796" s="8"/>
      <c r="H796" s="8"/>
      <c r="I796" s="8"/>
      <c r="J796" s="8"/>
      <c r="K796" s="8"/>
    </row>
    <row r="797">
      <c r="F797" s="8"/>
      <c r="G797" s="8"/>
      <c r="H797" s="8"/>
      <c r="I797" s="8"/>
      <c r="J797" s="8"/>
      <c r="K797" s="8"/>
    </row>
    <row r="798">
      <c r="F798" s="8"/>
      <c r="G798" s="8"/>
      <c r="H798" s="8"/>
      <c r="I798" s="8"/>
      <c r="J798" s="8"/>
      <c r="K798" s="8"/>
    </row>
    <row r="799">
      <c r="F799" s="8"/>
      <c r="G799" s="8"/>
      <c r="H799" s="8"/>
      <c r="I799" s="8"/>
      <c r="J799" s="8"/>
      <c r="K799" s="8"/>
    </row>
    <row r="800">
      <c r="F800" s="8"/>
      <c r="G800" s="8"/>
      <c r="H800" s="8"/>
      <c r="I800" s="8"/>
      <c r="J800" s="8"/>
      <c r="K800" s="8"/>
    </row>
    <row r="801">
      <c r="F801" s="8"/>
      <c r="G801" s="8"/>
      <c r="H801" s="8"/>
      <c r="I801" s="8"/>
      <c r="J801" s="8"/>
      <c r="K801" s="8"/>
    </row>
    <row r="802">
      <c r="F802" s="8"/>
      <c r="G802" s="8"/>
      <c r="H802" s="8"/>
      <c r="I802" s="8"/>
      <c r="J802" s="8"/>
      <c r="K802" s="8"/>
    </row>
    <row r="803">
      <c r="F803" s="8"/>
      <c r="G803" s="8"/>
      <c r="H803" s="8"/>
      <c r="I803" s="8"/>
      <c r="J803" s="8"/>
      <c r="K803" s="8"/>
    </row>
    <row r="804">
      <c r="F804" s="8"/>
      <c r="G804" s="8"/>
      <c r="H804" s="8"/>
      <c r="I804" s="8"/>
      <c r="J804" s="8"/>
      <c r="K804" s="8"/>
    </row>
    <row r="805">
      <c r="F805" s="8"/>
      <c r="G805" s="8"/>
      <c r="H805" s="8"/>
      <c r="I805" s="8"/>
      <c r="J805" s="8"/>
      <c r="K805" s="8"/>
    </row>
    <row r="806">
      <c r="F806" s="8"/>
      <c r="G806" s="8"/>
      <c r="H806" s="8"/>
      <c r="I806" s="8"/>
      <c r="J806" s="8"/>
      <c r="K806" s="8"/>
    </row>
    <row r="807">
      <c r="F807" s="8"/>
      <c r="G807" s="8"/>
      <c r="H807" s="8"/>
      <c r="I807" s="8"/>
      <c r="J807" s="8"/>
      <c r="K807" s="8"/>
    </row>
    <row r="808">
      <c r="F808" s="8"/>
      <c r="G808" s="8"/>
      <c r="H808" s="8"/>
      <c r="I808" s="8"/>
      <c r="J808" s="8"/>
      <c r="K808" s="8"/>
    </row>
    <row r="809">
      <c r="F809" s="8"/>
      <c r="G809" s="8"/>
      <c r="H809" s="8"/>
      <c r="I809" s="8"/>
      <c r="J809" s="8"/>
      <c r="K809" s="8"/>
    </row>
    <row r="810">
      <c r="F810" s="8"/>
      <c r="G810" s="8"/>
      <c r="H810" s="8"/>
      <c r="I810" s="8"/>
      <c r="J810" s="8"/>
      <c r="K810" s="8"/>
    </row>
    <row r="811">
      <c r="F811" s="8"/>
      <c r="G811" s="8"/>
      <c r="H811" s="8"/>
      <c r="I811" s="8"/>
      <c r="J811" s="8"/>
      <c r="K811" s="8"/>
    </row>
    <row r="812">
      <c r="F812" s="8"/>
      <c r="G812" s="8"/>
      <c r="H812" s="8"/>
      <c r="I812" s="8"/>
      <c r="J812" s="8"/>
      <c r="K812" s="8"/>
    </row>
    <row r="813">
      <c r="F813" s="8"/>
      <c r="G813" s="8"/>
      <c r="H813" s="8"/>
      <c r="I813" s="8"/>
      <c r="J813" s="8"/>
      <c r="K813" s="8"/>
    </row>
    <row r="814">
      <c r="F814" s="8"/>
      <c r="G814" s="8"/>
      <c r="H814" s="8"/>
      <c r="I814" s="8"/>
      <c r="J814" s="8"/>
      <c r="K814" s="8"/>
    </row>
    <row r="815">
      <c r="F815" s="8"/>
      <c r="G815" s="8"/>
      <c r="H815" s="8"/>
      <c r="I815" s="8"/>
      <c r="J815" s="8"/>
      <c r="K815" s="8"/>
    </row>
    <row r="816">
      <c r="F816" s="8"/>
      <c r="G816" s="8"/>
      <c r="H816" s="8"/>
      <c r="I816" s="8"/>
      <c r="J816" s="8"/>
      <c r="K816" s="8"/>
    </row>
    <row r="817">
      <c r="F817" s="8"/>
      <c r="G817" s="8"/>
      <c r="H817" s="8"/>
      <c r="I817" s="8"/>
      <c r="J817" s="8"/>
      <c r="K817" s="8"/>
    </row>
    <row r="818">
      <c r="F818" s="8"/>
      <c r="G818" s="8"/>
      <c r="H818" s="8"/>
      <c r="I818" s="8"/>
      <c r="J818" s="8"/>
      <c r="K818" s="8"/>
    </row>
    <row r="819">
      <c r="F819" s="8"/>
      <c r="G819" s="8"/>
      <c r="H819" s="8"/>
      <c r="I819" s="8"/>
      <c r="J819" s="8"/>
      <c r="K819" s="8"/>
    </row>
    <row r="820">
      <c r="F820" s="8"/>
      <c r="G820" s="8"/>
      <c r="H820" s="8"/>
      <c r="I820" s="8"/>
      <c r="J820" s="8"/>
      <c r="K820" s="8"/>
    </row>
    <row r="821">
      <c r="F821" s="8"/>
      <c r="G821" s="8"/>
      <c r="H821" s="8"/>
      <c r="I821" s="8"/>
      <c r="J821" s="8"/>
      <c r="K821" s="8"/>
    </row>
    <row r="822">
      <c r="F822" s="8"/>
      <c r="G822" s="8"/>
      <c r="H822" s="8"/>
      <c r="I822" s="8"/>
      <c r="J822" s="8"/>
      <c r="K822" s="8"/>
    </row>
    <row r="823">
      <c r="F823" s="8"/>
      <c r="G823" s="8"/>
      <c r="H823" s="8"/>
      <c r="I823" s="8"/>
      <c r="J823" s="8"/>
      <c r="K823" s="8"/>
    </row>
    <row r="824">
      <c r="F824" s="8"/>
      <c r="G824" s="8"/>
      <c r="H824" s="8"/>
      <c r="I824" s="8"/>
      <c r="J824" s="8"/>
      <c r="K824" s="8"/>
    </row>
    <row r="825">
      <c r="F825" s="8"/>
      <c r="G825" s="8"/>
      <c r="H825" s="8"/>
      <c r="I825" s="8"/>
      <c r="J825" s="8"/>
      <c r="K825" s="8"/>
    </row>
    <row r="826">
      <c r="F826" s="8"/>
      <c r="G826" s="8"/>
      <c r="H826" s="8"/>
      <c r="I826" s="8"/>
      <c r="J826" s="8"/>
      <c r="K826" s="8"/>
    </row>
    <row r="827">
      <c r="F827" s="8"/>
      <c r="G827" s="8"/>
      <c r="H827" s="8"/>
      <c r="I827" s="8"/>
      <c r="J827" s="8"/>
      <c r="K827" s="8"/>
    </row>
    <row r="828">
      <c r="F828" s="8"/>
      <c r="G828" s="8"/>
      <c r="H828" s="8"/>
      <c r="I828" s="8"/>
      <c r="J828" s="8"/>
      <c r="K828" s="8"/>
    </row>
    <row r="829">
      <c r="F829" s="8"/>
      <c r="G829" s="8"/>
      <c r="H829" s="8"/>
      <c r="I829" s="8"/>
      <c r="J829" s="8"/>
      <c r="K829" s="8"/>
    </row>
    <row r="830">
      <c r="F830" s="8"/>
      <c r="G830" s="8"/>
      <c r="H830" s="8"/>
      <c r="I830" s="8"/>
      <c r="J830" s="8"/>
      <c r="K830" s="8"/>
    </row>
    <row r="831">
      <c r="F831" s="8"/>
      <c r="G831" s="8"/>
      <c r="H831" s="8"/>
      <c r="I831" s="8"/>
      <c r="J831" s="8"/>
      <c r="K831" s="8"/>
    </row>
    <row r="832">
      <c r="F832" s="8"/>
      <c r="G832" s="8"/>
      <c r="H832" s="8"/>
      <c r="I832" s="8"/>
      <c r="J832" s="8"/>
      <c r="K832" s="8"/>
    </row>
    <row r="833">
      <c r="F833" s="8"/>
      <c r="G833" s="8"/>
      <c r="H833" s="8"/>
      <c r="I833" s="8"/>
      <c r="J833" s="8"/>
      <c r="K833" s="8"/>
    </row>
    <row r="834">
      <c r="F834" s="8"/>
      <c r="G834" s="8"/>
      <c r="H834" s="8"/>
      <c r="I834" s="8"/>
      <c r="J834" s="8"/>
      <c r="K834" s="8"/>
    </row>
    <row r="835">
      <c r="F835" s="8"/>
      <c r="G835" s="8"/>
      <c r="H835" s="8"/>
      <c r="I835" s="8"/>
      <c r="J835" s="8"/>
      <c r="K835" s="8"/>
    </row>
    <row r="836">
      <c r="F836" s="8"/>
      <c r="G836" s="8"/>
      <c r="H836" s="8"/>
      <c r="I836" s="8"/>
      <c r="J836" s="8"/>
      <c r="K836" s="8"/>
    </row>
    <row r="837">
      <c r="F837" s="8"/>
      <c r="G837" s="8"/>
      <c r="H837" s="8"/>
      <c r="I837" s="8"/>
      <c r="J837" s="8"/>
      <c r="K837" s="8"/>
    </row>
    <row r="838">
      <c r="F838" s="8"/>
      <c r="G838" s="8"/>
      <c r="H838" s="8"/>
      <c r="I838" s="8"/>
      <c r="J838" s="8"/>
      <c r="K838" s="8"/>
    </row>
    <row r="839">
      <c r="F839" s="8"/>
      <c r="G839" s="8"/>
      <c r="H839" s="8"/>
      <c r="I839" s="8"/>
      <c r="J839" s="8"/>
      <c r="K839" s="8"/>
    </row>
    <row r="840">
      <c r="F840" s="8"/>
      <c r="G840" s="8"/>
      <c r="H840" s="8"/>
      <c r="I840" s="8"/>
      <c r="J840" s="8"/>
      <c r="K840" s="8"/>
    </row>
    <row r="841">
      <c r="F841" s="8"/>
      <c r="G841" s="8"/>
      <c r="H841" s="8"/>
      <c r="I841" s="8"/>
      <c r="J841" s="8"/>
      <c r="K841" s="8"/>
    </row>
    <row r="842">
      <c r="F842" s="8"/>
      <c r="G842" s="8"/>
      <c r="H842" s="8"/>
      <c r="I842" s="8"/>
      <c r="J842" s="8"/>
      <c r="K842" s="8"/>
    </row>
    <row r="843">
      <c r="F843" s="8"/>
      <c r="G843" s="8"/>
      <c r="H843" s="8"/>
      <c r="I843" s="8"/>
      <c r="J843" s="8"/>
      <c r="K843" s="8"/>
    </row>
    <row r="844">
      <c r="F844" s="8"/>
      <c r="G844" s="8"/>
      <c r="H844" s="8"/>
      <c r="I844" s="8"/>
      <c r="J844" s="8"/>
      <c r="K844" s="8"/>
    </row>
    <row r="845">
      <c r="F845" s="8"/>
      <c r="G845" s="8"/>
      <c r="H845" s="8"/>
      <c r="I845" s="8"/>
      <c r="J845" s="8"/>
      <c r="K845" s="8"/>
    </row>
    <row r="846">
      <c r="F846" s="8"/>
      <c r="G846" s="8"/>
      <c r="H846" s="8"/>
      <c r="I846" s="8"/>
      <c r="J846" s="8"/>
      <c r="K846" s="8"/>
    </row>
    <row r="847">
      <c r="F847" s="8"/>
      <c r="G847" s="8"/>
      <c r="H847" s="8"/>
      <c r="I847" s="8"/>
      <c r="J847" s="8"/>
      <c r="K847" s="8"/>
    </row>
    <row r="848">
      <c r="F848" s="8"/>
      <c r="G848" s="8"/>
      <c r="H848" s="8"/>
      <c r="I848" s="8"/>
      <c r="J848" s="8"/>
      <c r="K848" s="8"/>
    </row>
    <row r="849">
      <c r="F849" s="8"/>
      <c r="G849" s="8"/>
      <c r="H849" s="8"/>
      <c r="I849" s="8"/>
      <c r="J849" s="8"/>
      <c r="K849" s="8"/>
    </row>
    <row r="850">
      <c r="F850" s="8"/>
      <c r="G850" s="8"/>
      <c r="H850" s="8"/>
      <c r="I850" s="8"/>
      <c r="J850" s="8"/>
      <c r="K850" s="8"/>
    </row>
    <row r="851">
      <c r="F851" s="8"/>
      <c r="G851" s="8"/>
      <c r="H851" s="8"/>
      <c r="I851" s="8"/>
      <c r="J851" s="8"/>
      <c r="K851" s="8"/>
    </row>
    <row r="852">
      <c r="F852" s="8"/>
      <c r="G852" s="8"/>
      <c r="H852" s="8"/>
      <c r="I852" s="8"/>
      <c r="J852" s="8"/>
      <c r="K852" s="8"/>
    </row>
    <row r="853">
      <c r="F853" s="8"/>
      <c r="G853" s="8"/>
      <c r="H853" s="8"/>
      <c r="I853" s="8"/>
      <c r="J853" s="8"/>
      <c r="K853" s="8"/>
    </row>
    <row r="854">
      <c r="F854" s="8"/>
      <c r="G854" s="8"/>
      <c r="H854" s="8"/>
      <c r="I854" s="8"/>
      <c r="J854" s="8"/>
      <c r="K854" s="8"/>
    </row>
    <row r="855">
      <c r="F855" s="8"/>
      <c r="G855" s="8"/>
      <c r="H855" s="8"/>
      <c r="I855" s="8"/>
      <c r="J855" s="8"/>
      <c r="K855" s="8"/>
    </row>
    <row r="856">
      <c r="F856" s="8"/>
      <c r="G856" s="8"/>
      <c r="H856" s="8"/>
      <c r="I856" s="8"/>
      <c r="J856" s="8"/>
      <c r="K856" s="8"/>
    </row>
    <row r="857">
      <c r="F857" s="8"/>
      <c r="G857" s="8"/>
      <c r="H857" s="8"/>
      <c r="I857" s="8"/>
      <c r="J857" s="8"/>
      <c r="K857" s="8"/>
    </row>
    <row r="858">
      <c r="F858" s="8"/>
      <c r="G858" s="8"/>
      <c r="H858" s="8"/>
      <c r="I858" s="8"/>
      <c r="J858" s="8"/>
      <c r="K858" s="8"/>
    </row>
    <row r="859">
      <c r="F859" s="8"/>
      <c r="G859" s="8"/>
      <c r="H859" s="8"/>
      <c r="I859" s="8"/>
      <c r="J859" s="8"/>
      <c r="K859" s="8"/>
    </row>
    <row r="860">
      <c r="F860" s="8"/>
      <c r="G860" s="8"/>
      <c r="H860" s="8"/>
      <c r="I860" s="8"/>
      <c r="J860" s="8"/>
      <c r="K860" s="8"/>
    </row>
    <row r="861">
      <c r="F861" s="8"/>
      <c r="G861" s="8"/>
      <c r="H861" s="8"/>
      <c r="I861" s="8"/>
      <c r="J861" s="8"/>
      <c r="K861" s="8"/>
    </row>
    <row r="862">
      <c r="F862" s="8"/>
      <c r="G862" s="8"/>
      <c r="H862" s="8"/>
      <c r="I862" s="8"/>
      <c r="J862" s="8"/>
      <c r="K862" s="8"/>
    </row>
    <row r="863">
      <c r="F863" s="8"/>
      <c r="G863" s="8"/>
      <c r="H863" s="8"/>
      <c r="I863" s="8"/>
      <c r="J863" s="8"/>
      <c r="K863" s="8"/>
    </row>
    <row r="864">
      <c r="F864" s="8"/>
      <c r="G864" s="8"/>
      <c r="H864" s="8"/>
      <c r="I864" s="8"/>
      <c r="J864" s="8"/>
      <c r="K864" s="8"/>
    </row>
    <row r="865">
      <c r="F865" s="8"/>
      <c r="G865" s="8"/>
      <c r="H865" s="8"/>
      <c r="I865" s="8"/>
      <c r="J865" s="8"/>
      <c r="K865" s="8"/>
    </row>
    <row r="866">
      <c r="F866" s="8"/>
      <c r="G866" s="8"/>
      <c r="H866" s="8"/>
      <c r="I866" s="8"/>
      <c r="J866" s="8"/>
      <c r="K866" s="8"/>
    </row>
    <row r="867">
      <c r="F867" s="8"/>
      <c r="G867" s="8"/>
      <c r="H867" s="8"/>
      <c r="I867" s="8"/>
      <c r="J867" s="8"/>
      <c r="K867" s="8"/>
    </row>
    <row r="868">
      <c r="F868" s="8"/>
      <c r="G868" s="8"/>
      <c r="H868" s="8"/>
      <c r="I868" s="8"/>
      <c r="J868" s="8"/>
      <c r="K868" s="8"/>
    </row>
    <row r="869">
      <c r="F869" s="8"/>
      <c r="G869" s="8"/>
      <c r="H869" s="8"/>
      <c r="I869" s="8"/>
      <c r="J869" s="8"/>
      <c r="K869" s="8"/>
    </row>
    <row r="870">
      <c r="F870" s="8"/>
      <c r="G870" s="8"/>
      <c r="H870" s="8"/>
      <c r="I870" s="8"/>
      <c r="J870" s="8"/>
      <c r="K870" s="8"/>
    </row>
    <row r="871">
      <c r="F871" s="8"/>
      <c r="G871" s="8"/>
      <c r="H871" s="8"/>
      <c r="I871" s="8"/>
      <c r="J871" s="8"/>
      <c r="K871" s="8"/>
    </row>
    <row r="872">
      <c r="F872" s="8"/>
      <c r="G872" s="8"/>
      <c r="H872" s="8"/>
      <c r="I872" s="8"/>
      <c r="J872" s="8"/>
      <c r="K872" s="8"/>
    </row>
    <row r="873">
      <c r="F873" s="8"/>
      <c r="G873" s="8"/>
      <c r="H873" s="8"/>
      <c r="I873" s="8"/>
      <c r="J873" s="8"/>
      <c r="K873" s="8"/>
    </row>
    <row r="874">
      <c r="F874" s="8"/>
      <c r="G874" s="8"/>
      <c r="H874" s="8"/>
      <c r="I874" s="8"/>
      <c r="J874" s="8"/>
      <c r="K874" s="8"/>
    </row>
    <row r="875">
      <c r="F875" s="8"/>
      <c r="G875" s="8"/>
      <c r="H875" s="8"/>
      <c r="I875" s="8"/>
      <c r="J875" s="8"/>
      <c r="K875" s="8"/>
    </row>
    <row r="876">
      <c r="F876" s="8"/>
      <c r="G876" s="8"/>
      <c r="H876" s="8"/>
      <c r="I876" s="8"/>
      <c r="J876" s="8"/>
      <c r="K876" s="8"/>
    </row>
    <row r="877">
      <c r="F877" s="8"/>
      <c r="G877" s="8"/>
      <c r="H877" s="8"/>
      <c r="I877" s="8"/>
      <c r="J877" s="8"/>
      <c r="K877" s="8"/>
    </row>
    <row r="878">
      <c r="F878" s="8"/>
      <c r="G878" s="8"/>
      <c r="H878" s="8"/>
      <c r="I878" s="8"/>
      <c r="J878" s="8"/>
      <c r="K878" s="8"/>
    </row>
    <row r="879">
      <c r="F879" s="8"/>
      <c r="G879" s="8"/>
      <c r="H879" s="8"/>
      <c r="I879" s="8"/>
      <c r="J879" s="8"/>
      <c r="K879" s="8"/>
    </row>
    <row r="880">
      <c r="F880" s="8"/>
      <c r="G880" s="8"/>
      <c r="H880" s="8"/>
      <c r="I880" s="8"/>
      <c r="J880" s="8"/>
      <c r="K880" s="8"/>
    </row>
    <row r="881">
      <c r="F881" s="8"/>
      <c r="G881" s="8"/>
      <c r="H881" s="8"/>
      <c r="I881" s="8"/>
      <c r="J881" s="8"/>
      <c r="K881" s="8"/>
    </row>
    <row r="882">
      <c r="F882" s="8"/>
      <c r="G882" s="8"/>
      <c r="H882" s="8"/>
      <c r="I882" s="8"/>
      <c r="J882" s="8"/>
      <c r="K882" s="8"/>
    </row>
    <row r="883">
      <c r="F883" s="8"/>
      <c r="G883" s="8"/>
      <c r="H883" s="8"/>
      <c r="I883" s="8"/>
      <c r="J883" s="8"/>
      <c r="K883" s="8"/>
    </row>
    <row r="884">
      <c r="F884" s="8"/>
      <c r="G884" s="8"/>
      <c r="H884" s="8"/>
      <c r="I884" s="8"/>
      <c r="J884" s="8"/>
      <c r="K884" s="8"/>
    </row>
    <row r="885">
      <c r="F885" s="8"/>
      <c r="G885" s="8"/>
      <c r="H885" s="8"/>
      <c r="I885" s="8"/>
      <c r="J885" s="8"/>
      <c r="K885" s="8"/>
    </row>
    <row r="886">
      <c r="F886" s="8"/>
      <c r="G886" s="8"/>
      <c r="H886" s="8"/>
      <c r="I886" s="8"/>
      <c r="J886" s="8"/>
      <c r="K886" s="8"/>
    </row>
    <row r="887">
      <c r="F887" s="8"/>
      <c r="G887" s="8"/>
      <c r="H887" s="8"/>
      <c r="I887" s="8"/>
      <c r="J887" s="8"/>
      <c r="K887" s="8"/>
    </row>
    <row r="888">
      <c r="F888" s="8"/>
      <c r="G888" s="8"/>
      <c r="H888" s="8"/>
      <c r="I888" s="8"/>
      <c r="J888" s="8"/>
      <c r="K888" s="8"/>
    </row>
    <row r="889">
      <c r="F889" s="8"/>
      <c r="G889" s="8"/>
      <c r="H889" s="8"/>
      <c r="I889" s="8"/>
      <c r="J889" s="8"/>
      <c r="K889" s="8"/>
    </row>
    <row r="890">
      <c r="F890" s="8"/>
      <c r="G890" s="8"/>
      <c r="H890" s="8"/>
      <c r="I890" s="8"/>
      <c r="J890" s="8"/>
      <c r="K890" s="8"/>
    </row>
    <row r="891">
      <c r="F891" s="8"/>
      <c r="G891" s="8"/>
      <c r="H891" s="8"/>
      <c r="I891" s="8"/>
      <c r="J891" s="8"/>
      <c r="K891" s="8"/>
    </row>
    <row r="892">
      <c r="F892" s="8"/>
      <c r="G892" s="8"/>
      <c r="H892" s="8"/>
      <c r="I892" s="8"/>
      <c r="J892" s="8"/>
      <c r="K892" s="8"/>
    </row>
    <row r="893">
      <c r="F893" s="8"/>
      <c r="G893" s="8"/>
      <c r="H893" s="8"/>
      <c r="I893" s="8"/>
      <c r="J893" s="8"/>
      <c r="K893" s="8"/>
    </row>
    <row r="894">
      <c r="F894" s="8"/>
      <c r="G894" s="8"/>
      <c r="H894" s="8"/>
      <c r="I894" s="8"/>
      <c r="J894" s="8"/>
      <c r="K894" s="8"/>
    </row>
    <row r="895">
      <c r="F895" s="8"/>
      <c r="G895" s="8"/>
      <c r="H895" s="8"/>
      <c r="I895" s="8"/>
      <c r="J895" s="8"/>
      <c r="K895" s="8"/>
    </row>
    <row r="896">
      <c r="F896" s="8"/>
      <c r="G896" s="8"/>
      <c r="H896" s="8"/>
      <c r="I896" s="8"/>
      <c r="J896" s="8"/>
      <c r="K896" s="8"/>
    </row>
    <row r="897">
      <c r="F897" s="8"/>
      <c r="G897" s="8"/>
      <c r="H897" s="8"/>
      <c r="I897" s="8"/>
      <c r="J897" s="8"/>
      <c r="K897" s="8"/>
    </row>
    <row r="898">
      <c r="F898" s="8"/>
      <c r="G898" s="8"/>
      <c r="H898" s="8"/>
      <c r="I898" s="8"/>
      <c r="J898" s="8"/>
      <c r="K898" s="8"/>
    </row>
    <row r="899">
      <c r="F899" s="8"/>
      <c r="G899" s="8"/>
      <c r="H899" s="8"/>
      <c r="I899" s="8"/>
      <c r="J899" s="8"/>
      <c r="K899" s="8"/>
    </row>
    <row r="900">
      <c r="F900" s="8"/>
      <c r="G900" s="8"/>
      <c r="H900" s="8"/>
      <c r="I900" s="8"/>
      <c r="J900" s="8"/>
      <c r="K900" s="8"/>
    </row>
    <row r="901">
      <c r="F901" s="8"/>
      <c r="G901" s="8"/>
      <c r="H901" s="8"/>
      <c r="I901" s="8"/>
      <c r="J901" s="8"/>
      <c r="K901" s="8"/>
    </row>
    <row r="902">
      <c r="F902" s="8"/>
      <c r="G902" s="8"/>
      <c r="H902" s="8"/>
      <c r="I902" s="8"/>
      <c r="J902" s="8"/>
      <c r="K902" s="8"/>
    </row>
    <row r="903">
      <c r="F903" s="8"/>
      <c r="G903" s="8"/>
      <c r="H903" s="8"/>
      <c r="I903" s="8"/>
      <c r="J903" s="8"/>
      <c r="K903" s="8"/>
    </row>
    <row r="904">
      <c r="F904" s="8"/>
      <c r="G904" s="8"/>
      <c r="H904" s="8"/>
      <c r="I904" s="8"/>
      <c r="J904" s="8"/>
      <c r="K904" s="8"/>
    </row>
    <row r="905">
      <c r="F905" s="8"/>
      <c r="G905" s="8"/>
      <c r="H905" s="8"/>
      <c r="I905" s="8"/>
      <c r="J905" s="8"/>
      <c r="K905" s="8"/>
    </row>
    <row r="906">
      <c r="F906" s="8"/>
      <c r="G906" s="8"/>
      <c r="H906" s="8"/>
      <c r="I906" s="8"/>
      <c r="J906" s="8"/>
      <c r="K906" s="8"/>
    </row>
    <row r="907">
      <c r="F907" s="8"/>
      <c r="G907" s="8"/>
      <c r="H907" s="8"/>
      <c r="I907" s="8"/>
      <c r="J907" s="8"/>
      <c r="K907" s="8"/>
    </row>
    <row r="908">
      <c r="F908" s="8"/>
      <c r="G908" s="8"/>
      <c r="H908" s="8"/>
      <c r="I908" s="8"/>
      <c r="J908" s="8"/>
      <c r="K908" s="8"/>
    </row>
    <row r="909">
      <c r="F909" s="8"/>
      <c r="G909" s="8"/>
      <c r="H909" s="8"/>
      <c r="I909" s="8"/>
      <c r="J909" s="8"/>
      <c r="K909" s="8"/>
    </row>
    <row r="910">
      <c r="F910" s="8"/>
      <c r="G910" s="8"/>
      <c r="H910" s="8"/>
      <c r="I910" s="8"/>
      <c r="J910" s="8"/>
      <c r="K910" s="8"/>
    </row>
    <row r="911">
      <c r="F911" s="8"/>
      <c r="G911" s="8"/>
      <c r="H911" s="8"/>
      <c r="I911" s="8"/>
      <c r="J911" s="8"/>
      <c r="K911" s="8"/>
    </row>
    <row r="912">
      <c r="F912" s="8"/>
      <c r="G912" s="8"/>
      <c r="H912" s="8"/>
      <c r="I912" s="8"/>
      <c r="J912" s="8"/>
      <c r="K912" s="8"/>
    </row>
    <row r="913">
      <c r="F913" s="8"/>
      <c r="G913" s="8"/>
      <c r="H913" s="8"/>
      <c r="I913" s="8"/>
      <c r="J913" s="8"/>
      <c r="K913" s="8"/>
    </row>
    <row r="914">
      <c r="F914" s="8"/>
      <c r="G914" s="8"/>
      <c r="H914" s="8"/>
      <c r="I914" s="8"/>
      <c r="J914" s="8"/>
      <c r="K914" s="8"/>
    </row>
    <row r="915">
      <c r="F915" s="8"/>
      <c r="G915" s="8"/>
      <c r="H915" s="8"/>
      <c r="I915" s="8"/>
      <c r="J915" s="8"/>
      <c r="K915" s="8"/>
    </row>
    <row r="916">
      <c r="F916" s="8"/>
      <c r="G916" s="8"/>
      <c r="H916" s="8"/>
      <c r="I916" s="8"/>
      <c r="J916" s="8"/>
      <c r="K916" s="8"/>
    </row>
    <row r="917">
      <c r="F917" s="8"/>
      <c r="G917" s="8"/>
      <c r="H917" s="8"/>
      <c r="I917" s="8"/>
      <c r="J917" s="8"/>
      <c r="K917" s="8"/>
    </row>
    <row r="918">
      <c r="F918" s="8"/>
      <c r="G918" s="8"/>
      <c r="H918" s="8"/>
      <c r="I918" s="8"/>
      <c r="J918" s="8"/>
      <c r="K918" s="8"/>
    </row>
    <row r="919">
      <c r="F919" s="8"/>
      <c r="G919" s="8"/>
      <c r="H919" s="8"/>
      <c r="I919" s="8"/>
      <c r="J919" s="8"/>
      <c r="K919" s="8"/>
    </row>
    <row r="920">
      <c r="F920" s="8"/>
      <c r="G920" s="8"/>
      <c r="H920" s="8"/>
      <c r="I920" s="8"/>
      <c r="J920" s="8"/>
      <c r="K920" s="8"/>
    </row>
    <row r="921">
      <c r="F921" s="8"/>
      <c r="G921" s="8"/>
      <c r="H921" s="8"/>
      <c r="I921" s="8"/>
      <c r="J921" s="8"/>
      <c r="K921" s="8"/>
    </row>
    <row r="922">
      <c r="F922" s="8"/>
      <c r="G922" s="8"/>
      <c r="H922" s="8"/>
      <c r="I922" s="8"/>
      <c r="J922" s="8"/>
      <c r="K922" s="8"/>
    </row>
    <row r="923">
      <c r="F923" s="8"/>
      <c r="G923" s="8"/>
      <c r="H923" s="8"/>
      <c r="I923" s="8"/>
      <c r="J923" s="8"/>
      <c r="K923" s="8"/>
    </row>
    <row r="924">
      <c r="F924" s="8"/>
      <c r="G924" s="8"/>
      <c r="H924" s="8"/>
      <c r="I924" s="8"/>
      <c r="J924" s="8"/>
      <c r="K924" s="8"/>
    </row>
    <row r="925">
      <c r="F925" s="8"/>
      <c r="G925" s="8"/>
      <c r="H925" s="8"/>
      <c r="I925" s="8"/>
      <c r="J925" s="8"/>
      <c r="K925" s="8"/>
    </row>
    <row r="926">
      <c r="F926" s="8"/>
      <c r="G926" s="8"/>
      <c r="H926" s="8"/>
      <c r="I926" s="8"/>
      <c r="J926" s="8"/>
      <c r="K926" s="8"/>
    </row>
    <row r="927">
      <c r="F927" s="8"/>
      <c r="G927" s="8"/>
      <c r="H927" s="8"/>
      <c r="I927" s="8"/>
      <c r="J927" s="8"/>
      <c r="K927" s="8"/>
    </row>
    <row r="928">
      <c r="F928" s="8"/>
      <c r="G928" s="8"/>
      <c r="H928" s="8"/>
      <c r="I928" s="8"/>
      <c r="J928" s="8"/>
      <c r="K928" s="8"/>
    </row>
    <row r="929">
      <c r="F929" s="8"/>
      <c r="G929" s="8"/>
      <c r="H929" s="8"/>
      <c r="I929" s="8"/>
      <c r="J929" s="8"/>
      <c r="K929" s="8"/>
    </row>
    <row r="930">
      <c r="F930" s="8"/>
      <c r="G930" s="8"/>
      <c r="H930" s="8"/>
      <c r="I930" s="8"/>
      <c r="J930" s="8"/>
      <c r="K930" s="8"/>
    </row>
    <row r="931">
      <c r="F931" s="8"/>
      <c r="G931" s="8"/>
      <c r="H931" s="8"/>
      <c r="I931" s="8"/>
      <c r="J931" s="8"/>
      <c r="K931" s="8"/>
    </row>
    <row r="932">
      <c r="F932" s="8"/>
      <c r="G932" s="8"/>
      <c r="H932" s="8"/>
      <c r="I932" s="8"/>
      <c r="J932" s="8"/>
      <c r="K932" s="8"/>
    </row>
    <row r="933">
      <c r="F933" s="8"/>
      <c r="G933" s="8"/>
      <c r="H933" s="8"/>
      <c r="I933" s="8"/>
      <c r="J933" s="8"/>
      <c r="K933" s="8"/>
    </row>
    <row r="934">
      <c r="F934" s="8"/>
      <c r="G934" s="8"/>
      <c r="H934" s="8"/>
      <c r="I934" s="8"/>
      <c r="J934" s="8"/>
      <c r="K934" s="8"/>
    </row>
    <row r="935">
      <c r="F935" s="8"/>
      <c r="G935" s="8"/>
      <c r="H935" s="8"/>
      <c r="I935" s="8"/>
      <c r="J935" s="8"/>
      <c r="K935" s="8"/>
    </row>
    <row r="936">
      <c r="F936" s="8"/>
      <c r="G936" s="8"/>
      <c r="H936" s="8"/>
      <c r="I936" s="8"/>
      <c r="J936" s="8"/>
      <c r="K936" s="8"/>
    </row>
    <row r="937">
      <c r="F937" s="8"/>
      <c r="G937" s="8"/>
      <c r="H937" s="8"/>
      <c r="I937" s="8"/>
      <c r="J937" s="8"/>
      <c r="K937" s="8"/>
    </row>
    <row r="938">
      <c r="F938" s="8"/>
      <c r="G938" s="8"/>
      <c r="H938" s="8"/>
      <c r="I938" s="8"/>
      <c r="J938" s="8"/>
      <c r="K938" s="8"/>
    </row>
    <row r="939">
      <c r="F939" s="8"/>
      <c r="G939" s="8"/>
      <c r="H939" s="8"/>
      <c r="I939" s="8"/>
      <c r="J939" s="8"/>
      <c r="K939" s="8"/>
    </row>
    <row r="940">
      <c r="F940" s="8"/>
      <c r="G940" s="8"/>
      <c r="H940" s="8"/>
      <c r="I940" s="8"/>
      <c r="J940" s="8"/>
      <c r="K940" s="8"/>
    </row>
    <row r="941">
      <c r="F941" s="8"/>
      <c r="G941" s="8"/>
      <c r="H941" s="8"/>
      <c r="I941" s="8"/>
      <c r="J941" s="8"/>
      <c r="K941" s="8"/>
    </row>
    <row r="942">
      <c r="F942" s="8"/>
      <c r="G942" s="8"/>
      <c r="H942" s="8"/>
      <c r="I942" s="8"/>
      <c r="J942" s="8"/>
      <c r="K942" s="8"/>
    </row>
    <row r="943">
      <c r="F943" s="8"/>
      <c r="G943" s="8"/>
      <c r="H943" s="8"/>
      <c r="I943" s="8"/>
      <c r="J943" s="8"/>
      <c r="K943" s="8"/>
    </row>
    <row r="944">
      <c r="F944" s="8"/>
      <c r="G944" s="8"/>
      <c r="H944" s="8"/>
      <c r="I944" s="8"/>
      <c r="J944" s="8"/>
      <c r="K944" s="8"/>
    </row>
    <row r="945">
      <c r="F945" s="8"/>
      <c r="G945" s="8"/>
      <c r="H945" s="8"/>
      <c r="I945" s="8"/>
      <c r="J945" s="8"/>
      <c r="K945" s="8"/>
    </row>
    <row r="946">
      <c r="F946" s="8"/>
      <c r="G946" s="8"/>
      <c r="H946" s="8"/>
      <c r="I946" s="8"/>
      <c r="J946" s="8"/>
      <c r="K946" s="8"/>
    </row>
    <row r="947">
      <c r="F947" s="8"/>
      <c r="G947" s="8"/>
      <c r="H947" s="8"/>
      <c r="I947" s="8"/>
      <c r="J947" s="8"/>
      <c r="K947" s="8"/>
    </row>
    <row r="948">
      <c r="F948" s="8"/>
      <c r="G948" s="8"/>
      <c r="H948" s="8"/>
      <c r="I948" s="8"/>
      <c r="J948" s="8"/>
      <c r="K948" s="8"/>
    </row>
    <row r="949">
      <c r="F949" s="8"/>
      <c r="G949" s="8"/>
      <c r="H949" s="8"/>
      <c r="I949" s="8"/>
      <c r="J949" s="8"/>
      <c r="K949" s="8"/>
    </row>
    <row r="950">
      <c r="F950" s="8"/>
      <c r="G950" s="8"/>
      <c r="H950" s="8"/>
      <c r="I950" s="8"/>
      <c r="J950" s="8"/>
      <c r="K950" s="8"/>
    </row>
    <row r="951">
      <c r="F951" s="8"/>
      <c r="G951" s="8"/>
      <c r="H951" s="8"/>
      <c r="I951" s="8"/>
      <c r="J951" s="8"/>
      <c r="K951" s="8"/>
    </row>
    <row r="952">
      <c r="F952" s="8"/>
      <c r="G952" s="8"/>
      <c r="H952" s="8"/>
      <c r="I952" s="8"/>
      <c r="J952" s="8"/>
      <c r="K952" s="8"/>
    </row>
    <row r="953">
      <c r="F953" s="8"/>
      <c r="G953" s="8"/>
      <c r="H953" s="8"/>
      <c r="I953" s="8"/>
      <c r="J953" s="8"/>
      <c r="K953" s="8"/>
    </row>
    <row r="954">
      <c r="F954" s="8"/>
      <c r="G954" s="8"/>
      <c r="H954" s="8"/>
      <c r="I954" s="8"/>
      <c r="J954" s="8"/>
      <c r="K954" s="8"/>
    </row>
    <row r="955">
      <c r="F955" s="8"/>
      <c r="G955" s="8"/>
      <c r="H955" s="8"/>
      <c r="I955" s="8"/>
      <c r="J955" s="8"/>
      <c r="K955" s="8"/>
    </row>
    <row r="956">
      <c r="F956" s="8"/>
      <c r="G956" s="8"/>
      <c r="H956" s="8"/>
      <c r="I956" s="8"/>
      <c r="J956" s="8"/>
      <c r="K956" s="8"/>
    </row>
    <row r="957">
      <c r="F957" s="8"/>
      <c r="G957" s="8"/>
      <c r="H957" s="8"/>
      <c r="I957" s="8"/>
      <c r="J957" s="8"/>
      <c r="K957" s="8"/>
    </row>
    <row r="958">
      <c r="F958" s="8"/>
      <c r="G958" s="8"/>
      <c r="H958" s="8"/>
      <c r="I958" s="8"/>
      <c r="J958" s="8"/>
      <c r="K958" s="8"/>
    </row>
    <row r="959">
      <c r="F959" s="8"/>
      <c r="G959" s="8"/>
      <c r="H959" s="8"/>
      <c r="I959" s="8"/>
      <c r="J959" s="8"/>
      <c r="K959" s="8"/>
    </row>
    <row r="960">
      <c r="F960" s="8"/>
      <c r="G960" s="8"/>
      <c r="H960" s="8"/>
      <c r="I960" s="8"/>
      <c r="J960" s="8"/>
      <c r="K960" s="8"/>
    </row>
    <row r="961">
      <c r="F961" s="8"/>
      <c r="G961" s="8"/>
      <c r="H961" s="8"/>
      <c r="I961" s="8"/>
      <c r="J961" s="8"/>
      <c r="K961" s="8"/>
    </row>
    <row r="962">
      <c r="F962" s="8"/>
      <c r="G962" s="8"/>
      <c r="H962" s="8"/>
      <c r="I962" s="8"/>
      <c r="J962" s="8"/>
      <c r="K962" s="8"/>
    </row>
    <row r="963">
      <c r="F963" s="8"/>
      <c r="G963" s="8"/>
      <c r="H963" s="8"/>
      <c r="I963" s="8"/>
      <c r="J963" s="8"/>
      <c r="K963" s="8"/>
    </row>
    <row r="964">
      <c r="F964" s="8"/>
      <c r="G964" s="8"/>
      <c r="H964" s="8"/>
      <c r="I964" s="8"/>
      <c r="J964" s="8"/>
      <c r="K964" s="8"/>
    </row>
    <row r="965">
      <c r="F965" s="8"/>
      <c r="G965" s="8"/>
      <c r="H965" s="8"/>
      <c r="I965" s="8"/>
      <c r="J965" s="8"/>
      <c r="K965" s="8"/>
    </row>
    <row r="966">
      <c r="F966" s="8"/>
      <c r="G966" s="8"/>
      <c r="H966" s="8"/>
      <c r="I966" s="8"/>
      <c r="J966" s="8"/>
      <c r="K966" s="8"/>
    </row>
    <row r="967">
      <c r="F967" s="8"/>
      <c r="G967" s="8"/>
      <c r="H967" s="8"/>
      <c r="I967" s="8"/>
      <c r="J967" s="8"/>
      <c r="K967" s="8"/>
    </row>
    <row r="968">
      <c r="F968" s="8"/>
      <c r="G968" s="8"/>
      <c r="H968" s="8"/>
      <c r="I968" s="8"/>
      <c r="J968" s="8"/>
      <c r="K968" s="8"/>
    </row>
    <row r="969">
      <c r="F969" s="8"/>
      <c r="G969" s="8"/>
      <c r="H969" s="8"/>
      <c r="I969" s="8"/>
      <c r="J969" s="8"/>
      <c r="K969" s="8"/>
    </row>
    <row r="970">
      <c r="F970" s="8"/>
      <c r="G970" s="8"/>
      <c r="H970" s="8"/>
      <c r="I970" s="8"/>
      <c r="J970" s="8"/>
      <c r="K970" s="8"/>
    </row>
    <row r="971">
      <c r="F971" s="8"/>
      <c r="G971" s="8"/>
      <c r="H971" s="8"/>
      <c r="I971" s="8"/>
      <c r="J971" s="8"/>
      <c r="K971" s="8"/>
    </row>
    <row r="972">
      <c r="F972" s="8"/>
      <c r="G972" s="8"/>
      <c r="H972" s="8"/>
      <c r="I972" s="8"/>
      <c r="J972" s="8"/>
      <c r="K972" s="8"/>
    </row>
    <row r="973">
      <c r="F973" s="8"/>
      <c r="G973" s="8"/>
      <c r="H973" s="8"/>
      <c r="I973" s="8"/>
      <c r="J973" s="8"/>
      <c r="K973" s="8"/>
    </row>
    <row r="974">
      <c r="F974" s="8"/>
      <c r="G974" s="8"/>
      <c r="H974" s="8"/>
      <c r="I974" s="8"/>
      <c r="J974" s="8"/>
      <c r="K974" s="8"/>
    </row>
    <row r="975">
      <c r="F975" s="8"/>
      <c r="G975" s="8"/>
      <c r="H975" s="8"/>
      <c r="I975" s="8"/>
      <c r="J975" s="8"/>
      <c r="K975" s="8"/>
    </row>
    <row r="976">
      <c r="F976" s="8"/>
      <c r="G976" s="8"/>
      <c r="H976" s="8"/>
      <c r="I976" s="8"/>
      <c r="J976" s="8"/>
      <c r="K976" s="8"/>
    </row>
    <row r="977">
      <c r="F977" s="8"/>
      <c r="G977" s="8"/>
      <c r="H977" s="8"/>
      <c r="I977" s="8"/>
      <c r="J977" s="8"/>
      <c r="K977" s="8"/>
    </row>
    <row r="978">
      <c r="F978" s="8"/>
      <c r="G978" s="8"/>
      <c r="H978" s="8"/>
      <c r="I978" s="8"/>
      <c r="J978" s="8"/>
      <c r="K978" s="8"/>
    </row>
    <row r="979">
      <c r="F979" s="8"/>
      <c r="G979" s="8"/>
      <c r="H979" s="8"/>
      <c r="I979" s="8"/>
      <c r="J979" s="8"/>
      <c r="K979" s="8"/>
    </row>
    <row r="980">
      <c r="F980" s="8"/>
      <c r="G980" s="8"/>
      <c r="H980" s="8"/>
      <c r="I980" s="8"/>
      <c r="J980" s="8"/>
      <c r="K980" s="8"/>
    </row>
    <row r="981">
      <c r="F981" s="8"/>
      <c r="G981" s="8"/>
      <c r="H981" s="8"/>
      <c r="I981" s="8"/>
      <c r="J981" s="8"/>
      <c r="K981" s="8"/>
    </row>
    <row r="982">
      <c r="F982" s="8"/>
      <c r="G982" s="8"/>
      <c r="H982" s="8"/>
      <c r="I982" s="8"/>
      <c r="J982" s="8"/>
      <c r="K982" s="8"/>
    </row>
    <row r="983">
      <c r="F983" s="8"/>
      <c r="G983" s="8"/>
      <c r="H983" s="8"/>
      <c r="I983" s="8"/>
      <c r="J983" s="8"/>
      <c r="K983" s="8"/>
    </row>
    <row r="984">
      <c r="F984" s="8"/>
      <c r="G984" s="8"/>
      <c r="H984" s="8"/>
      <c r="I984" s="8"/>
      <c r="J984" s="8"/>
      <c r="K984" s="8"/>
    </row>
    <row r="985">
      <c r="F985" s="8"/>
      <c r="G985" s="8"/>
      <c r="H985" s="8"/>
      <c r="I985" s="8"/>
      <c r="J985" s="8"/>
      <c r="K985" s="8"/>
    </row>
    <row r="986">
      <c r="F986" s="8"/>
      <c r="G986" s="8"/>
      <c r="H986" s="8"/>
      <c r="I986" s="8"/>
      <c r="J986" s="8"/>
      <c r="K986" s="8"/>
    </row>
    <row r="987">
      <c r="F987" s="8"/>
      <c r="G987" s="8"/>
      <c r="H987" s="8"/>
      <c r="I987" s="8"/>
      <c r="J987" s="8"/>
      <c r="K987" s="8"/>
    </row>
    <row r="988">
      <c r="F988" s="8"/>
      <c r="G988" s="8"/>
      <c r="H988" s="8"/>
      <c r="I988" s="8"/>
      <c r="J988" s="8"/>
      <c r="K988" s="8"/>
    </row>
    <row r="989">
      <c r="F989" s="8"/>
      <c r="G989" s="8"/>
      <c r="H989" s="8"/>
      <c r="I989" s="8"/>
      <c r="J989" s="8"/>
      <c r="K989" s="8"/>
    </row>
    <row r="990">
      <c r="F990" s="8"/>
      <c r="G990" s="8"/>
      <c r="H990" s="8"/>
      <c r="I990" s="8"/>
      <c r="J990" s="8"/>
      <c r="K990" s="8"/>
    </row>
    <row r="991">
      <c r="F991" s="8"/>
      <c r="G991" s="8"/>
      <c r="H991" s="8"/>
      <c r="I991" s="8"/>
      <c r="J991" s="8"/>
      <c r="K991" s="8"/>
    </row>
    <row r="992">
      <c r="F992" s="8"/>
      <c r="G992" s="8"/>
      <c r="H992" s="8"/>
      <c r="I992" s="8"/>
      <c r="J992" s="8"/>
      <c r="K992" s="8"/>
    </row>
    <row r="993">
      <c r="F993" s="8"/>
      <c r="G993" s="8"/>
      <c r="H993" s="8"/>
      <c r="I993" s="8"/>
      <c r="J993" s="8"/>
      <c r="K993" s="8"/>
    </row>
    <row r="994">
      <c r="F994" s="8"/>
      <c r="G994" s="8"/>
      <c r="H994" s="8"/>
      <c r="I994" s="8"/>
      <c r="J994" s="8"/>
      <c r="K994" s="8"/>
    </row>
    <row r="995">
      <c r="F995" s="8"/>
      <c r="G995" s="8"/>
      <c r="H995" s="8"/>
      <c r="I995" s="8"/>
      <c r="J995" s="8"/>
      <c r="K995" s="8"/>
    </row>
    <row r="996">
      <c r="F996" s="8"/>
      <c r="G996" s="8"/>
      <c r="H996" s="8"/>
      <c r="I996" s="8"/>
      <c r="J996" s="8"/>
      <c r="K996" s="8"/>
    </row>
    <row r="997">
      <c r="F997" s="8"/>
      <c r="G997" s="8"/>
      <c r="H997" s="8"/>
      <c r="I997" s="8"/>
      <c r="J997" s="8"/>
      <c r="K997" s="8"/>
    </row>
    <row r="998">
      <c r="F998" s="8"/>
      <c r="G998" s="8"/>
      <c r="H998" s="8"/>
      <c r="I998" s="8"/>
      <c r="J998" s="8"/>
      <c r="K998" s="8"/>
    </row>
    <row r="999">
      <c r="F999" s="8"/>
      <c r="G999" s="8"/>
      <c r="H999" s="8"/>
      <c r="I999" s="8"/>
      <c r="J999" s="8"/>
      <c r="K999" s="8"/>
    </row>
    <row r="1000">
      <c r="F1000" s="8"/>
      <c r="G1000" s="8"/>
      <c r="H1000" s="8"/>
      <c r="I1000" s="8"/>
      <c r="J1000" s="8"/>
      <c r="K1000" s="8"/>
    </row>
  </sheetData>
  <mergeCells count="8">
    <mergeCell ref="A1:D1"/>
    <mergeCell ref="F1:K1"/>
    <mergeCell ref="A19:D19"/>
    <mergeCell ref="B21:C21"/>
    <mergeCell ref="B22:C22"/>
    <mergeCell ref="B23:C23"/>
    <mergeCell ref="B28:C28"/>
    <mergeCell ref="B29:C29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5.25"/>
    <col customWidth="1" min="4" max="4" width="16.0"/>
    <col customWidth="1" min="7" max="7" width="17.5"/>
    <col customWidth="1" min="11" max="11" width="18.75"/>
  </cols>
  <sheetData>
    <row r="1">
      <c r="A1" s="383" t="s">
        <v>4882</v>
      </c>
    </row>
    <row r="2">
      <c r="A2" s="384" t="s">
        <v>123</v>
      </c>
      <c r="B2" s="384" t="s">
        <v>4</v>
      </c>
      <c r="C2" s="384" t="s">
        <v>5</v>
      </c>
      <c r="D2" s="384" t="s">
        <v>6</v>
      </c>
      <c r="E2" s="384" t="s">
        <v>7</v>
      </c>
      <c r="F2" s="384" t="s">
        <v>8</v>
      </c>
      <c r="G2" s="384" t="s">
        <v>9</v>
      </c>
      <c r="H2" s="384" t="s">
        <v>10</v>
      </c>
      <c r="I2" s="384" t="s">
        <v>11</v>
      </c>
      <c r="J2" s="384" t="s">
        <v>13</v>
      </c>
      <c r="K2" s="384" t="s">
        <v>15</v>
      </c>
      <c r="L2" s="384" t="s">
        <v>17</v>
      </c>
    </row>
    <row r="3">
      <c r="A3" s="4" t="s">
        <v>4883</v>
      </c>
      <c r="B3" s="4" t="s">
        <v>4884</v>
      </c>
      <c r="C3" s="4" t="s">
        <v>4885</v>
      </c>
      <c r="D3" s="4" t="s">
        <v>158</v>
      </c>
      <c r="E3" s="4" t="s">
        <v>4886</v>
      </c>
      <c r="F3" s="4" t="s">
        <v>4887</v>
      </c>
      <c r="G3" s="4" t="s">
        <v>4888</v>
      </c>
      <c r="H3" s="4" t="s">
        <v>4889</v>
      </c>
      <c r="I3" s="4" t="s">
        <v>224</v>
      </c>
      <c r="J3" s="4" t="s">
        <v>4890</v>
      </c>
      <c r="K3" s="4" t="s">
        <v>4891</v>
      </c>
      <c r="L3" s="4" t="s">
        <v>4359</v>
      </c>
    </row>
    <row r="5">
      <c r="A5" s="383" t="s">
        <v>4305</v>
      </c>
      <c r="D5" s="383" t="s">
        <v>4306</v>
      </c>
    </row>
    <row r="6">
      <c r="A6" s="2" t="s">
        <v>319</v>
      </c>
      <c r="B6" s="2" t="s">
        <v>320</v>
      </c>
      <c r="D6" s="2" t="s">
        <v>319</v>
      </c>
      <c r="E6" s="2" t="s">
        <v>320</v>
      </c>
    </row>
    <row r="7">
      <c r="A7" s="385" t="s">
        <v>4891</v>
      </c>
      <c r="B7" s="4" t="s">
        <v>15</v>
      </c>
      <c r="D7" s="4" t="s">
        <v>4892</v>
      </c>
      <c r="E7" s="4" t="s">
        <v>123</v>
      </c>
    </row>
    <row r="8">
      <c r="A8" s="4" t="s">
        <v>224</v>
      </c>
      <c r="B8" s="4" t="s">
        <v>11</v>
      </c>
      <c r="D8" s="4" t="s">
        <v>4893</v>
      </c>
      <c r="E8" s="4" t="s">
        <v>4</v>
      </c>
    </row>
    <row r="9">
      <c r="A9" s="4" t="s">
        <v>4894</v>
      </c>
      <c r="B9" s="4" t="s">
        <v>13</v>
      </c>
      <c r="D9" s="4" t="s">
        <v>4895</v>
      </c>
      <c r="E9" s="4" t="s">
        <v>5</v>
      </c>
    </row>
    <row r="10">
      <c r="A10" s="385" t="s">
        <v>4896</v>
      </c>
      <c r="B10" s="4" t="s">
        <v>10</v>
      </c>
      <c r="D10" s="4" t="s">
        <v>4887</v>
      </c>
      <c r="E10" s="4" t="s">
        <v>8</v>
      </c>
    </row>
    <row r="11">
      <c r="A11" s="4" t="s">
        <v>166</v>
      </c>
      <c r="B11" s="4" t="s">
        <v>7</v>
      </c>
      <c r="D11" s="4" t="s">
        <v>4888</v>
      </c>
      <c r="E11" s="4" t="s">
        <v>9</v>
      </c>
    </row>
    <row r="12">
      <c r="A12" s="4" t="s">
        <v>4378</v>
      </c>
      <c r="B12" s="4" t="s">
        <v>6</v>
      </c>
      <c r="D12" s="4" t="s">
        <v>4359</v>
      </c>
      <c r="E12" s="4" t="s">
        <v>17</v>
      </c>
    </row>
    <row r="14">
      <c r="A14" s="383" t="s">
        <v>4318</v>
      </c>
      <c r="C14" s="2" t="s">
        <v>4320</v>
      </c>
      <c r="D14" s="383" t="s">
        <v>4354</v>
      </c>
      <c r="F14" s="2" t="s">
        <v>4320</v>
      </c>
      <c r="G14" s="383" t="s">
        <v>4897</v>
      </c>
      <c r="I14" s="2" t="s">
        <v>4320</v>
      </c>
    </row>
    <row r="15">
      <c r="A15" s="33" t="s">
        <v>4898</v>
      </c>
      <c r="C15" s="8"/>
      <c r="D15" s="33" t="s">
        <v>4898</v>
      </c>
      <c r="F15" s="8"/>
      <c r="G15" s="33" t="s">
        <v>4899</v>
      </c>
    </row>
    <row r="16">
      <c r="A16" s="4" t="s">
        <v>4900</v>
      </c>
      <c r="B16" s="386">
        <v>0.8333333333333334</v>
      </c>
      <c r="C16" s="4" t="s">
        <v>224</v>
      </c>
      <c r="D16" s="4" t="s">
        <v>4901</v>
      </c>
      <c r="E16" s="386">
        <v>0.8402777777777778</v>
      </c>
      <c r="F16" s="4" t="s">
        <v>4893</v>
      </c>
      <c r="G16" s="4" t="s">
        <v>4902</v>
      </c>
      <c r="H16" s="387">
        <v>0.8333333333333334</v>
      </c>
      <c r="I16" s="31" t="s">
        <v>4378</v>
      </c>
    </row>
    <row r="17">
      <c r="A17" s="4" t="s">
        <v>4903</v>
      </c>
      <c r="B17" s="386">
        <v>0.8472222222222222</v>
      </c>
      <c r="C17" s="4" t="s">
        <v>4904</v>
      </c>
      <c r="D17" s="4" t="s">
        <v>4905</v>
      </c>
      <c r="E17" s="386">
        <v>0.8541666666666666</v>
      </c>
      <c r="F17" s="4" t="s">
        <v>4906</v>
      </c>
      <c r="G17" s="4" t="s">
        <v>4907</v>
      </c>
      <c r="H17" s="387">
        <v>0.8472222222222222</v>
      </c>
      <c r="I17" s="31" t="s">
        <v>4894</v>
      </c>
    </row>
    <row r="18">
      <c r="A18" s="4" t="s">
        <v>4908</v>
      </c>
      <c r="B18" s="386">
        <v>0.8611111111111112</v>
      </c>
      <c r="C18" s="4" t="s">
        <v>4378</v>
      </c>
      <c r="D18" s="4" t="s">
        <v>4909</v>
      </c>
      <c r="E18" s="386">
        <v>0.8680555555555556</v>
      </c>
      <c r="F18" s="4" t="s">
        <v>4359</v>
      </c>
      <c r="G18" s="4" t="s">
        <v>4910</v>
      </c>
      <c r="H18" s="387">
        <v>0.8611111111111112</v>
      </c>
      <c r="I18" s="31" t="s">
        <v>166</v>
      </c>
    </row>
    <row r="19">
      <c r="A19" s="4" t="s">
        <v>4911</v>
      </c>
      <c r="B19" s="386">
        <v>0.875</v>
      </c>
      <c r="C19" s="4" t="s">
        <v>4894</v>
      </c>
      <c r="D19" s="4" t="s">
        <v>4912</v>
      </c>
      <c r="E19" s="386">
        <v>0.8819444444444444</v>
      </c>
      <c r="F19" s="4" t="s">
        <v>4892</v>
      </c>
      <c r="G19" s="4" t="s">
        <v>4913</v>
      </c>
      <c r="H19" s="387">
        <v>0.875</v>
      </c>
      <c r="I19" s="31" t="s">
        <v>224</v>
      </c>
    </row>
    <row r="20">
      <c r="A20" s="4" t="s">
        <v>4914</v>
      </c>
      <c r="B20" s="386">
        <v>0.8888888888888888</v>
      </c>
      <c r="C20" s="4" t="s">
        <v>166</v>
      </c>
      <c r="D20" s="4" t="s">
        <v>4915</v>
      </c>
      <c r="E20" s="386">
        <v>0.8958333333333334</v>
      </c>
      <c r="F20" s="4" t="s">
        <v>4893</v>
      </c>
    </row>
    <row r="21">
      <c r="A21" s="4" t="s">
        <v>4916</v>
      </c>
      <c r="B21" s="386">
        <v>0.9027777777777778</v>
      </c>
      <c r="C21" s="4" t="s">
        <v>4378</v>
      </c>
      <c r="D21" s="4" t="s">
        <v>4917</v>
      </c>
      <c r="E21" s="386">
        <v>0.9097222222222222</v>
      </c>
      <c r="F21" s="4" t="s">
        <v>4887</v>
      </c>
      <c r="G21" s="383" t="s">
        <v>4918</v>
      </c>
      <c r="I21" s="2" t="s">
        <v>4320</v>
      </c>
      <c r="J21" s="383" t="s">
        <v>4919</v>
      </c>
      <c r="L21" s="2" t="s">
        <v>4320</v>
      </c>
    </row>
    <row r="22">
      <c r="A22" s="4" t="s">
        <v>4920</v>
      </c>
      <c r="B22" s="386">
        <v>0.9166666666666666</v>
      </c>
      <c r="C22" s="4" t="s">
        <v>4891</v>
      </c>
      <c r="D22" s="4" t="s">
        <v>4921</v>
      </c>
      <c r="E22" s="386">
        <v>0.9236111111111112</v>
      </c>
      <c r="F22" s="4" t="s">
        <v>4888</v>
      </c>
      <c r="G22" s="33" t="s">
        <v>4899</v>
      </c>
      <c r="J22" s="33" t="s">
        <v>4922</v>
      </c>
    </row>
    <row r="23">
      <c r="A23" s="4" t="s">
        <v>4923</v>
      </c>
      <c r="B23" s="386">
        <v>0.9305555555555556</v>
      </c>
      <c r="C23" s="4" t="s">
        <v>4894</v>
      </c>
      <c r="D23" s="4" t="s">
        <v>4924</v>
      </c>
      <c r="E23" s="386">
        <v>0.9375</v>
      </c>
      <c r="F23" s="4" t="s">
        <v>4893</v>
      </c>
      <c r="G23" s="31" t="s">
        <v>4925</v>
      </c>
      <c r="H23" s="386">
        <v>0.8888888888888888</v>
      </c>
      <c r="I23" s="31" t="s">
        <v>4378</v>
      </c>
      <c r="J23" s="31" t="s">
        <v>4926</v>
      </c>
      <c r="K23" s="387">
        <v>0.8333333333333334</v>
      </c>
      <c r="L23" s="31" t="s">
        <v>224</v>
      </c>
    </row>
    <row r="24">
      <c r="A24" s="33" t="s">
        <v>4927</v>
      </c>
      <c r="C24" s="8"/>
      <c r="D24" s="33" t="s">
        <v>4927</v>
      </c>
      <c r="F24" s="8"/>
      <c r="G24" s="31" t="s">
        <v>4914</v>
      </c>
      <c r="H24" s="386">
        <v>0.9027777777777778</v>
      </c>
      <c r="I24" s="31" t="s">
        <v>224</v>
      </c>
    </row>
    <row r="25">
      <c r="A25" s="4" t="s">
        <v>4928</v>
      </c>
      <c r="B25" s="386">
        <v>0.8333333333333334</v>
      </c>
      <c r="C25" s="4" t="s">
        <v>4891</v>
      </c>
      <c r="D25" s="4" t="s">
        <v>4929</v>
      </c>
      <c r="E25" s="386">
        <v>0.8402777777777778</v>
      </c>
      <c r="F25" s="4" t="s">
        <v>4892</v>
      </c>
      <c r="G25" s="33" t="s">
        <v>4930</v>
      </c>
    </row>
    <row r="26">
      <c r="A26" s="4" t="s">
        <v>4931</v>
      </c>
      <c r="B26" s="386">
        <v>0.8472222222222222</v>
      </c>
      <c r="C26" s="4" t="s">
        <v>166</v>
      </c>
      <c r="D26" s="4" t="s">
        <v>4932</v>
      </c>
      <c r="E26" s="386">
        <v>0.8541666666666666</v>
      </c>
      <c r="F26" s="4" t="s">
        <v>4888</v>
      </c>
    </row>
    <row r="27">
      <c r="A27" s="4" t="s">
        <v>4933</v>
      </c>
      <c r="B27" s="386">
        <v>0.8611111111111112</v>
      </c>
      <c r="C27" s="4" t="s">
        <v>224</v>
      </c>
      <c r="D27" s="4" t="s">
        <v>4934</v>
      </c>
      <c r="E27" s="386">
        <v>0.8680555555555556</v>
      </c>
      <c r="F27" s="4" t="s">
        <v>4893</v>
      </c>
    </row>
    <row r="28">
      <c r="A28" s="4" t="s">
        <v>4935</v>
      </c>
      <c r="B28" s="386">
        <v>0.875</v>
      </c>
      <c r="C28" s="4" t="s">
        <v>4378</v>
      </c>
      <c r="D28" s="4" t="s">
        <v>4936</v>
      </c>
      <c r="E28" s="386">
        <v>0.8819444444444444</v>
      </c>
      <c r="F28" s="4" t="s">
        <v>4359</v>
      </c>
    </row>
    <row r="29">
      <c r="A29" s="4" t="s">
        <v>4937</v>
      </c>
      <c r="B29" s="386">
        <v>0.8888888888888888</v>
      </c>
      <c r="C29" s="4" t="s">
        <v>4904</v>
      </c>
      <c r="D29" s="4" t="s">
        <v>4938</v>
      </c>
      <c r="E29" s="386">
        <v>0.8958333333333334</v>
      </c>
      <c r="F29" s="4" t="s">
        <v>4892</v>
      </c>
    </row>
    <row r="30">
      <c r="A30" s="4" t="s">
        <v>4939</v>
      </c>
      <c r="B30" s="386">
        <v>0.9027777777777778</v>
      </c>
      <c r="C30" s="4" t="s">
        <v>4894</v>
      </c>
      <c r="D30" s="4" t="s">
        <v>4940</v>
      </c>
      <c r="E30" s="386">
        <v>0.9097222222222222</v>
      </c>
      <c r="F30" s="4" t="s">
        <v>4906</v>
      </c>
    </row>
    <row r="31">
      <c r="A31" s="4" t="s">
        <v>4941</v>
      </c>
      <c r="B31" s="386">
        <v>0.9166666666666666</v>
      </c>
      <c r="C31" s="4" t="s">
        <v>4378</v>
      </c>
      <c r="D31" s="4" t="s">
        <v>4942</v>
      </c>
      <c r="E31" s="386">
        <v>0.9236111111111112</v>
      </c>
      <c r="F31" s="4" t="s">
        <v>4893</v>
      </c>
    </row>
    <row r="32">
      <c r="A32" s="33" t="s">
        <v>4930</v>
      </c>
    </row>
  </sheetData>
  <mergeCells count="17">
    <mergeCell ref="A1:L1"/>
    <mergeCell ref="A5:B5"/>
    <mergeCell ref="D5:E5"/>
    <mergeCell ref="A14:B14"/>
    <mergeCell ref="D14:E14"/>
    <mergeCell ref="A15:B15"/>
    <mergeCell ref="D15:E15"/>
    <mergeCell ref="D24:E24"/>
    <mergeCell ref="G25:K25"/>
    <mergeCell ref="A32:E32"/>
    <mergeCell ref="G14:H14"/>
    <mergeCell ref="G15:H15"/>
    <mergeCell ref="G21:H21"/>
    <mergeCell ref="J21:K21"/>
    <mergeCell ref="G22:H22"/>
    <mergeCell ref="J22:K22"/>
    <mergeCell ref="A24:B24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</cols>
  <sheetData>
    <row r="1">
      <c r="A1" s="388" t="s">
        <v>4943</v>
      </c>
    </row>
    <row r="2">
      <c r="A2" s="50" t="s">
        <v>4944</v>
      </c>
    </row>
    <row r="3">
      <c r="A3" s="389" t="s">
        <v>4945</v>
      </c>
    </row>
    <row r="4">
      <c r="A4" s="4" t="s">
        <v>319</v>
      </c>
      <c r="B4" s="4" t="s">
        <v>320</v>
      </c>
      <c r="C4" s="4" t="s">
        <v>457</v>
      </c>
      <c r="D4" s="4" t="s">
        <v>4946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50" t="s">
        <v>181</v>
      </c>
      <c r="B5" s="250" t="s">
        <v>17</v>
      </c>
      <c r="C5" s="250" t="s">
        <v>135</v>
      </c>
      <c r="D5" s="250" t="s">
        <v>4947</v>
      </c>
    </row>
    <row r="6">
      <c r="A6" s="250" t="s">
        <v>175</v>
      </c>
      <c r="B6" s="250" t="s">
        <v>5</v>
      </c>
      <c r="C6" s="250" t="s">
        <v>128</v>
      </c>
      <c r="D6" s="250" t="s">
        <v>4948</v>
      </c>
    </row>
    <row r="8">
      <c r="A8" s="50" t="s">
        <v>4949</v>
      </c>
    </row>
    <row r="9">
      <c r="A9" s="389" t="s">
        <v>4950</v>
      </c>
    </row>
    <row r="10">
      <c r="A10" s="4" t="s">
        <v>319</v>
      </c>
      <c r="B10" s="4" t="s">
        <v>320</v>
      </c>
      <c r="C10" s="4" t="s">
        <v>457</v>
      </c>
      <c r="D10" s="4" t="s">
        <v>4946</v>
      </c>
    </row>
    <row r="11">
      <c r="A11" s="250" t="s">
        <v>4951</v>
      </c>
      <c r="B11" s="250" t="s">
        <v>6</v>
      </c>
      <c r="C11" s="250" t="s">
        <v>135</v>
      </c>
      <c r="D11" s="250" t="s">
        <v>4952</v>
      </c>
    </row>
    <row r="12">
      <c r="A12" s="250" t="s">
        <v>1500</v>
      </c>
      <c r="B12" s="250" t="s">
        <v>6</v>
      </c>
      <c r="C12" s="250" t="s">
        <v>128</v>
      </c>
      <c r="D12" s="250" t="s">
        <v>4953</v>
      </c>
    </row>
    <row r="14">
      <c r="A14" s="50" t="s">
        <v>4954</v>
      </c>
    </row>
    <row r="15">
      <c r="A15" s="389" t="s">
        <v>4955</v>
      </c>
    </row>
    <row r="16">
      <c r="A16" s="4" t="s">
        <v>319</v>
      </c>
      <c r="B16" s="4" t="s">
        <v>320</v>
      </c>
      <c r="C16" s="4" t="s">
        <v>457</v>
      </c>
      <c r="D16" s="4" t="s">
        <v>4946</v>
      </c>
    </row>
    <row r="17">
      <c r="A17" s="250" t="s">
        <v>255</v>
      </c>
      <c r="B17" s="250" t="s">
        <v>6</v>
      </c>
      <c r="C17" s="250" t="s">
        <v>135</v>
      </c>
      <c r="D17" s="250" t="s">
        <v>4956</v>
      </c>
    </row>
    <row r="18">
      <c r="A18" s="250" t="s">
        <v>268</v>
      </c>
      <c r="B18" s="250" t="s">
        <v>4</v>
      </c>
      <c r="C18" s="250" t="s">
        <v>128</v>
      </c>
      <c r="D18" s="250" t="s">
        <v>4957</v>
      </c>
    </row>
  </sheetData>
  <mergeCells count="7">
    <mergeCell ref="A1:D1"/>
    <mergeCell ref="A2:D2"/>
    <mergeCell ref="A3:D3"/>
    <mergeCell ref="A8:D8"/>
    <mergeCell ref="A9:D9"/>
    <mergeCell ref="A14:D14"/>
    <mergeCell ref="A15:D15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31.25"/>
    <col customWidth="1" min="3" max="3" width="38.63"/>
    <col customWidth="1" min="4" max="4" width="43.25"/>
    <col customWidth="1" min="5" max="5" width="30.75"/>
    <col customWidth="1" min="6" max="6" width="16.63"/>
    <col customWidth="1" min="7" max="7" width="19.88"/>
  </cols>
  <sheetData>
    <row r="1">
      <c r="A1" s="390" t="s">
        <v>4958</v>
      </c>
    </row>
    <row r="2">
      <c r="A2" s="33" t="s">
        <v>123</v>
      </c>
      <c r="B2" s="33" t="s">
        <v>4</v>
      </c>
      <c r="C2" s="33" t="s">
        <v>15</v>
      </c>
      <c r="D2" s="33" t="s">
        <v>11</v>
      </c>
      <c r="E2" s="33" t="s">
        <v>17</v>
      </c>
      <c r="F2" s="33" t="s">
        <v>4959</v>
      </c>
    </row>
    <row r="3">
      <c r="A3" s="31" t="s">
        <v>3047</v>
      </c>
      <c r="B3" s="31" t="s">
        <v>747</v>
      </c>
      <c r="C3" s="31" t="s">
        <v>3676</v>
      </c>
      <c r="D3" s="31" t="s">
        <v>2756</v>
      </c>
      <c r="E3" s="31" t="s">
        <v>4138</v>
      </c>
      <c r="F3" s="31" t="s">
        <v>1327</v>
      </c>
    </row>
    <row r="4">
      <c r="A4" s="31" t="s">
        <v>1249</v>
      </c>
      <c r="B4" s="31" t="s">
        <v>812</v>
      </c>
      <c r="C4" s="31" t="s">
        <v>4960</v>
      </c>
      <c r="D4" s="31" t="s">
        <v>2666</v>
      </c>
      <c r="E4" s="31" t="s">
        <v>4244</v>
      </c>
      <c r="F4" s="31" t="s">
        <v>1621</v>
      </c>
    </row>
    <row r="5">
      <c r="A5" s="31" t="s">
        <v>4961</v>
      </c>
      <c r="B5" s="31" t="s">
        <v>4962</v>
      </c>
      <c r="C5" s="31" t="s">
        <v>4963</v>
      </c>
      <c r="D5" s="31" t="s">
        <v>4964</v>
      </c>
      <c r="E5" s="31" t="s">
        <v>4144</v>
      </c>
      <c r="F5" s="31" t="s">
        <v>4965</v>
      </c>
    </row>
    <row r="6">
      <c r="A6" s="31" t="s">
        <v>4966</v>
      </c>
      <c r="B6" s="31" t="s">
        <v>822</v>
      </c>
      <c r="C6" s="31" t="s">
        <v>3708</v>
      </c>
      <c r="D6" s="31" t="s">
        <v>4967</v>
      </c>
      <c r="E6" s="31" t="s">
        <v>4968</v>
      </c>
      <c r="F6" s="31" t="s">
        <v>4969</v>
      </c>
    </row>
    <row r="7">
      <c r="A7" s="31" t="s">
        <v>4970</v>
      </c>
      <c r="B7" s="31" t="s">
        <v>4971</v>
      </c>
      <c r="C7" s="31" t="s">
        <v>3656</v>
      </c>
      <c r="D7" s="31" t="s">
        <v>4972</v>
      </c>
      <c r="E7" s="31" t="s">
        <v>4236</v>
      </c>
      <c r="F7" s="31" t="s">
        <v>1452</v>
      </c>
    </row>
    <row r="8">
      <c r="A8" s="31" t="s">
        <v>4973</v>
      </c>
      <c r="B8" s="31" t="s">
        <v>4974</v>
      </c>
      <c r="C8" s="31" t="s">
        <v>4975</v>
      </c>
      <c r="D8" s="31" t="s">
        <v>4976</v>
      </c>
      <c r="E8" s="31" t="s">
        <v>4977</v>
      </c>
      <c r="F8" s="31" t="s">
        <v>4978</v>
      </c>
      <c r="H8" s="10">
        <f>8+9+12+10+11+10+15+7+6+14+4+2</f>
        <v>108</v>
      </c>
    </row>
    <row r="9">
      <c r="A9" s="31" t="s">
        <v>4979</v>
      </c>
      <c r="B9" s="31" t="s">
        <v>4980</v>
      </c>
      <c r="C9" s="31" t="s">
        <v>4981</v>
      </c>
      <c r="D9" s="31" t="s">
        <v>4982</v>
      </c>
      <c r="E9" s="31" t="s">
        <v>4983</v>
      </c>
      <c r="F9" s="31" t="s">
        <v>4984</v>
      </c>
    </row>
    <row r="10">
      <c r="A10" s="31" t="s">
        <v>4985</v>
      </c>
      <c r="B10" s="31" t="s">
        <v>4986</v>
      </c>
      <c r="C10" s="31" t="s">
        <v>4987</v>
      </c>
      <c r="D10" s="31" t="s">
        <v>4988</v>
      </c>
      <c r="E10" s="31" t="s">
        <v>4989</v>
      </c>
      <c r="F10" s="31" t="s">
        <v>4990</v>
      </c>
    </row>
    <row r="11">
      <c r="B11" s="31" t="s">
        <v>3510</v>
      </c>
      <c r="C11" s="31" t="s">
        <v>4991</v>
      </c>
      <c r="D11" s="31" t="s">
        <v>4992</v>
      </c>
      <c r="E11" s="31" t="s">
        <v>4993</v>
      </c>
      <c r="F11" s="31" t="s">
        <v>4994</v>
      </c>
    </row>
    <row r="12">
      <c r="C12" s="31" t="s">
        <v>4995</v>
      </c>
      <c r="D12" s="31" t="s">
        <v>4996</v>
      </c>
      <c r="E12" s="31" t="s">
        <v>4997</v>
      </c>
      <c r="F12" s="31" t="s">
        <v>4998</v>
      </c>
    </row>
    <row r="13">
      <c r="C13" s="31" t="s">
        <v>4999</v>
      </c>
      <c r="E13" s="31" t="s">
        <v>5000</v>
      </c>
    </row>
    <row r="14">
      <c r="C14" s="31" t="s">
        <v>3661</v>
      </c>
    </row>
    <row r="16">
      <c r="A16" s="33" t="s">
        <v>10</v>
      </c>
      <c r="B16" s="33" t="s">
        <v>7</v>
      </c>
      <c r="C16" s="33" t="s">
        <v>16</v>
      </c>
      <c r="D16" s="33" t="s">
        <v>9</v>
      </c>
      <c r="E16" s="33" t="s">
        <v>105</v>
      </c>
      <c r="F16" s="33" t="s">
        <v>8</v>
      </c>
    </row>
    <row r="17">
      <c r="A17" s="31" t="s">
        <v>2382</v>
      </c>
      <c r="B17" s="31" t="s">
        <v>1756</v>
      </c>
      <c r="C17" s="31" t="s">
        <v>5001</v>
      </c>
      <c r="D17" s="31" t="s">
        <v>5002</v>
      </c>
      <c r="E17" s="31" t="s">
        <v>5003</v>
      </c>
      <c r="F17" s="31" t="s">
        <v>2045</v>
      </c>
    </row>
    <row r="18">
      <c r="A18" s="31" t="s">
        <v>2417</v>
      </c>
      <c r="B18" s="31" t="s">
        <v>1757</v>
      </c>
      <c r="C18" s="31" t="s">
        <v>5004</v>
      </c>
      <c r="D18" s="31" t="s">
        <v>2239</v>
      </c>
      <c r="E18" s="31" t="s">
        <v>5005</v>
      </c>
      <c r="F18" s="31" t="s">
        <v>1973</v>
      </c>
    </row>
    <row r="19">
      <c r="A19" s="31" t="s">
        <v>2495</v>
      </c>
      <c r="B19" s="31" t="s">
        <v>1698</v>
      </c>
      <c r="C19" s="31" t="s">
        <v>5006</v>
      </c>
      <c r="D19" s="31" t="s">
        <v>5007</v>
      </c>
      <c r="E19" s="31" t="s">
        <v>5008</v>
      </c>
    </row>
    <row r="20">
      <c r="A20" s="31" t="s">
        <v>5009</v>
      </c>
      <c r="B20" s="31" t="s">
        <v>5010</v>
      </c>
      <c r="C20" s="31" t="s">
        <v>5011</v>
      </c>
      <c r="D20" s="31" t="s">
        <v>2265</v>
      </c>
      <c r="E20" s="31" t="s">
        <v>5012</v>
      </c>
    </row>
    <row r="21">
      <c r="A21" s="31" t="s">
        <v>5013</v>
      </c>
      <c r="B21" s="31" t="s">
        <v>5014</v>
      </c>
      <c r="C21" s="31" t="s">
        <v>5015</v>
      </c>
      <c r="D21" s="31" t="s">
        <v>5016</v>
      </c>
    </row>
    <row r="22">
      <c r="A22" s="31" t="s">
        <v>5017</v>
      </c>
      <c r="B22" s="31" t="s">
        <v>5018</v>
      </c>
      <c r="C22" s="31" t="s">
        <v>5019</v>
      </c>
      <c r="D22" s="31" t="s">
        <v>5020</v>
      </c>
    </row>
    <row r="23">
      <c r="A23" s="31" t="s">
        <v>5021</v>
      </c>
      <c r="B23" s="31" t="s">
        <v>5022</v>
      </c>
      <c r="D23" s="31" t="s">
        <v>5023</v>
      </c>
    </row>
    <row r="24">
      <c r="A24" s="31" t="s">
        <v>5024</v>
      </c>
      <c r="D24" s="31" t="s">
        <v>5025</v>
      </c>
    </row>
    <row r="25">
      <c r="A25" s="31" t="s">
        <v>5026</v>
      </c>
      <c r="D25" s="31" t="s">
        <v>5027</v>
      </c>
    </row>
    <row r="26">
      <c r="A26" s="31" t="s">
        <v>5028</v>
      </c>
      <c r="D26" s="31" t="s">
        <v>5029</v>
      </c>
    </row>
    <row r="27">
      <c r="A27" s="31" t="s">
        <v>2423</v>
      </c>
      <c r="D27" s="31" t="s">
        <v>5030</v>
      </c>
    </row>
    <row r="28">
      <c r="A28" s="31" t="s">
        <v>5031</v>
      </c>
      <c r="D28" s="31" t="s">
        <v>5032</v>
      </c>
    </row>
    <row r="29">
      <c r="A29" s="31" t="s">
        <v>5033</v>
      </c>
      <c r="D29" s="31" t="s">
        <v>5034</v>
      </c>
    </row>
    <row r="30">
      <c r="A30" s="31" t="s">
        <v>5035</v>
      </c>
      <c r="D30" s="31" t="s">
        <v>5036</v>
      </c>
    </row>
    <row r="31">
      <c r="A31" s="31" t="s">
        <v>5037</v>
      </c>
    </row>
    <row r="33">
      <c r="A33" s="390" t="s">
        <v>5038</v>
      </c>
    </row>
    <row r="34">
      <c r="A34" s="50" t="s">
        <v>665</v>
      </c>
      <c r="B34" s="50" t="s">
        <v>119</v>
      </c>
      <c r="C34" s="50" t="s">
        <v>142</v>
      </c>
      <c r="D34" s="50" t="s">
        <v>126</v>
      </c>
      <c r="E34" s="50" t="s">
        <v>130</v>
      </c>
    </row>
    <row r="35">
      <c r="A35" s="75" t="s">
        <v>5039</v>
      </c>
      <c r="B35" s="75" t="s">
        <v>5040</v>
      </c>
      <c r="C35" s="75" t="s">
        <v>5041</v>
      </c>
      <c r="D35" s="75" t="s">
        <v>5042</v>
      </c>
      <c r="E35" s="75" t="s">
        <v>5043</v>
      </c>
    </row>
    <row r="36">
      <c r="A36" s="75" t="s">
        <v>5044</v>
      </c>
      <c r="B36" s="75" t="s">
        <v>5045</v>
      </c>
      <c r="C36" s="75" t="s">
        <v>5046</v>
      </c>
      <c r="D36" s="75" t="s">
        <v>5047</v>
      </c>
      <c r="E36" s="75" t="s">
        <v>5048</v>
      </c>
    </row>
    <row r="37">
      <c r="A37" s="31" t="s">
        <v>5049</v>
      </c>
      <c r="B37" s="31" t="s">
        <v>5050</v>
      </c>
      <c r="C37" s="31" t="s">
        <v>5051</v>
      </c>
      <c r="D37" s="31" t="s">
        <v>5052</v>
      </c>
      <c r="E37" s="31" t="s">
        <v>5053</v>
      </c>
    </row>
    <row r="38">
      <c r="A38" s="104" t="s">
        <v>5054</v>
      </c>
      <c r="B38" s="31" t="s">
        <v>5055</v>
      </c>
      <c r="C38" s="104" t="s">
        <v>5056</v>
      </c>
      <c r="D38" s="104" t="s">
        <v>5057</v>
      </c>
      <c r="E38" s="31" t="s">
        <v>5058</v>
      </c>
    </row>
    <row r="39">
      <c r="A39" s="31" t="s">
        <v>5059</v>
      </c>
      <c r="B39" s="31" t="s">
        <v>5060</v>
      </c>
      <c r="C39" s="31" t="s">
        <v>5061</v>
      </c>
      <c r="D39" s="31" t="s">
        <v>5062</v>
      </c>
      <c r="E39" s="31" t="s">
        <v>5063</v>
      </c>
    </row>
    <row r="40">
      <c r="A40" s="31" t="s">
        <v>5064</v>
      </c>
      <c r="B40" s="31" t="s">
        <v>5065</v>
      </c>
      <c r="C40" s="31" t="s">
        <v>5066</v>
      </c>
      <c r="D40" s="31" t="s">
        <v>5067</v>
      </c>
      <c r="E40" s="31" t="s">
        <v>5068</v>
      </c>
    </row>
    <row r="41">
      <c r="A41" s="31" t="s">
        <v>5069</v>
      </c>
      <c r="B41" s="104" t="s">
        <v>5070</v>
      </c>
      <c r="C41" s="31" t="s">
        <v>5071</v>
      </c>
      <c r="D41" s="31" t="s">
        <v>5072</v>
      </c>
      <c r="E41" s="31" t="s">
        <v>5073</v>
      </c>
    </row>
    <row r="42">
      <c r="A42" s="31" t="s">
        <v>5074</v>
      </c>
      <c r="B42" s="31" t="s">
        <v>5075</v>
      </c>
      <c r="C42" s="367" t="s">
        <v>5076</v>
      </c>
      <c r="D42" s="31" t="s">
        <v>5077</v>
      </c>
      <c r="E42" s="31" t="s">
        <v>5078</v>
      </c>
    </row>
    <row r="43">
      <c r="A43" s="31" t="s">
        <v>5079</v>
      </c>
      <c r="B43" s="31" t="s">
        <v>5080</v>
      </c>
      <c r="C43" s="31" t="s">
        <v>5081</v>
      </c>
      <c r="D43" s="31" t="s">
        <v>5082</v>
      </c>
      <c r="E43" s="31" t="s">
        <v>5083</v>
      </c>
    </row>
    <row r="44">
      <c r="A44" s="31" t="s">
        <v>5084</v>
      </c>
      <c r="B44" s="367" t="s">
        <v>5085</v>
      </c>
      <c r="C44" s="31" t="s">
        <v>5086</v>
      </c>
      <c r="D44" s="31" t="s">
        <v>5087</v>
      </c>
      <c r="E44" s="31" t="s">
        <v>5088</v>
      </c>
    </row>
    <row r="45">
      <c r="A45" s="31" t="s">
        <v>5089</v>
      </c>
      <c r="B45" s="31" t="s">
        <v>5090</v>
      </c>
      <c r="C45" s="31" t="s">
        <v>5091</v>
      </c>
      <c r="D45" s="31" t="s">
        <v>5092</v>
      </c>
      <c r="E45" s="31" t="s">
        <v>5093</v>
      </c>
    </row>
    <row r="46">
      <c r="A46" s="31" t="s">
        <v>5094</v>
      </c>
      <c r="B46" s="31" t="s">
        <v>5095</v>
      </c>
      <c r="C46" s="31" t="s">
        <v>5096</v>
      </c>
      <c r="D46" s="31" t="s">
        <v>5097</v>
      </c>
      <c r="E46" s="31" t="s">
        <v>5098</v>
      </c>
    </row>
    <row r="47">
      <c r="A47" s="31" t="s">
        <v>5099</v>
      </c>
      <c r="B47" s="31" t="s">
        <v>5100</v>
      </c>
      <c r="C47" s="31" t="s">
        <v>5101</v>
      </c>
      <c r="D47" s="367" t="s">
        <v>5102</v>
      </c>
      <c r="E47" s="31" t="s">
        <v>5103</v>
      </c>
    </row>
    <row r="48">
      <c r="A48" s="104" t="s">
        <v>5104</v>
      </c>
      <c r="B48" s="31" t="s">
        <v>5105</v>
      </c>
      <c r="C48" s="31" t="s">
        <v>5106</v>
      </c>
      <c r="D48" s="31" t="s">
        <v>5107</v>
      </c>
      <c r="E48" s="367" t="s">
        <v>5108</v>
      </c>
    </row>
    <row r="49">
      <c r="A49" s="31" t="s">
        <v>5109</v>
      </c>
      <c r="B49" s="104" t="s">
        <v>5110</v>
      </c>
      <c r="C49" s="31" t="s">
        <v>5111</v>
      </c>
      <c r="D49" s="104" t="s">
        <v>5112</v>
      </c>
      <c r="E49" s="31" t="s">
        <v>5113</v>
      </c>
    </row>
    <row r="50">
      <c r="A50" s="31" t="s">
        <v>5114</v>
      </c>
      <c r="B50" s="31" t="s">
        <v>5115</v>
      </c>
      <c r="C50" s="31" t="s">
        <v>5116</v>
      </c>
      <c r="D50" s="31" t="s">
        <v>5117</v>
      </c>
    </row>
    <row r="51">
      <c r="A51" s="31" t="s">
        <v>5118</v>
      </c>
      <c r="C51" s="31" t="s">
        <v>5119</v>
      </c>
      <c r="D51" s="31" t="s">
        <v>5120</v>
      </c>
    </row>
    <row r="52">
      <c r="D52" s="31" t="s">
        <v>5121</v>
      </c>
    </row>
    <row r="54">
      <c r="A54" s="149" t="s">
        <v>4701</v>
      </c>
    </row>
    <row r="55">
      <c r="A55" s="379" t="s">
        <v>4319</v>
      </c>
      <c r="B55" s="379" t="s">
        <v>4702</v>
      </c>
      <c r="C55" s="379" t="s">
        <v>4320</v>
      </c>
      <c r="D55" s="379" t="s">
        <v>436</v>
      </c>
      <c r="E55" s="379" t="s">
        <v>4704</v>
      </c>
      <c r="F55" s="379" t="s">
        <v>135</v>
      </c>
      <c r="G55" s="379" t="s">
        <v>128</v>
      </c>
    </row>
    <row r="56">
      <c r="A56" s="4" t="s">
        <v>5122</v>
      </c>
      <c r="B56" s="4" t="s">
        <v>5123</v>
      </c>
      <c r="C56" s="4" t="s">
        <v>665</v>
      </c>
      <c r="D56" s="4" t="s">
        <v>1500</v>
      </c>
      <c r="E56" s="4" t="s">
        <v>5124</v>
      </c>
      <c r="F56" s="4" t="s">
        <v>5124</v>
      </c>
      <c r="G56" s="4" t="s">
        <v>5125</v>
      </c>
    </row>
    <row r="57">
      <c r="A57" s="4" t="s">
        <v>5126</v>
      </c>
      <c r="B57" s="4" t="s">
        <v>5123</v>
      </c>
      <c r="C57" s="4" t="s">
        <v>142</v>
      </c>
      <c r="D57" s="4" t="s">
        <v>158</v>
      </c>
      <c r="E57" s="4" t="s">
        <v>5127</v>
      </c>
      <c r="F57" s="4" t="s">
        <v>5128</v>
      </c>
      <c r="G57" s="4" t="s">
        <v>5129</v>
      </c>
    </row>
    <row r="58">
      <c r="A58" s="4" t="s">
        <v>5130</v>
      </c>
      <c r="B58" s="4" t="s">
        <v>5131</v>
      </c>
      <c r="C58" s="4" t="s">
        <v>130</v>
      </c>
      <c r="D58" s="4" t="s">
        <v>158</v>
      </c>
      <c r="E58" s="4" t="s">
        <v>5132</v>
      </c>
      <c r="F58" s="4" t="s">
        <v>5132</v>
      </c>
      <c r="G58" s="4" t="s">
        <v>5133</v>
      </c>
    </row>
    <row r="59">
      <c r="A59" s="4" t="s">
        <v>5134</v>
      </c>
      <c r="B59" s="4" t="s">
        <v>5135</v>
      </c>
      <c r="C59" s="4" t="s">
        <v>126</v>
      </c>
      <c r="D59" s="4" t="s">
        <v>5136</v>
      </c>
      <c r="E59" s="4" t="s">
        <v>5137</v>
      </c>
      <c r="F59" s="4" t="s">
        <v>5138</v>
      </c>
      <c r="G59" s="4" t="s">
        <v>5139</v>
      </c>
    </row>
    <row r="60">
      <c r="A60" s="4" t="s">
        <v>5140</v>
      </c>
      <c r="B60" s="4" t="s">
        <v>5135</v>
      </c>
      <c r="C60" s="4" t="s">
        <v>142</v>
      </c>
      <c r="D60" s="4" t="s">
        <v>4328</v>
      </c>
      <c r="E60" s="4" t="s">
        <v>5141</v>
      </c>
      <c r="F60" s="4" t="s">
        <v>5141</v>
      </c>
      <c r="G60" s="4" t="s">
        <v>5142</v>
      </c>
    </row>
    <row r="61">
      <c r="A61" s="4" t="s">
        <v>5143</v>
      </c>
      <c r="B61" s="4" t="s">
        <v>5144</v>
      </c>
      <c r="C61" s="4" t="s">
        <v>142</v>
      </c>
      <c r="D61" s="4" t="s">
        <v>1500</v>
      </c>
      <c r="E61" s="4" t="s">
        <v>5141</v>
      </c>
      <c r="F61" s="4" t="s">
        <v>5141</v>
      </c>
      <c r="G61" s="4" t="s">
        <v>5129</v>
      </c>
    </row>
    <row r="62">
      <c r="A62" s="4" t="s">
        <v>5145</v>
      </c>
      <c r="B62" s="4" t="s">
        <v>5146</v>
      </c>
      <c r="C62" s="4" t="s">
        <v>130</v>
      </c>
      <c r="D62" s="4" t="s">
        <v>5147</v>
      </c>
      <c r="E62" s="4" t="s">
        <v>5148</v>
      </c>
      <c r="F62" s="4" t="s">
        <v>5149</v>
      </c>
      <c r="G62" s="4" t="s">
        <v>5150</v>
      </c>
    </row>
    <row r="63">
      <c r="A63" s="4" t="s">
        <v>5151</v>
      </c>
      <c r="B63" s="4" t="s">
        <v>5146</v>
      </c>
      <c r="C63" s="4" t="s">
        <v>126</v>
      </c>
      <c r="D63" s="4" t="s">
        <v>5152</v>
      </c>
      <c r="E63" s="4" t="s">
        <v>5139</v>
      </c>
      <c r="F63" s="4" t="s">
        <v>5153</v>
      </c>
      <c r="G63" s="4" t="s">
        <v>5141</v>
      </c>
    </row>
    <row r="64">
      <c r="A64" s="4" t="s">
        <v>5154</v>
      </c>
      <c r="B64" s="4" t="s">
        <v>5155</v>
      </c>
      <c r="C64" s="4" t="s">
        <v>119</v>
      </c>
      <c r="D64" s="4" t="s">
        <v>4348</v>
      </c>
      <c r="E64" s="4" t="s">
        <v>5156</v>
      </c>
      <c r="F64" s="4" t="s">
        <v>5157</v>
      </c>
      <c r="G64" s="4" t="s">
        <v>5158</v>
      </c>
    </row>
    <row r="65">
      <c r="A65" s="4" t="s">
        <v>5159</v>
      </c>
      <c r="B65" s="4" t="s">
        <v>5160</v>
      </c>
      <c r="C65" s="4" t="s">
        <v>126</v>
      </c>
      <c r="D65" s="4" t="s">
        <v>158</v>
      </c>
      <c r="E65" s="4" t="s">
        <v>5153</v>
      </c>
      <c r="F65" s="4" t="s">
        <v>5153</v>
      </c>
      <c r="G65" s="4" t="s">
        <v>5161</v>
      </c>
    </row>
    <row r="66">
      <c r="A66" s="4" t="s">
        <v>5162</v>
      </c>
      <c r="B66" s="4" t="s">
        <v>5160</v>
      </c>
      <c r="C66" s="4" t="s">
        <v>119</v>
      </c>
      <c r="D66" s="4" t="s">
        <v>5136</v>
      </c>
      <c r="E66" s="4" t="s">
        <v>5138</v>
      </c>
      <c r="F66" s="4" t="s">
        <v>5163</v>
      </c>
      <c r="G66" s="4" t="s">
        <v>5138</v>
      </c>
    </row>
    <row r="67">
      <c r="A67" s="4" t="s">
        <v>5164</v>
      </c>
      <c r="B67" s="4" t="s">
        <v>5165</v>
      </c>
      <c r="C67" s="4" t="s">
        <v>665</v>
      </c>
      <c r="D67" s="4" t="s">
        <v>5166</v>
      </c>
      <c r="E67" s="4" t="s">
        <v>5167</v>
      </c>
      <c r="F67" s="4" t="s">
        <v>5168</v>
      </c>
      <c r="G67" s="4" t="s">
        <v>5167</v>
      </c>
    </row>
    <row r="68">
      <c r="A68" s="4" t="s">
        <v>5169</v>
      </c>
      <c r="B68" s="4" t="s">
        <v>5170</v>
      </c>
      <c r="C68" s="4" t="s">
        <v>126</v>
      </c>
      <c r="D68" s="4" t="s">
        <v>4393</v>
      </c>
      <c r="E68" s="4" t="s">
        <v>5139</v>
      </c>
      <c r="F68" s="4" t="s">
        <v>5171</v>
      </c>
      <c r="G68" s="4" t="s">
        <v>5139</v>
      </c>
    </row>
    <row r="69">
      <c r="A69" s="4" t="s">
        <v>5172</v>
      </c>
      <c r="B69" s="4" t="s">
        <v>5170</v>
      </c>
      <c r="C69" s="4" t="s">
        <v>665</v>
      </c>
      <c r="D69" s="4" t="s">
        <v>5136</v>
      </c>
      <c r="E69" s="4" t="s">
        <v>5173</v>
      </c>
      <c r="F69" s="4" t="s">
        <v>5141</v>
      </c>
      <c r="G69" s="4" t="s">
        <v>5157</v>
      </c>
    </row>
    <row r="70">
      <c r="A70" s="4" t="s">
        <v>5174</v>
      </c>
      <c r="B70" s="4" t="s">
        <v>5175</v>
      </c>
      <c r="C70" s="4" t="s">
        <v>130</v>
      </c>
      <c r="D70" s="4" t="s">
        <v>5176</v>
      </c>
      <c r="E70" s="4" t="s">
        <v>5168</v>
      </c>
      <c r="F70" s="4" t="s">
        <v>5168</v>
      </c>
      <c r="G70" s="4" t="s">
        <v>5177</v>
      </c>
    </row>
    <row r="71">
      <c r="A71" s="4" t="s">
        <v>5178</v>
      </c>
      <c r="B71" s="4" t="s">
        <v>5179</v>
      </c>
      <c r="C71" s="4" t="s">
        <v>130</v>
      </c>
      <c r="D71" s="4" t="s">
        <v>158</v>
      </c>
      <c r="E71" s="4" t="s">
        <v>5177</v>
      </c>
      <c r="F71" s="4" t="s">
        <v>5180</v>
      </c>
      <c r="G71" s="4" t="s">
        <v>5177</v>
      </c>
    </row>
    <row r="72">
      <c r="A72" s="4" t="s">
        <v>5181</v>
      </c>
      <c r="B72" s="4" t="s">
        <v>5179</v>
      </c>
      <c r="C72" s="4" t="s">
        <v>126</v>
      </c>
      <c r="D72" s="4" t="s">
        <v>5182</v>
      </c>
      <c r="E72" s="4" t="s">
        <v>5161</v>
      </c>
      <c r="F72" s="4" t="s">
        <v>5183</v>
      </c>
      <c r="G72" s="4" t="s">
        <v>5161</v>
      </c>
    </row>
    <row r="73">
      <c r="A73" s="4" t="s">
        <v>5184</v>
      </c>
      <c r="B73" s="4" t="s">
        <v>5185</v>
      </c>
      <c r="C73" s="4" t="s">
        <v>665</v>
      </c>
      <c r="D73" s="4" t="s">
        <v>5136</v>
      </c>
      <c r="E73" s="4" t="s">
        <v>5157</v>
      </c>
      <c r="F73" s="4" t="s">
        <v>5157</v>
      </c>
      <c r="G73" s="4" t="s">
        <v>5186</v>
      </c>
    </row>
    <row r="74">
      <c r="A74" s="4" t="s">
        <v>5187</v>
      </c>
      <c r="B74" s="4" t="s">
        <v>5188</v>
      </c>
      <c r="C74" s="4" t="s">
        <v>142</v>
      </c>
      <c r="D74" s="4" t="s">
        <v>5176</v>
      </c>
      <c r="E74" s="4" t="s">
        <v>5127</v>
      </c>
      <c r="F74" s="4" t="s">
        <v>5127</v>
      </c>
      <c r="G74" s="4" t="s">
        <v>5141</v>
      </c>
    </row>
    <row r="75">
      <c r="A75" s="4" t="s">
        <v>5122</v>
      </c>
      <c r="B75" s="4" t="s">
        <v>5189</v>
      </c>
      <c r="C75" s="4" t="s">
        <v>126</v>
      </c>
      <c r="D75" s="4" t="s">
        <v>5136</v>
      </c>
      <c r="E75" s="4" t="s">
        <v>5183</v>
      </c>
      <c r="F75" s="4" t="s">
        <v>5183</v>
      </c>
      <c r="G75" s="4" t="s">
        <v>5190</v>
      </c>
    </row>
    <row r="76">
      <c r="A76" s="4" t="s">
        <v>5191</v>
      </c>
      <c r="B76" s="4" t="s">
        <v>5192</v>
      </c>
      <c r="C76" s="4" t="s">
        <v>130</v>
      </c>
      <c r="D76" s="4" t="s">
        <v>4390</v>
      </c>
      <c r="E76" s="4" t="s">
        <v>5177</v>
      </c>
      <c r="F76" s="4" t="s">
        <v>5193</v>
      </c>
      <c r="G76" s="4" t="s">
        <v>5177</v>
      </c>
    </row>
    <row r="77">
      <c r="A77" s="4" t="s">
        <v>5194</v>
      </c>
      <c r="B77" s="4" t="s">
        <v>5195</v>
      </c>
      <c r="C77" s="4" t="s">
        <v>126</v>
      </c>
      <c r="D77" s="4" t="s">
        <v>1500</v>
      </c>
      <c r="E77" s="4" t="s">
        <v>5196</v>
      </c>
      <c r="F77" s="4" t="s">
        <v>5132</v>
      </c>
      <c r="G77" s="4" t="s">
        <v>5197</v>
      </c>
    </row>
    <row r="78">
      <c r="A78" s="8"/>
      <c r="B78" s="8"/>
      <c r="C78" s="8"/>
      <c r="D78" s="8"/>
      <c r="E78" s="8"/>
      <c r="F78" s="8"/>
      <c r="G78" s="8"/>
    </row>
    <row r="79">
      <c r="A79" s="391" t="s">
        <v>5198</v>
      </c>
      <c r="F79" s="8"/>
      <c r="G79" s="8"/>
    </row>
    <row r="80">
      <c r="A80" s="252" t="s">
        <v>111</v>
      </c>
      <c r="B80" s="252" t="s">
        <v>112</v>
      </c>
      <c r="C80" s="252" t="s">
        <v>113</v>
      </c>
      <c r="D80" s="252" t="s">
        <v>114</v>
      </c>
      <c r="E80" s="252" t="s">
        <v>4406</v>
      </c>
      <c r="F80" s="8"/>
      <c r="G80" s="8"/>
    </row>
    <row r="81">
      <c r="A81" s="4" t="s">
        <v>117</v>
      </c>
      <c r="B81" s="4" t="s">
        <v>118</v>
      </c>
      <c r="C81" s="4" t="s">
        <v>119</v>
      </c>
      <c r="D81" s="4" t="s">
        <v>6</v>
      </c>
      <c r="E81" s="4">
        <v>5000.0</v>
      </c>
      <c r="F81" s="8"/>
      <c r="G81" s="8"/>
    </row>
    <row r="82">
      <c r="A82" s="4" t="s">
        <v>121</v>
      </c>
      <c r="B82" s="4" t="s">
        <v>122</v>
      </c>
      <c r="C82" s="4" t="s">
        <v>119</v>
      </c>
      <c r="D82" s="4" t="s">
        <v>123</v>
      </c>
      <c r="E82" s="4">
        <v>5000.0</v>
      </c>
      <c r="F82" s="8"/>
      <c r="G82" s="8"/>
    </row>
    <row r="83">
      <c r="A83" s="4" t="s">
        <v>124</v>
      </c>
      <c r="B83" s="4" t="s">
        <v>125</v>
      </c>
      <c r="C83" s="4" t="s">
        <v>126</v>
      </c>
      <c r="D83" s="4" t="s">
        <v>10</v>
      </c>
      <c r="E83" s="4">
        <v>5000.0</v>
      </c>
      <c r="F83" s="8"/>
      <c r="G83" s="8"/>
    </row>
    <row r="84">
      <c r="A84" s="4" t="s">
        <v>128</v>
      </c>
      <c r="B84" s="4" t="s">
        <v>129</v>
      </c>
      <c r="C84" s="4" t="s">
        <v>130</v>
      </c>
      <c r="D84" s="4" t="s">
        <v>6</v>
      </c>
      <c r="E84" s="4">
        <v>10000.0</v>
      </c>
      <c r="F84" s="8"/>
      <c r="G84" s="8"/>
    </row>
    <row r="85">
      <c r="A85" s="4" t="s">
        <v>135</v>
      </c>
      <c r="B85" s="4" t="s">
        <v>136</v>
      </c>
      <c r="C85" s="4" t="s">
        <v>130</v>
      </c>
      <c r="D85" s="4" t="s">
        <v>9</v>
      </c>
      <c r="E85" s="4">
        <v>10000.0</v>
      </c>
      <c r="F85" s="8"/>
      <c r="G85" s="8"/>
    </row>
    <row r="86">
      <c r="A86" s="4" t="s">
        <v>140</v>
      </c>
      <c r="B86" s="4" t="s">
        <v>141</v>
      </c>
      <c r="C86" s="4" t="s">
        <v>142</v>
      </c>
      <c r="D86" s="4" t="s">
        <v>7</v>
      </c>
      <c r="E86" s="4">
        <v>20000.0</v>
      </c>
      <c r="F86" s="8"/>
      <c r="G86" s="8"/>
    </row>
    <row r="87">
      <c r="A87" s="4" t="s">
        <v>145</v>
      </c>
      <c r="B87" s="4" t="s">
        <v>130</v>
      </c>
      <c r="E87" s="4">
        <v>40000.0</v>
      </c>
      <c r="F87" s="8"/>
      <c r="G87" s="8"/>
    </row>
    <row r="88">
      <c r="A88" s="4" t="s">
        <v>148</v>
      </c>
      <c r="B88" s="4" t="s">
        <v>126</v>
      </c>
      <c r="E88" s="4">
        <v>80000.0</v>
      </c>
      <c r="F88" s="8"/>
      <c r="G88" s="8"/>
    </row>
    <row r="89">
      <c r="A89" s="8"/>
      <c r="B89" s="8"/>
      <c r="C89" s="8"/>
      <c r="D89" s="8"/>
      <c r="E89" s="8"/>
      <c r="F89" s="8"/>
      <c r="G89" s="8"/>
    </row>
    <row r="90">
      <c r="A90" s="8"/>
      <c r="B90" s="8"/>
      <c r="C90" s="8"/>
      <c r="D90" s="8"/>
      <c r="E90" s="8"/>
      <c r="F90" s="8"/>
      <c r="G90" s="8"/>
    </row>
  </sheetData>
  <mergeCells count="6">
    <mergeCell ref="A1:F1"/>
    <mergeCell ref="A33:E33"/>
    <mergeCell ref="A54:G54"/>
    <mergeCell ref="A79:E79"/>
    <mergeCell ref="B87:D87"/>
    <mergeCell ref="B88:D88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29.88"/>
    <col customWidth="1" min="3" max="3" width="29.13"/>
    <col customWidth="1" min="4" max="4" width="28.63"/>
    <col customWidth="1" min="5" max="5" width="32.75"/>
    <col customWidth="1" min="6" max="6" width="28.75"/>
    <col customWidth="1" min="7" max="7" width="23.88"/>
    <col customWidth="1" min="8" max="8" width="22.63"/>
    <col customWidth="1" min="9" max="9" width="17.38"/>
  </cols>
  <sheetData>
    <row r="1">
      <c r="A1" s="86" t="s">
        <v>5199</v>
      </c>
    </row>
    <row r="2">
      <c r="A2" s="33" t="s">
        <v>123</v>
      </c>
      <c r="B2" s="33" t="s">
        <v>6</v>
      </c>
      <c r="C2" s="33" t="s">
        <v>4</v>
      </c>
      <c r="D2" s="33" t="s">
        <v>15</v>
      </c>
      <c r="E2" s="33" t="s">
        <v>7</v>
      </c>
      <c r="F2" s="33" t="s">
        <v>10</v>
      </c>
      <c r="G2" s="33" t="s">
        <v>13</v>
      </c>
    </row>
    <row r="3">
      <c r="A3" s="31" t="s">
        <v>378</v>
      </c>
      <c r="B3" s="31" t="s">
        <v>1593</v>
      </c>
      <c r="C3" s="31" t="s">
        <v>423</v>
      </c>
      <c r="D3" s="31" t="s">
        <v>3676</v>
      </c>
      <c r="E3" s="31" t="s">
        <v>5200</v>
      </c>
      <c r="F3" s="31" t="s">
        <v>2382</v>
      </c>
      <c r="G3" s="31" t="s">
        <v>3299</v>
      </c>
    </row>
    <row r="4">
      <c r="A4" s="31" t="s">
        <v>1249</v>
      </c>
      <c r="B4" s="31" t="s">
        <v>5201</v>
      </c>
      <c r="C4" s="31" t="s">
        <v>4439</v>
      </c>
      <c r="D4" s="31" t="s">
        <v>5202</v>
      </c>
      <c r="E4" s="31" t="s">
        <v>1817</v>
      </c>
      <c r="F4" s="31" t="s">
        <v>2592</v>
      </c>
      <c r="G4" s="31" t="s">
        <v>3313</v>
      </c>
    </row>
    <row r="5">
      <c r="A5" s="31" t="s">
        <v>962</v>
      </c>
      <c r="B5" s="31" t="s">
        <v>1336</v>
      </c>
      <c r="C5" s="31" t="s">
        <v>5203</v>
      </c>
      <c r="D5" s="31" t="s">
        <v>3691</v>
      </c>
      <c r="E5" s="31" t="s">
        <v>1681</v>
      </c>
      <c r="F5" s="31" t="s">
        <v>2513</v>
      </c>
      <c r="G5" s="31" t="s">
        <v>5204</v>
      </c>
    </row>
    <row r="6">
      <c r="A6" s="31" t="s">
        <v>5205</v>
      </c>
      <c r="B6" s="31" t="s">
        <v>1560</v>
      </c>
      <c r="C6" s="31" t="s">
        <v>5206</v>
      </c>
      <c r="D6" s="31" t="s">
        <v>3708</v>
      </c>
      <c r="E6" s="31" t="s">
        <v>5207</v>
      </c>
      <c r="F6" s="31" t="s">
        <v>5208</v>
      </c>
      <c r="G6" s="31" t="s">
        <v>4455</v>
      </c>
    </row>
    <row r="7">
      <c r="A7" s="31" t="s">
        <v>3035</v>
      </c>
      <c r="B7" s="31" t="s">
        <v>5209</v>
      </c>
      <c r="C7" s="31" t="s">
        <v>5210</v>
      </c>
      <c r="D7" s="31" t="s">
        <v>5211</v>
      </c>
      <c r="E7" s="31" t="s">
        <v>5212</v>
      </c>
      <c r="F7" s="31" t="s">
        <v>5213</v>
      </c>
      <c r="G7" s="31" t="s">
        <v>5214</v>
      </c>
    </row>
    <row r="8">
      <c r="A8" s="31" t="s">
        <v>5215</v>
      </c>
      <c r="C8" s="31" t="s">
        <v>5216</v>
      </c>
      <c r="D8" s="31" t="s">
        <v>4975</v>
      </c>
      <c r="E8" s="31" t="s">
        <v>5217</v>
      </c>
      <c r="F8" s="31" t="s">
        <v>5218</v>
      </c>
      <c r="G8" s="31" t="s">
        <v>5219</v>
      </c>
    </row>
    <row r="9">
      <c r="A9" s="31" t="s">
        <v>5220</v>
      </c>
      <c r="C9" s="31" t="s">
        <v>5221</v>
      </c>
      <c r="D9" s="31" t="s">
        <v>5222</v>
      </c>
      <c r="E9" s="31" t="s">
        <v>5022</v>
      </c>
      <c r="F9" s="31" t="s">
        <v>5223</v>
      </c>
      <c r="G9" s="31" t="s">
        <v>5224</v>
      </c>
    </row>
    <row r="10">
      <c r="A10" s="31" t="s">
        <v>5225</v>
      </c>
      <c r="C10" s="31" t="s">
        <v>5226</v>
      </c>
      <c r="D10" s="31" t="s">
        <v>5227</v>
      </c>
      <c r="E10" s="31" t="s">
        <v>5228</v>
      </c>
      <c r="F10" s="31" t="s">
        <v>5229</v>
      </c>
      <c r="G10" s="31" t="s">
        <v>5230</v>
      </c>
    </row>
    <row r="11">
      <c r="A11" s="31" t="s">
        <v>5231</v>
      </c>
      <c r="C11" s="31" t="s">
        <v>869</v>
      </c>
      <c r="D11" s="31" t="s">
        <v>5232</v>
      </c>
      <c r="F11" s="31" t="s">
        <v>5233</v>
      </c>
      <c r="G11" s="31" t="s">
        <v>5234</v>
      </c>
    </row>
    <row r="12">
      <c r="C12" s="31" t="s">
        <v>5235</v>
      </c>
      <c r="D12" s="31" t="s">
        <v>4507</v>
      </c>
      <c r="F12" s="31" t="s">
        <v>5028</v>
      </c>
    </row>
    <row r="13">
      <c r="C13" s="31" t="s">
        <v>5236</v>
      </c>
      <c r="D13" s="31" t="s">
        <v>5237</v>
      </c>
      <c r="F13" s="31" t="s">
        <v>2423</v>
      </c>
    </row>
    <row r="14">
      <c r="C14" s="31" t="s">
        <v>5238</v>
      </c>
      <c r="D14" s="31" t="s">
        <v>5239</v>
      </c>
      <c r="F14" s="31" t="s">
        <v>5240</v>
      </c>
      <c r="H14" s="10">
        <f>9+5+14+15+8+19+9+8+10+2+16+10+12</f>
        <v>137</v>
      </c>
    </row>
    <row r="15">
      <c r="C15" s="31" t="s">
        <v>5241</v>
      </c>
      <c r="D15" s="31" t="s">
        <v>5242</v>
      </c>
      <c r="F15" s="31" t="s">
        <v>3351</v>
      </c>
    </row>
    <row r="16">
      <c r="C16" s="31" t="s">
        <v>5243</v>
      </c>
      <c r="D16" s="31" t="s">
        <v>5244</v>
      </c>
      <c r="F16" s="31" t="s">
        <v>5245</v>
      </c>
    </row>
    <row r="17">
      <c r="D17" s="31" t="s">
        <v>5246</v>
      </c>
      <c r="F17" s="31" t="s">
        <v>5247</v>
      </c>
    </row>
    <row r="18">
      <c r="F18" s="31" t="s">
        <v>5248</v>
      </c>
    </row>
    <row r="19">
      <c r="F19" s="31" t="s">
        <v>5249</v>
      </c>
    </row>
    <row r="20">
      <c r="F20" s="31" t="s">
        <v>5250</v>
      </c>
    </row>
    <row r="21">
      <c r="F21" s="31" t="s">
        <v>2454</v>
      </c>
    </row>
    <row r="23">
      <c r="A23" s="33" t="s">
        <v>16</v>
      </c>
      <c r="B23" s="33" t="s">
        <v>9</v>
      </c>
      <c r="C23" s="33" t="s">
        <v>8</v>
      </c>
      <c r="D23" s="33" t="s">
        <v>5</v>
      </c>
      <c r="E23" s="33" t="s">
        <v>17</v>
      </c>
      <c r="F23" s="33" t="s">
        <v>5251</v>
      </c>
    </row>
    <row r="24">
      <c r="A24" s="31" t="s">
        <v>5252</v>
      </c>
      <c r="B24" s="31" t="s">
        <v>5002</v>
      </c>
      <c r="C24" s="31" t="s">
        <v>2001</v>
      </c>
      <c r="D24" s="31" t="s">
        <v>989</v>
      </c>
      <c r="E24" s="31" t="s">
        <v>4165</v>
      </c>
      <c r="F24" s="31" t="s">
        <v>5253</v>
      </c>
    </row>
    <row r="25">
      <c r="A25" s="31" t="s">
        <v>5004</v>
      </c>
      <c r="B25" s="31" t="s">
        <v>2239</v>
      </c>
      <c r="C25" s="31" t="s">
        <v>5254</v>
      </c>
      <c r="D25" s="31" t="s">
        <v>5255</v>
      </c>
      <c r="E25" s="31" t="s">
        <v>4014</v>
      </c>
      <c r="F25" s="31" t="s">
        <v>5256</v>
      </c>
    </row>
    <row r="26">
      <c r="A26" s="31" t="s">
        <v>5257</v>
      </c>
      <c r="B26" s="31" t="s">
        <v>5007</v>
      </c>
      <c r="D26" s="31" t="s">
        <v>5258</v>
      </c>
      <c r="E26" s="31" t="s">
        <v>5259</v>
      </c>
      <c r="F26" s="31" t="s">
        <v>5260</v>
      </c>
    </row>
    <row r="27">
      <c r="A27" s="31" t="s">
        <v>5261</v>
      </c>
      <c r="B27" s="31" t="s">
        <v>5262</v>
      </c>
      <c r="D27" s="31" t="s">
        <v>5263</v>
      </c>
      <c r="E27" s="31" t="s">
        <v>5264</v>
      </c>
      <c r="F27" s="31" t="s">
        <v>5265</v>
      </c>
    </row>
    <row r="28">
      <c r="A28" s="31" t="s">
        <v>5266</v>
      </c>
      <c r="B28" s="31" t="s">
        <v>5267</v>
      </c>
      <c r="D28" s="31" t="s">
        <v>5268</v>
      </c>
      <c r="E28" s="31" t="s">
        <v>5269</v>
      </c>
      <c r="F28" s="31" t="s">
        <v>5270</v>
      </c>
    </row>
    <row r="29">
      <c r="A29" s="31" t="s">
        <v>5271</v>
      </c>
      <c r="B29" s="31" t="s">
        <v>5272</v>
      </c>
      <c r="D29" s="31" t="s">
        <v>5273</v>
      </c>
      <c r="E29" s="31" t="s">
        <v>5274</v>
      </c>
      <c r="F29" s="31" t="s">
        <v>5275</v>
      </c>
    </row>
    <row r="30">
      <c r="A30" s="31" t="s">
        <v>5276</v>
      </c>
      <c r="B30" s="31" t="s">
        <v>5277</v>
      </c>
      <c r="D30" s="31" t="s">
        <v>5278</v>
      </c>
      <c r="E30" s="31" t="s">
        <v>4983</v>
      </c>
      <c r="F30" s="31" t="s">
        <v>5279</v>
      </c>
    </row>
    <row r="31">
      <c r="A31" s="31" t="s">
        <v>5280</v>
      </c>
      <c r="B31" s="31" t="s">
        <v>5281</v>
      </c>
      <c r="D31" s="31" t="s">
        <v>5282</v>
      </c>
      <c r="E31" s="31" t="s">
        <v>5283</v>
      </c>
      <c r="F31" s="31" t="s">
        <v>5284</v>
      </c>
    </row>
    <row r="32">
      <c r="B32" s="31" t="s">
        <v>5285</v>
      </c>
      <c r="D32" s="31" t="s">
        <v>5286</v>
      </c>
      <c r="E32" s="31" t="s">
        <v>5287</v>
      </c>
      <c r="F32" s="31" t="s">
        <v>5288</v>
      </c>
    </row>
    <row r="33">
      <c r="B33" s="31" t="s">
        <v>5289</v>
      </c>
      <c r="D33" s="31" t="s">
        <v>5290</v>
      </c>
      <c r="E33" s="31" t="s">
        <v>5291</v>
      </c>
      <c r="F33" s="31" t="s">
        <v>5292</v>
      </c>
    </row>
    <row r="34">
      <c r="D34" s="31" t="s">
        <v>5293</v>
      </c>
      <c r="F34" s="31" t="s">
        <v>5294</v>
      </c>
    </row>
    <row r="35">
      <c r="D35" s="31" t="s">
        <v>5295</v>
      </c>
      <c r="F35" s="31" t="s">
        <v>5296</v>
      </c>
    </row>
    <row r="36">
      <c r="D36" s="31" t="s">
        <v>5297</v>
      </c>
    </row>
    <row r="37">
      <c r="D37" s="31" t="s">
        <v>5298</v>
      </c>
    </row>
    <row r="38">
      <c r="D38" s="31" t="s">
        <v>5299</v>
      </c>
    </row>
    <row r="39">
      <c r="D39" s="31" t="s">
        <v>5300</v>
      </c>
    </row>
    <row r="43">
      <c r="A43" s="86" t="s">
        <v>5301</v>
      </c>
    </row>
    <row r="44">
      <c r="A44" s="50" t="s">
        <v>687</v>
      </c>
      <c r="B44" s="50" t="s">
        <v>688</v>
      </c>
      <c r="C44" s="50" t="s">
        <v>689</v>
      </c>
      <c r="D44" s="50" t="s">
        <v>690</v>
      </c>
      <c r="E44" s="50" t="s">
        <v>691</v>
      </c>
      <c r="F44" s="50" t="s">
        <v>692</v>
      </c>
    </row>
    <row r="45">
      <c r="A45" s="31" t="s">
        <v>5302</v>
      </c>
      <c r="B45" s="31" t="s">
        <v>5303</v>
      </c>
      <c r="C45" s="31" t="s">
        <v>5304</v>
      </c>
      <c r="D45" s="31" t="s">
        <v>5305</v>
      </c>
      <c r="E45" s="31" t="s">
        <v>5306</v>
      </c>
      <c r="F45" s="31" t="s">
        <v>5307</v>
      </c>
    </row>
    <row r="46">
      <c r="A46" s="31" t="s">
        <v>5308</v>
      </c>
      <c r="B46" s="31" t="s">
        <v>5309</v>
      </c>
      <c r="C46" s="31" t="s">
        <v>5310</v>
      </c>
      <c r="D46" s="31" t="s">
        <v>5311</v>
      </c>
      <c r="E46" s="31" t="s">
        <v>5312</v>
      </c>
      <c r="F46" s="31" t="s">
        <v>5313</v>
      </c>
    </row>
    <row r="47">
      <c r="A47" s="31" t="s">
        <v>5314</v>
      </c>
      <c r="B47" s="31" t="s">
        <v>5315</v>
      </c>
      <c r="C47" s="31" t="s">
        <v>5316</v>
      </c>
      <c r="D47" s="31" t="s">
        <v>5317</v>
      </c>
      <c r="E47" s="31" t="s">
        <v>5318</v>
      </c>
      <c r="F47" s="31" t="s">
        <v>5319</v>
      </c>
    </row>
    <row r="48">
      <c r="A48" s="31" t="s">
        <v>5320</v>
      </c>
      <c r="B48" s="31" t="s">
        <v>5321</v>
      </c>
      <c r="C48" s="31" t="s">
        <v>5322</v>
      </c>
      <c r="D48" s="31" t="s">
        <v>5323</v>
      </c>
      <c r="E48" s="31" t="s">
        <v>5324</v>
      </c>
      <c r="F48" s="31" t="s">
        <v>5325</v>
      </c>
    </row>
    <row r="49">
      <c r="A49" s="31" t="s">
        <v>5326</v>
      </c>
      <c r="B49" s="31" t="s">
        <v>5327</v>
      </c>
      <c r="C49" s="31" t="s">
        <v>5328</v>
      </c>
      <c r="D49" s="31" t="s">
        <v>5329</v>
      </c>
      <c r="E49" s="31" t="s">
        <v>5330</v>
      </c>
      <c r="F49" s="31" t="s">
        <v>5331</v>
      </c>
    </row>
    <row r="50">
      <c r="A50" s="31" t="s">
        <v>5332</v>
      </c>
      <c r="B50" s="31" t="s">
        <v>5333</v>
      </c>
      <c r="C50" s="31" t="s">
        <v>5334</v>
      </c>
      <c r="D50" s="31" t="s">
        <v>5335</v>
      </c>
      <c r="E50" s="31" t="s">
        <v>5336</v>
      </c>
      <c r="F50" s="31" t="s">
        <v>5337</v>
      </c>
    </row>
    <row r="51">
      <c r="A51" s="31" t="s">
        <v>5338</v>
      </c>
      <c r="B51" s="31" t="s">
        <v>5339</v>
      </c>
      <c r="C51" s="31" t="s">
        <v>5340</v>
      </c>
      <c r="D51" s="31" t="s">
        <v>5341</v>
      </c>
      <c r="E51" s="31" t="s">
        <v>5342</v>
      </c>
      <c r="F51" s="31" t="s">
        <v>5343</v>
      </c>
    </row>
    <row r="52">
      <c r="A52" s="31" t="s">
        <v>5344</v>
      </c>
      <c r="B52" s="31" t="s">
        <v>5345</v>
      </c>
      <c r="C52" s="31" t="s">
        <v>5346</v>
      </c>
      <c r="D52" s="31" t="s">
        <v>5347</v>
      </c>
      <c r="E52" s="31" t="s">
        <v>5348</v>
      </c>
      <c r="F52" s="31" t="s">
        <v>5349</v>
      </c>
    </row>
    <row r="53">
      <c r="A53" s="31" t="s">
        <v>5350</v>
      </c>
      <c r="B53" s="31" t="s">
        <v>5351</v>
      </c>
      <c r="C53" s="31" t="s">
        <v>5352</v>
      </c>
      <c r="D53" s="31" t="s">
        <v>5353</v>
      </c>
      <c r="E53" s="31" t="s">
        <v>5354</v>
      </c>
      <c r="F53" s="31" t="s">
        <v>5355</v>
      </c>
    </row>
    <row r="54">
      <c r="A54" s="31" t="s">
        <v>5356</v>
      </c>
      <c r="B54" s="31" t="s">
        <v>5357</v>
      </c>
      <c r="C54" s="31" t="s">
        <v>5358</v>
      </c>
      <c r="D54" s="31" t="s">
        <v>5359</v>
      </c>
      <c r="E54" s="31" t="s">
        <v>5360</v>
      </c>
      <c r="F54" s="31" t="s">
        <v>5361</v>
      </c>
    </row>
    <row r="55">
      <c r="A55" s="31" t="s">
        <v>5362</v>
      </c>
      <c r="B55" s="31" t="s">
        <v>5363</v>
      </c>
      <c r="C55" s="31" t="s">
        <v>5364</v>
      </c>
      <c r="D55" s="31" t="s">
        <v>5365</v>
      </c>
      <c r="E55" s="31" t="s">
        <v>5366</v>
      </c>
      <c r="F55" s="31" t="s">
        <v>5367</v>
      </c>
    </row>
    <row r="56">
      <c r="A56" s="31" t="s">
        <v>5368</v>
      </c>
      <c r="B56" s="31" t="s">
        <v>5369</v>
      </c>
      <c r="C56" s="31" t="s">
        <v>5370</v>
      </c>
      <c r="D56" s="31" t="s">
        <v>5371</v>
      </c>
      <c r="E56" s="31" t="s">
        <v>5372</v>
      </c>
      <c r="F56" s="31" t="s">
        <v>5373</v>
      </c>
    </row>
    <row r="57">
      <c r="A57" s="31" t="s">
        <v>5374</v>
      </c>
      <c r="B57" s="31" t="s">
        <v>5375</v>
      </c>
      <c r="C57" s="31" t="s">
        <v>5376</v>
      </c>
      <c r="D57" s="31" t="s">
        <v>5377</v>
      </c>
      <c r="E57" s="31" t="s">
        <v>5378</v>
      </c>
      <c r="F57" s="31" t="s">
        <v>5379</v>
      </c>
    </row>
    <row r="58">
      <c r="A58" s="31" t="s">
        <v>5380</v>
      </c>
      <c r="B58" s="31" t="s">
        <v>5381</v>
      </c>
      <c r="C58" s="31" t="s">
        <v>5382</v>
      </c>
      <c r="D58" s="31" t="s">
        <v>5383</v>
      </c>
      <c r="E58" s="31" t="s">
        <v>5384</v>
      </c>
      <c r="F58" s="31" t="s">
        <v>5385</v>
      </c>
    </row>
    <row r="59">
      <c r="A59" s="31" t="s">
        <v>5386</v>
      </c>
      <c r="B59" s="31" t="s">
        <v>5387</v>
      </c>
      <c r="C59" s="31" t="s">
        <v>5388</v>
      </c>
      <c r="D59" s="31" t="s">
        <v>5389</v>
      </c>
      <c r="E59" s="31" t="s">
        <v>5390</v>
      </c>
      <c r="F59" s="31" t="s">
        <v>5391</v>
      </c>
    </row>
    <row r="60">
      <c r="A60" s="31" t="s">
        <v>5392</v>
      </c>
      <c r="B60" s="31" t="s">
        <v>5393</v>
      </c>
      <c r="C60" s="31" t="s">
        <v>5394</v>
      </c>
      <c r="D60" s="31" t="s">
        <v>5395</v>
      </c>
      <c r="E60" s="31" t="s">
        <v>5396</v>
      </c>
      <c r="F60" s="31" t="s">
        <v>5397</v>
      </c>
    </row>
    <row r="61">
      <c r="A61" s="31" t="s">
        <v>5398</v>
      </c>
      <c r="B61" s="31" t="s">
        <v>5399</v>
      </c>
      <c r="C61" s="31" t="s">
        <v>5400</v>
      </c>
      <c r="D61" s="31" t="s">
        <v>5401</v>
      </c>
      <c r="E61" s="31" t="s">
        <v>5402</v>
      </c>
      <c r="F61" s="31" t="s">
        <v>5403</v>
      </c>
    </row>
    <row r="62">
      <c r="A62" s="31" t="s">
        <v>5404</v>
      </c>
      <c r="B62" s="31" t="s">
        <v>5405</v>
      </c>
      <c r="C62" s="31" t="s">
        <v>5406</v>
      </c>
      <c r="D62" s="31" t="s">
        <v>5407</v>
      </c>
      <c r="E62" s="31" t="s">
        <v>5408</v>
      </c>
      <c r="F62" s="31" t="s">
        <v>5409</v>
      </c>
    </row>
    <row r="63">
      <c r="A63" s="31" t="s">
        <v>5410</v>
      </c>
      <c r="C63" s="31" t="s">
        <v>5411</v>
      </c>
      <c r="D63" s="31" t="s">
        <v>5412</v>
      </c>
      <c r="F63" s="31" t="s">
        <v>5413</v>
      </c>
    </row>
    <row r="64">
      <c r="A64" s="31" t="s">
        <v>5414</v>
      </c>
      <c r="C64" s="31" t="s">
        <v>5415</v>
      </c>
      <c r="D64" s="31" t="s">
        <v>5416</v>
      </c>
      <c r="F64" s="31" t="s">
        <v>5417</v>
      </c>
    </row>
    <row r="65">
      <c r="A65" s="113" t="s">
        <v>5418</v>
      </c>
      <c r="B65" s="113" t="s">
        <v>5419</v>
      </c>
      <c r="C65" s="113" t="s">
        <v>5420</v>
      </c>
      <c r="D65" s="113" t="s">
        <v>5421</v>
      </c>
      <c r="E65" s="113" t="s">
        <v>5422</v>
      </c>
      <c r="F65" s="113" t="s">
        <v>5423</v>
      </c>
    </row>
    <row r="69">
      <c r="A69" s="149" t="s">
        <v>4701</v>
      </c>
    </row>
    <row r="70">
      <c r="A70" s="379" t="s">
        <v>4319</v>
      </c>
      <c r="B70" s="379" t="s">
        <v>4702</v>
      </c>
      <c r="C70" s="256" t="s">
        <v>4703</v>
      </c>
      <c r="D70" s="379" t="s">
        <v>4320</v>
      </c>
      <c r="E70" s="379" t="s">
        <v>436</v>
      </c>
      <c r="F70" s="379" t="s">
        <v>4704</v>
      </c>
      <c r="G70" s="379" t="s">
        <v>135</v>
      </c>
      <c r="H70" s="379" t="s">
        <v>128</v>
      </c>
    </row>
    <row r="71">
      <c r="A71" s="4" t="s">
        <v>5424</v>
      </c>
      <c r="B71" s="4" t="s">
        <v>5425</v>
      </c>
      <c r="C71" s="4" t="s">
        <v>5426</v>
      </c>
      <c r="D71" s="4" t="s">
        <v>5427</v>
      </c>
      <c r="E71" s="4" t="s">
        <v>4367</v>
      </c>
      <c r="F71" s="4" t="s">
        <v>5428</v>
      </c>
      <c r="G71" s="4" t="s">
        <v>5429</v>
      </c>
      <c r="H71" s="4" t="s">
        <v>5430</v>
      </c>
    </row>
    <row r="72">
      <c r="A72" s="4" t="s">
        <v>5431</v>
      </c>
      <c r="B72" s="4" t="s">
        <v>5425</v>
      </c>
      <c r="C72" s="4" t="s">
        <v>5432</v>
      </c>
      <c r="D72" s="4" t="s">
        <v>5433</v>
      </c>
      <c r="E72" s="4" t="s">
        <v>5434</v>
      </c>
      <c r="F72" s="4" t="s">
        <v>5435</v>
      </c>
      <c r="G72" s="4" t="s">
        <v>5435</v>
      </c>
      <c r="H72" s="4" t="s">
        <v>5436</v>
      </c>
    </row>
    <row r="73">
      <c r="A73" s="4" t="s">
        <v>5437</v>
      </c>
      <c r="B73" s="4" t="s">
        <v>5438</v>
      </c>
      <c r="C73" s="4" t="s">
        <v>5439</v>
      </c>
      <c r="D73" s="4" t="s">
        <v>5440</v>
      </c>
      <c r="E73" s="4" t="s">
        <v>5434</v>
      </c>
      <c r="F73" s="4" t="s">
        <v>5441</v>
      </c>
      <c r="G73" s="4" t="s">
        <v>5442</v>
      </c>
      <c r="H73" s="4" t="s">
        <v>5443</v>
      </c>
    </row>
    <row r="74">
      <c r="A74" s="4" t="s">
        <v>5444</v>
      </c>
      <c r="B74" s="4" t="s">
        <v>5438</v>
      </c>
      <c r="C74" s="4" t="s">
        <v>5432</v>
      </c>
      <c r="D74" s="4" t="s">
        <v>5427</v>
      </c>
      <c r="E74" s="4" t="s">
        <v>4367</v>
      </c>
      <c r="F74" s="4" t="s">
        <v>5445</v>
      </c>
      <c r="G74" s="4" t="s">
        <v>5445</v>
      </c>
      <c r="H74" s="4" t="s">
        <v>5446</v>
      </c>
    </row>
    <row r="75">
      <c r="A75" s="4" t="s">
        <v>5447</v>
      </c>
      <c r="B75" s="4" t="s">
        <v>5438</v>
      </c>
      <c r="C75" s="4" t="s">
        <v>5426</v>
      </c>
      <c r="D75" s="4" t="s">
        <v>153</v>
      </c>
      <c r="E75" s="4" t="s">
        <v>4328</v>
      </c>
      <c r="F75" s="4" t="s">
        <v>5448</v>
      </c>
      <c r="G75" s="4" t="s">
        <v>5449</v>
      </c>
      <c r="H75" s="4" t="s">
        <v>5448</v>
      </c>
    </row>
    <row r="76">
      <c r="A76" s="4" t="s">
        <v>5450</v>
      </c>
      <c r="B76" s="4" t="s">
        <v>5451</v>
      </c>
      <c r="C76" s="4" t="s">
        <v>5452</v>
      </c>
      <c r="D76" s="4" t="s">
        <v>5433</v>
      </c>
      <c r="E76" s="4" t="s">
        <v>4367</v>
      </c>
      <c r="F76" s="4" t="s">
        <v>5453</v>
      </c>
      <c r="G76" s="4" t="s">
        <v>5453</v>
      </c>
      <c r="H76" s="4" t="s">
        <v>5454</v>
      </c>
    </row>
    <row r="77">
      <c r="A77" s="4" t="s">
        <v>5455</v>
      </c>
      <c r="B77" s="4" t="s">
        <v>5451</v>
      </c>
      <c r="C77" s="4" t="s">
        <v>5439</v>
      </c>
      <c r="D77" s="4" t="s">
        <v>5456</v>
      </c>
      <c r="E77" s="4" t="s">
        <v>5434</v>
      </c>
      <c r="F77" s="4" t="s">
        <v>5457</v>
      </c>
      <c r="G77" s="4" t="s">
        <v>5458</v>
      </c>
      <c r="H77" s="4" t="s">
        <v>5457</v>
      </c>
    </row>
    <row r="78">
      <c r="A78" s="4" t="s">
        <v>5459</v>
      </c>
      <c r="B78" s="4" t="s">
        <v>5460</v>
      </c>
      <c r="C78" s="4" t="s">
        <v>5461</v>
      </c>
      <c r="D78" s="4" t="s">
        <v>5433</v>
      </c>
      <c r="E78" s="4" t="s">
        <v>4367</v>
      </c>
      <c r="F78" s="4" t="s">
        <v>5436</v>
      </c>
      <c r="G78" s="4" t="s">
        <v>5453</v>
      </c>
      <c r="H78" s="4" t="s">
        <v>5436</v>
      </c>
    </row>
    <row r="79">
      <c r="A79" s="4" t="s">
        <v>5462</v>
      </c>
      <c r="B79" s="4" t="s">
        <v>5460</v>
      </c>
      <c r="C79" s="4" t="s">
        <v>5452</v>
      </c>
      <c r="D79" s="4" t="s">
        <v>153</v>
      </c>
      <c r="E79" s="4" t="s">
        <v>5434</v>
      </c>
      <c r="F79" s="4" t="s">
        <v>5463</v>
      </c>
      <c r="G79" s="4" t="s">
        <v>5464</v>
      </c>
      <c r="H79" s="4" t="s">
        <v>5454</v>
      </c>
    </row>
    <row r="80">
      <c r="A80" s="4" t="s">
        <v>5465</v>
      </c>
      <c r="B80" s="4" t="s">
        <v>5466</v>
      </c>
      <c r="C80" s="4" t="s">
        <v>5452</v>
      </c>
      <c r="D80" s="4" t="s">
        <v>5440</v>
      </c>
      <c r="E80" s="4" t="s">
        <v>4367</v>
      </c>
      <c r="F80" s="4" t="s">
        <v>5454</v>
      </c>
      <c r="G80" s="4" t="s">
        <v>5467</v>
      </c>
      <c r="H80" s="4" t="s">
        <v>5468</v>
      </c>
    </row>
    <row r="81">
      <c r="A81" s="4" t="s">
        <v>5469</v>
      </c>
      <c r="B81" s="4" t="s">
        <v>5466</v>
      </c>
      <c r="C81" s="4" t="s">
        <v>5461</v>
      </c>
      <c r="D81" s="4" t="s">
        <v>5433</v>
      </c>
      <c r="E81" s="4" t="s">
        <v>5434</v>
      </c>
      <c r="F81" s="4" t="s">
        <v>5436</v>
      </c>
      <c r="G81" s="4" t="s">
        <v>5453</v>
      </c>
      <c r="H81" s="4" t="s">
        <v>5436</v>
      </c>
    </row>
    <row r="82">
      <c r="A82" s="4" t="s">
        <v>5470</v>
      </c>
      <c r="B82" s="4" t="s">
        <v>5466</v>
      </c>
      <c r="C82" s="4" t="s">
        <v>5426</v>
      </c>
      <c r="D82" s="4" t="s">
        <v>5471</v>
      </c>
      <c r="E82" s="4" t="s">
        <v>4367</v>
      </c>
      <c r="F82" s="4" t="s">
        <v>5472</v>
      </c>
      <c r="G82" s="4" t="s">
        <v>5472</v>
      </c>
      <c r="H82" s="4" t="s">
        <v>5463</v>
      </c>
    </row>
    <row r="83">
      <c r="A83" s="4" t="s">
        <v>5473</v>
      </c>
      <c r="B83" s="4" t="s">
        <v>5474</v>
      </c>
      <c r="C83" s="4" t="s">
        <v>5475</v>
      </c>
      <c r="D83" s="4" t="s">
        <v>5427</v>
      </c>
      <c r="E83" s="4" t="s">
        <v>4352</v>
      </c>
      <c r="F83" s="4" t="s">
        <v>5476</v>
      </c>
      <c r="G83" s="4" t="s">
        <v>5476</v>
      </c>
      <c r="H83" s="4" t="s">
        <v>5477</v>
      </c>
    </row>
    <row r="84">
      <c r="A84" s="4" t="s">
        <v>5478</v>
      </c>
      <c r="B84" s="4" t="s">
        <v>5474</v>
      </c>
      <c r="C84" s="4" t="s">
        <v>5461</v>
      </c>
      <c r="D84" s="4" t="s">
        <v>153</v>
      </c>
      <c r="E84" s="4" t="s">
        <v>5434</v>
      </c>
      <c r="F84" s="4" t="s">
        <v>5479</v>
      </c>
      <c r="G84" s="4" t="s">
        <v>5480</v>
      </c>
      <c r="H84" s="4" t="s">
        <v>5479</v>
      </c>
    </row>
    <row r="85">
      <c r="A85" s="4" t="s">
        <v>5481</v>
      </c>
      <c r="B85" s="4" t="s">
        <v>5482</v>
      </c>
      <c r="C85" s="4" t="s">
        <v>5439</v>
      </c>
      <c r="D85" s="4" t="s">
        <v>5456</v>
      </c>
      <c r="E85" s="4" t="s">
        <v>5434</v>
      </c>
      <c r="F85" s="4" t="s">
        <v>5483</v>
      </c>
      <c r="G85" s="4" t="s">
        <v>5484</v>
      </c>
      <c r="H85" s="4" t="s">
        <v>5448</v>
      </c>
    </row>
    <row r="86">
      <c r="A86" s="4" t="s">
        <v>5485</v>
      </c>
      <c r="B86" s="4" t="s">
        <v>5482</v>
      </c>
      <c r="C86" s="4" t="s">
        <v>5452</v>
      </c>
      <c r="D86" s="4" t="s">
        <v>5471</v>
      </c>
      <c r="E86" s="4" t="s">
        <v>4352</v>
      </c>
      <c r="F86" s="4" t="s">
        <v>5486</v>
      </c>
      <c r="G86" s="4" t="s">
        <v>5487</v>
      </c>
      <c r="H86" s="4" t="s">
        <v>5486</v>
      </c>
    </row>
    <row r="87">
      <c r="A87" s="4" t="s">
        <v>5488</v>
      </c>
      <c r="B87" s="4" t="s">
        <v>5489</v>
      </c>
      <c r="C87" s="4" t="s">
        <v>5475</v>
      </c>
      <c r="D87" s="4" t="s">
        <v>153</v>
      </c>
      <c r="E87" s="4" t="s">
        <v>4367</v>
      </c>
      <c r="F87" s="4" t="s">
        <v>5490</v>
      </c>
      <c r="G87" s="4" t="s">
        <v>5490</v>
      </c>
      <c r="H87" s="4" t="s">
        <v>5448</v>
      </c>
    </row>
    <row r="88">
      <c r="A88" s="4" t="s">
        <v>5491</v>
      </c>
      <c r="B88" s="4" t="s">
        <v>5489</v>
      </c>
      <c r="C88" s="4" t="s">
        <v>5452</v>
      </c>
      <c r="D88" s="4" t="s">
        <v>5456</v>
      </c>
      <c r="E88" s="4" t="s">
        <v>5434</v>
      </c>
      <c r="F88" s="4" t="s">
        <v>5458</v>
      </c>
      <c r="G88" s="4" t="s">
        <v>5492</v>
      </c>
      <c r="H88" s="4" t="s">
        <v>5458</v>
      </c>
    </row>
    <row r="89">
      <c r="A89" s="4" t="s">
        <v>5493</v>
      </c>
      <c r="B89" s="4" t="s">
        <v>5494</v>
      </c>
      <c r="C89" s="4" t="s">
        <v>5475</v>
      </c>
      <c r="D89" s="4" t="s">
        <v>5427</v>
      </c>
      <c r="E89" s="4" t="s">
        <v>4352</v>
      </c>
      <c r="F89" s="4" t="s">
        <v>5495</v>
      </c>
      <c r="G89" s="4" t="s">
        <v>5495</v>
      </c>
      <c r="H89" s="4" t="s">
        <v>5495</v>
      </c>
    </row>
    <row r="90">
      <c r="A90" s="4" t="s">
        <v>5481</v>
      </c>
      <c r="B90" s="4" t="s">
        <v>5494</v>
      </c>
      <c r="C90" s="4" t="s">
        <v>5426</v>
      </c>
      <c r="D90" s="4" t="s">
        <v>5456</v>
      </c>
      <c r="E90" s="4" t="s">
        <v>5434</v>
      </c>
      <c r="F90" s="4" t="s">
        <v>5496</v>
      </c>
      <c r="G90" s="4" t="s">
        <v>5492</v>
      </c>
      <c r="H90" s="4" t="s">
        <v>5497</v>
      </c>
    </row>
    <row r="91">
      <c r="A91" s="4" t="s">
        <v>5485</v>
      </c>
      <c r="B91" s="4" t="s">
        <v>5494</v>
      </c>
      <c r="C91" s="4" t="s">
        <v>5432</v>
      </c>
      <c r="D91" s="4" t="s">
        <v>5440</v>
      </c>
      <c r="E91" s="4" t="s">
        <v>4367</v>
      </c>
      <c r="F91" s="4" t="s">
        <v>5498</v>
      </c>
      <c r="G91" s="4" t="s">
        <v>5499</v>
      </c>
      <c r="H91" s="4" t="s">
        <v>5498</v>
      </c>
    </row>
    <row r="92">
      <c r="A92" s="4" t="s">
        <v>5500</v>
      </c>
      <c r="B92" s="4" t="s">
        <v>5501</v>
      </c>
      <c r="C92" s="4" t="s">
        <v>5475</v>
      </c>
      <c r="D92" s="4" t="s">
        <v>5427</v>
      </c>
      <c r="E92" s="4" t="s">
        <v>5502</v>
      </c>
      <c r="F92" s="4" t="s">
        <v>5428</v>
      </c>
      <c r="G92" s="4" t="s">
        <v>5495</v>
      </c>
      <c r="H92" s="4" t="s">
        <v>5428</v>
      </c>
    </row>
    <row r="93">
      <c r="A93" s="4" t="s">
        <v>5503</v>
      </c>
      <c r="B93" s="4" t="s">
        <v>5501</v>
      </c>
      <c r="C93" s="4" t="s">
        <v>5461</v>
      </c>
      <c r="D93" s="4" t="s">
        <v>5440</v>
      </c>
      <c r="E93" s="4" t="s">
        <v>5504</v>
      </c>
      <c r="F93" s="4" t="s">
        <v>5505</v>
      </c>
      <c r="G93" s="4" t="s">
        <v>5506</v>
      </c>
      <c r="H93" s="4" t="s">
        <v>5507</v>
      </c>
    </row>
    <row r="94">
      <c r="A94" s="4" t="s">
        <v>5508</v>
      </c>
      <c r="B94" s="4" t="s">
        <v>5509</v>
      </c>
      <c r="C94" s="4" t="s">
        <v>5432</v>
      </c>
      <c r="D94" s="4" t="s">
        <v>5456</v>
      </c>
      <c r="E94" s="4" t="s">
        <v>5434</v>
      </c>
      <c r="F94" s="4" t="s">
        <v>5510</v>
      </c>
      <c r="G94" s="4" t="s">
        <v>5496</v>
      </c>
      <c r="H94" s="4" t="s">
        <v>5510</v>
      </c>
    </row>
    <row r="95">
      <c r="A95" s="4" t="s">
        <v>5511</v>
      </c>
      <c r="B95" s="4" t="s">
        <v>5509</v>
      </c>
      <c r="C95" s="4" t="s">
        <v>5475</v>
      </c>
      <c r="D95" s="4" t="s">
        <v>5440</v>
      </c>
      <c r="E95" s="4" t="s">
        <v>4367</v>
      </c>
      <c r="F95" s="4" t="s">
        <v>5505</v>
      </c>
      <c r="G95" s="4" t="s">
        <v>5512</v>
      </c>
      <c r="H95" s="4" t="s">
        <v>5498</v>
      </c>
    </row>
    <row r="96">
      <c r="A96" s="4" t="s">
        <v>5513</v>
      </c>
      <c r="B96" s="4" t="s">
        <v>5514</v>
      </c>
      <c r="C96" s="4" t="s">
        <v>5439</v>
      </c>
      <c r="D96" s="4" t="s">
        <v>5433</v>
      </c>
      <c r="E96" s="4" t="s">
        <v>5434</v>
      </c>
      <c r="F96" s="4" t="s">
        <v>5515</v>
      </c>
      <c r="G96" s="4" t="s">
        <v>5480</v>
      </c>
      <c r="H96" s="4" t="s">
        <v>5457</v>
      </c>
    </row>
    <row r="97">
      <c r="A97" s="4" t="s">
        <v>5516</v>
      </c>
      <c r="B97" s="4" t="s">
        <v>5514</v>
      </c>
      <c r="C97" s="4" t="s">
        <v>5432</v>
      </c>
      <c r="D97" s="4" t="s">
        <v>5471</v>
      </c>
      <c r="E97" s="4" t="s">
        <v>4328</v>
      </c>
      <c r="F97" s="4" t="s">
        <v>5517</v>
      </c>
      <c r="G97" s="4" t="s">
        <v>5518</v>
      </c>
      <c r="H97" s="4" t="s">
        <v>5517</v>
      </c>
    </row>
    <row r="98">
      <c r="A98" s="4" t="s">
        <v>5519</v>
      </c>
      <c r="B98" s="4" t="s">
        <v>5520</v>
      </c>
      <c r="C98" s="4" t="s">
        <v>5439</v>
      </c>
      <c r="D98" s="4" t="s">
        <v>5427</v>
      </c>
      <c r="E98" s="4" t="s">
        <v>4352</v>
      </c>
      <c r="F98" s="4" t="s">
        <v>5521</v>
      </c>
      <c r="G98" s="4" t="s">
        <v>5442</v>
      </c>
      <c r="H98" s="4" t="s">
        <v>5521</v>
      </c>
    </row>
    <row r="99">
      <c r="A99" s="4" t="s">
        <v>5522</v>
      </c>
      <c r="B99" s="4" t="s">
        <v>5520</v>
      </c>
      <c r="C99" s="4" t="s">
        <v>5426</v>
      </c>
      <c r="D99" s="4" t="s">
        <v>153</v>
      </c>
      <c r="E99" s="4" t="s">
        <v>5434</v>
      </c>
      <c r="F99" s="4" t="s">
        <v>5463</v>
      </c>
      <c r="G99" s="4" t="s">
        <v>5463</v>
      </c>
      <c r="H99" s="4" t="s">
        <v>5523</v>
      </c>
    </row>
    <row r="100">
      <c r="A100" s="4" t="s">
        <v>5431</v>
      </c>
      <c r="B100" s="4" t="s">
        <v>5520</v>
      </c>
      <c r="C100" s="4" t="s">
        <v>5461</v>
      </c>
      <c r="D100" s="4" t="s">
        <v>5471</v>
      </c>
      <c r="E100" s="4" t="s">
        <v>4367</v>
      </c>
      <c r="F100" s="4" t="s">
        <v>5517</v>
      </c>
      <c r="G100" s="4" t="s">
        <v>5472</v>
      </c>
      <c r="H100" s="4" t="s">
        <v>5517</v>
      </c>
    </row>
    <row r="101">
      <c r="A101" s="4" t="s">
        <v>5524</v>
      </c>
      <c r="B101" s="4" t="s">
        <v>5525</v>
      </c>
      <c r="C101" s="4" t="s">
        <v>5475</v>
      </c>
      <c r="D101" s="4" t="s">
        <v>5427</v>
      </c>
      <c r="E101" s="4" t="s">
        <v>5526</v>
      </c>
      <c r="F101" s="4" t="s">
        <v>5428</v>
      </c>
      <c r="G101" s="4" t="s">
        <v>5428</v>
      </c>
      <c r="H101" s="4" t="s">
        <v>5468</v>
      </c>
    </row>
    <row r="102">
      <c r="A102" s="4" t="s">
        <v>5527</v>
      </c>
      <c r="B102" s="4" t="s">
        <v>5525</v>
      </c>
      <c r="C102" s="4" t="s">
        <v>5439</v>
      </c>
      <c r="D102" s="4" t="s">
        <v>5433</v>
      </c>
      <c r="E102" s="4" t="s">
        <v>5434</v>
      </c>
      <c r="F102" s="4" t="s">
        <v>5453</v>
      </c>
      <c r="G102" s="4" t="s">
        <v>5453</v>
      </c>
      <c r="H102" s="4" t="s">
        <v>5528</v>
      </c>
    </row>
    <row r="103">
      <c r="A103" s="4" t="s">
        <v>5529</v>
      </c>
      <c r="B103" s="4" t="s">
        <v>5530</v>
      </c>
      <c r="C103" s="4" t="s">
        <v>5426</v>
      </c>
      <c r="D103" s="4" t="s">
        <v>153</v>
      </c>
      <c r="E103" s="4" t="s">
        <v>4367</v>
      </c>
      <c r="F103" s="4" t="s">
        <v>5531</v>
      </c>
      <c r="G103" s="4" t="s">
        <v>5490</v>
      </c>
      <c r="H103" s="4" t="s">
        <v>5531</v>
      </c>
    </row>
    <row r="104">
      <c r="A104" s="4" t="s">
        <v>5532</v>
      </c>
      <c r="B104" s="4" t="s">
        <v>5533</v>
      </c>
      <c r="C104" s="4" t="s">
        <v>5475</v>
      </c>
      <c r="D104" s="4" t="s">
        <v>153</v>
      </c>
      <c r="E104" s="4" t="s">
        <v>5534</v>
      </c>
      <c r="F104" s="4" t="s">
        <v>5531</v>
      </c>
      <c r="G104" s="4" t="s">
        <v>5535</v>
      </c>
      <c r="H104" s="4" t="s">
        <v>5531</v>
      </c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127" t="s">
        <v>5536</v>
      </c>
      <c r="F106" s="8"/>
      <c r="G106" s="8"/>
      <c r="H106" s="8"/>
    </row>
    <row r="107">
      <c r="A107" s="251" t="s">
        <v>111</v>
      </c>
      <c r="B107" s="251" t="s">
        <v>112</v>
      </c>
      <c r="C107" s="251" t="s">
        <v>113</v>
      </c>
      <c r="D107" s="251" t="s">
        <v>114</v>
      </c>
      <c r="E107" s="251" t="s">
        <v>4406</v>
      </c>
      <c r="F107" s="8"/>
      <c r="G107" s="8"/>
      <c r="H107" s="8"/>
    </row>
    <row r="108">
      <c r="A108" s="4" t="s">
        <v>117</v>
      </c>
      <c r="B108" s="4" t="s">
        <v>152</v>
      </c>
      <c r="C108" s="4" t="s">
        <v>153</v>
      </c>
      <c r="D108" s="4" t="s">
        <v>11</v>
      </c>
      <c r="E108" s="4">
        <v>5000.0</v>
      </c>
      <c r="F108" s="8"/>
      <c r="G108" s="8"/>
      <c r="H108" s="8"/>
    </row>
    <row r="109">
      <c r="A109" s="4" t="s">
        <v>124</v>
      </c>
      <c r="B109" s="4" t="s">
        <v>156</v>
      </c>
      <c r="C109" s="4" t="s">
        <v>153</v>
      </c>
      <c r="D109" s="4" t="s">
        <v>11</v>
      </c>
      <c r="E109" s="4">
        <v>5000.0</v>
      </c>
      <c r="F109" s="8"/>
      <c r="G109" s="8"/>
      <c r="H109" s="8"/>
    </row>
    <row r="110">
      <c r="A110" s="4" t="s">
        <v>159</v>
      </c>
      <c r="B110" s="4" t="s">
        <v>160</v>
      </c>
      <c r="C110" s="4" t="s">
        <v>153</v>
      </c>
      <c r="D110" s="4" t="s">
        <v>123</v>
      </c>
      <c r="E110" s="4">
        <v>10000.0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4" t="s">
        <v>135</v>
      </c>
      <c r="B111" s="4" t="s">
        <v>162</v>
      </c>
      <c r="C111" s="4" t="s">
        <v>163</v>
      </c>
      <c r="D111" s="4" t="s">
        <v>17</v>
      </c>
      <c r="E111" s="4">
        <v>10000.0</v>
      </c>
      <c r="F111" s="8"/>
      <c r="G111" s="8"/>
      <c r="H111" s="8"/>
    </row>
    <row r="112">
      <c r="A112" s="4" t="s">
        <v>140</v>
      </c>
      <c r="B112" s="4" t="s">
        <v>160</v>
      </c>
      <c r="C112" s="4" t="s">
        <v>153</v>
      </c>
      <c r="D112" s="4" t="s">
        <v>123</v>
      </c>
      <c r="E112" s="4">
        <v>20000.0</v>
      </c>
      <c r="F112" s="8"/>
      <c r="G112" s="8"/>
      <c r="H112" s="8"/>
    </row>
    <row r="113">
      <c r="A113" s="4" t="s">
        <v>167</v>
      </c>
      <c r="B113" s="4" t="s">
        <v>163</v>
      </c>
      <c r="E113" s="4">
        <v>25000.0</v>
      </c>
      <c r="F113" s="8"/>
      <c r="G113" s="8"/>
      <c r="H113" s="8"/>
    </row>
    <row r="114">
      <c r="A114" s="4" t="s">
        <v>170</v>
      </c>
      <c r="B114" s="4" t="s">
        <v>171</v>
      </c>
      <c r="E114" s="4">
        <v>50000.0</v>
      </c>
      <c r="F114" s="8"/>
      <c r="G114" s="8"/>
      <c r="H114" s="8"/>
    </row>
    <row r="115">
      <c r="A115" s="4" t="s">
        <v>148</v>
      </c>
      <c r="B115" s="4" t="s">
        <v>153</v>
      </c>
      <c r="E115" s="4">
        <v>100000.0</v>
      </c>
      <c r="F115" s="8"/>
      <c r="G115" s="8"/>
      <c r="H115" s="8"/>
    </row>
    <row r="116">
      <c r="A116" s="8"/>
      <c r="B116" s="8"/>
      <c r="C116" s="8"/>
      <c r="D116" s="8"/>
      <c r="E116" s="8"/>
      <c r="F116" s="8"/>
      <c r="G116" s="8"/>
      <c r="H116" s="8"/>
    </row>
    <row r="117">
      <c r="A117" s="8"/>
      <c r="B117" s="8"/>
      <c r="C117" s="8"/>
      <c r="D117" s="8"/>
      <c r="E117" s="8"/>
      <c r="F117" s="8"/>
      <c r="G117" s="8"/>
      <c r="H117" s="8"/>
    </row>
    <row r="118">
      <c r="A118" s="8"/>
      <c r="B118" s="8"/>
      <c r="C118" s="8"/>
      <c r="D118" s="8"/>
      <c r="E118" s="8"/>
      <c r="F118" s="8"/>
      <c r="G118" s="8"/>
      <c r="H118" s="8"/>
    </row>
    <row r="119">
      <c r="A119" s="8"/>
      <c r="B119" s="8"/>
      <c r="C119" s="8"/>
      <c r="D119" s="8"/>
      <c r="E119" s="8"/>
      <c r="F119" s="8"/>
      <c r="G119" s="8"/>
      <c r="H119" s="8"/>
    </row>
    <row r="120">
      <c r="A120" s="8"/>
      <c r="B120" s="8"/>
      <c r="C120" s="8"/>
      <c r="D120" s="8"/>
      <c r="E120" s="8"/>
      <c r="F120" s="8"/>
      <c r="G120" s="8"/>
      <c r="H120" s="8"/>
    </row>
    <row r="121">
      <c r="A121" s="8"/>
      <c r="B121" s="8"/>
      <c r="C121" s="8"/>
      <c r="D121" s="8"/>
      <c r="E121" s="8"/>
      <c r="F121" s="8"/>
      <c r="G121" s="8"/>
      <c r="H121" s="8"/>
    </row>
    <row r="122">
      <c r="A122" s="8"/>
      <c r="B122" s="8"/>
      <c r="C122" s="8"/>
      <c r="D122" s="8"/>
      <c r="E122" s="8"/>
      <c r="F122" s="8"/>
      <c r="G122" s="8"/>
      <c r="H122" s="8"/>
    </row>
    <row r="123">
      <c r="A123" s="8"/>
      <c r="B123" s="8"/>
      <c r="C123" s="8"/>
      <c r="D123" s="8"/>
      <c r="E123" s="8"/>
      <c r="F123" s="8"/>
      <c r="G123" s="8"/>
      <c r="H123" s="8"/>
    </row>
    <row r="124">
      <c r="A124" s="8"/>
      <c r="B124" s="8"/>
      <c r="C124" s="8"/>
      <c r="D124" s="8"/>
      <c r="E124" s="8"/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  <row r="141">
      <c r="A141" s="8"/>
      <c r="B141" s="8"/>
      <c r="C141" s="8"/>
      <c r="D141" s="8"/>
      <c r="E141" s="8"/>
      <c r="F141" s="8"/>
      <c r="G141" s="8"/>
      <c r="H141" s="8"/>
    </row>
    <row r="142">
      <c r="A142" s="8"/>
      <c r="B142" s="8"/>
      <c r="C142" s="8"/>
      <c r="D142" s="8"/>
      <c r="E142" s="8"/>
      <c r="F142" s="8"/>
      <c r="G142" s="8"/>
      <c r="H142" s="8"/>
    </row>
    <row r="143">
      <c r="A143" s="8"/>
      <c r="B143" s="8"/>
      <c r="C143" s="8"/>
      <c r="D143" s="8"/>
      <c r="E143" s="8"/>
      <c r="F143" s="8"/>
      <c r="G143" s="8"/>
      <c r="H143" s="8"/>
    </row>
    <row r="144">
      <c r="A144" s="8"/>
      <c r="B144" s="8"/>
      <c r="C144" s="8"/>
      <c r="D144" s="8"/>
      <c r="E144" s="8"/>
      <c r="F144" s="8"/>
      <c r="G144" s="8"/>
      <c r="H144" s="8"/>
    </row>
    <row r="145">
      <c r="A145" s="8"/>
      <c r="B145" s="8"/>
      <c r="C145" s="8"/>
      <c r="D145" s="8"/>
      <c r="E145" s="8"/>
      <c r="F145" s="8"/>
      <c r="G145" s="8"/>
      <c r="H145" s="8"/>
    </row>
    <row r="146">
      <c r="A146" s="8"/>
      <c r="B146" s="8"/>
      <c r="C146" s="8"/>
      <c r="D146" s="8"/>
      <c r="E146" s="8"/>
      <c r="F146" s="8"/>
      <c r="G146" s="8"/>
      <c r="H146" s="8"/>
    </row>
    <row r="147">
      <c r="A147" s="8"/>
      <c r="B147" s="8"/>
      <c r="C147" s="8"/>
      <c r="D147" s="8"/>
      <c r="E147" s="8"/>
      <c r="F147" s="8"/>
      <c r="G147" s="8"/>
      <c r="H147" s="8"/>
    </row>
    <row r="148">
      <c r="A148" s="8"/>
      <c r="B148" s="8"/>
      <c r="C148" s="8"/>
      <c r="D148" s="8"/>
      <c r="E148" s="8"/>
      <c r="F148" s="8"/>
      <c r="G148" s="8"/>
      <c r="H148" s="8"/>
    </row>
    <row r="149">
      <c r="A149" s="8"/>
      <c r="B149" s="8"/>
      <c r="C149" s="8"/>
      <c r="D149" s="8"/>
      <c r="E149" s="8"/>
      <c r="F149" s="8"/>
      <c r="G149" s="8"/>
      <c r="H149" s="8"/>
    </row>
    <row r="150">
      <c r="A150" s="8"/>
      <c r="B150" s="8"/>
      <c r="C150" s="8"/>
      <c r="D150" s="8"/>
      <c r="E150" s="8"/>
      <c r="F150" s="8"/>
      <c r="G150" s="8"/>
      <c r="H150" s="8"/>
    </row>
    <row r="151">
      <c r="A151" s="8"/>
      <c r="B151" s="8"/>
      <c r="C151" s="8"/>
      <c r="D151" s="8"/>
      <c r="E151" s="8"/>
      <c r="F151" s="8"/>
      <c r="G151" s="8"/>
      <c r="H151" s="8"/>
    </row>
    <row r="152">
      <c r="A152" s="8"/>
      <c r="B152" s="8"/>
      <c r="C152" s="8"/>
      <c r="D152" s="8"/>
      <c r="E152" s="8"/>
      <c r="F152" s="8"/>
      <c r="G152" s="8"/>
      <c r="H152" s="8"/>
    </row>
    <row r="153">
      <c r="A153" s="8"/>
      <c r="B153" s="8"/>
      <c r="C153" s="8"/>
      <c r="D153" s="8"/>
      <c r="E153" s="8"/>
      <c r="F153" s="8"/>
      <c r="G153" s="8"/>
      <c r="H153" s="8"/>
    </row>
    <row r="154">
      <c r="A154" s="8"/>
      <c r="B154" s="8"/>
      <c r="C154" s="8"/>
      <c r="D154" s="8"/>
      <c r="E154" s="8"/>
      <c r="F154" s="8"/>
      <c r="G154" s="8"/>
      <c r="H154" s="8"/>
    </row>
    <row r="155">
      <c r="A155" s="8"/>
      <c r="B155" s="8"/>
      <c r="C155" s="8"/>
      <c r="D155" s="8"/>
      <c r="E155" s="8"/>
      <c r="F155" s="8"/>
      <c r="G155" s="8"/>
      <c r="H155" s="8"/>
    </row>
    <row r="156">
      <c r="A156" s="8"/>
      <c r="B156" s="8"/>
      <c r="C156" s="8"/>
      <c r="D156" s="8"/>
      <c r="E156" s="8"/>
      <c r="F156" s="8"/>
      <c r="G156" s="8"/>
      <c r="H156" s="8"/>
    </row>
    <row r="157">
      <c r="A157" s="8"/>
      <c r="B157" s="8"/>
      <c r="C157" s="8"/>
      <c r="D157" s="8"/>
      <c r="E157" s="8"/>
      <c r="F157" s="8"/>
      <c r="G157" s="8"/>
      <c r="H157" s="8"/>
    </row>
    <row r="158">
      <c r="A158" s="8"/>
      <c r="B158" s="8"/>
      <c r="C158" s="8"/>
      <c r="D158" s="8"/>
      <c r="E158" s="8"/>
      <c r="F158" s="8"/>
      <c r="G158" s="8"/>
      <c r="H158" s="8"/>
    </row>
    <row r="159">
      <c r="A159" s="8"/>
      <c r="B159" s="8"/>
      <c r="C159" s="8"/>
      <c r="D159" s="8"/>
      <c r="E159" s="8"/>
      <c r="F159" s="8"/>
      <c r="G159" s="8"/>
      <c r="H159" s="8"/>
    </row>
    <row r="160">
      <c r="A160" s="8"/>
      <c r="B160" s="8"/>
      <c r="C160" s="8"/>
      <c r="D160" s="8"/>
      <c r="E160" s="8"/>
      <c r="F160" s="8"/>
      <c r="G160" s="8"/>
      <c r="H160" s="8"/>
    </row>
    <row r="161">
      <c r="A161" s="8"/>
      <c r="B161" s="8"/>
      <c r="C161" s="8"/>
      <c r="D161" s="8"/>
      <c r="E161" s="8"/>
      <c r="F161" s="8"/>
      <c r="G161" s="8"/>
      <c r="H161" s="8"/>
    </row>
    <row r="162">
      <c r="A162" s="8"/>
      <c r="B162" s="8"/>
      <c r="C162" s="8"/>
      <c r="D162" s="8"/>
      <c r="E162" s="8"/>
      <c r="F162" s="8"/>
      <c r="G162" s="8"/>
      <c r="H162" s="8"/>
    </row>
    <row r="163">
      <c r="A163" s="8"/>
      <c r="B163" s="8"/>
      <c r="C163" s="8"/>
      <c r="D163" s="8"/>
      <c r="E163" s="8"/>
      <c r="F163" s="8"/>
      <c r="G163" s="8"/>
      <c r="H163" s="8"/>
    </row>
    <row r="164">
      <c r="A164" s="8"/>
      <c r="B164" s="8"/>
      <c r="C164" s="8"/>
      <c r="D164" s="8"/>
      <c r="E164" s="8"/>
      <c r="F164" s="8"/>
      <c r="G164" s="8"/>
      <c r="H164" s="8"/>
    </row>
    <row r="165">
      <c r="A165" s="8"/>
      <c r="B165" s="8"/>
      <c r="C165" s="8"/>
      <c r="D165" s="8"/>
      <c r="E165" s="8"/>
      <c r="F165" s="8"/>
      <c r="G165" s="8"/>
      <c r="H165" s="8"/>
    </row>
    <row r="166">
      <c r="A166" s="8"/>
      <c r="B166" s="8"/>
      <c r="C166" s="8"/>
      <c r="D166" s="8"/>
      <c r="E166" s="8"/>
      <c r="F166" s="8"/>
      <c r="G166" s="8"/>
      <c r="H166" s="8"/>
    </row>
    <row r="167">
      <c r="A167" s="8"/>
      <c r="B167" s="8"/>
      <c r="C167" s="8"/>
      <c r="D167" s="8"/>
      <c r="E167" s="8"/>
      <c r="F167" s="8"/>
      <c r="G167" s="8"/>
      <c r="H167" s="8"/>
    </row>
    <row r="168">
      <c r="A168" s="8"/>
      <c r="B168" s="8"/>
      <c r="C168" s="8"/>
      <c r="D168" s="8"/>
      <c r="E168" s="8"/>
      <c r="F168" s="8"/>
      <c r="G168" s="8"/>
      <c r="H168" s="8"/>
    </row>
    <row r="169">
      <c r="A169" s="8"/>
      <c r="B169" s="8"/>
      <c r="C169" s="8"/>
      <c r="D169" s="8"/>
      <c r="E169" s="8"/>
      <c r="F169" s="8"/>
      <c r="G169" s="8"/>
      <c r="H169" s="8"/>
    </row>
  </sheetData>
  <mergeCells count="7">
    <mergeCell ref="A1:G1"/>
    <mergeCell ref="A43:F43"/>
    <mergeCell ref="A69:H69"/>
    <mergeCell ref="A106:E106"/>
    <mergeCell ref="B113:D113"/>
    <mergeCell ref="B114:D114"/>
    <mergeCell ref="B115:D115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27.88"/>
    <col customWidth="1" min="3" max="3" width="27.25"/>
    <col customWidth="1" min="4" max="4" width="29.63"/>
    <col customWidth="1" min="5" max="5" width="27.25"/>
    <col customWidth="1" min="6" max="6" width="34.63"/>
    <col customWidth="1" min="7" max="7" width="27.38"/>
    <col customWidth="1" min="8" max="8" width="36.0"/>
    <col customWidth="1" min="9" max="9" width="18.88"/>
    <col customWidth="1" min="10" max="10" width="22.25"/>
    <col customWidth="1" min="11" max="11" width="23.63"/>
  </cols>
  <sheetData>
    <row r="1">
      <c r="A1" s="22" t="s">
        <v>5537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3" t="s">
        <v>8</v>
      </c>
      <c r="B2" s="33" t="s">
        <v>10</v>
      </c>
      <c r="C2" s="33" t="s">
        <v>123</v>
      </c>
      <c r="D2" s="33" t="s">
        <v>15</v>
      </c>
      <c r="E2" s="33" t="s">
        <v>5</v>
      </c>
      <c r="F2" s="33" t="s">
        <v>6</v>
      </c>
      <c r="G2" s="33" t="s">
        <v>7</v>
      </c>
      <c r="H2" s="33" t="s">
        <v>11</v>
      </c>
      <c r="I2" s="33" t="s">
        <v>13</v>
      </c>
      <c r="J2" s="33" t="s">
        <v>17</v>
      </c>
      <c r="K2" s="33" t="s">
        <v>5538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1" t="s">
        <v>2042</v>
      </c>
      <c r="B3" s="75" t="s">
        <v>2489</v>
      </c>
      <c r="C3" s="75" t="s">
        <v>5539</v>
      </c>
      <c r="D3" s="75" t="s">
        <v>3684</v>
      </c>
      <c r="E3" s="75" t="s">
        <v>464</v>
      </c>
      <c r="F3" s="75" t="s">
        <v>1581</v>
      </c>
      <c r="G3" s="75" t="s">
        <v>5540</v>
      </c>
      <c r="H3" s="75" t="s">
        <v>2636</v>
      </c>
      <c r="I3" s="75" t="s">
        <v>3326</v>
      </c>
      <c r="J3" s="75" t="s">
        <v>5541</v>
      </c>
      <c r="K3" s="75" t="s">
        <v>5542</v>
      </c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>
      <c r="A4" s="31" t="s">
        <v>2061</v>
      </c>
      <c r="B4" s="75" t="s">
        <v>2493</v>
      </c>
      <c r="C4" s="75" t="s">
        <v>3115</v>
      </c>
      <c r="D4" s="75" t="s">
        <v>4960</v>
      </c>
      <c r="E4" s="75" t="s">
        <v>1239</v>
      </c>
      <c r="F4" s="75" t="s">
        <v>1607</v>
      </c>
      <c r="G4" s="75" t="s">
        <v>1757</v>
      </c>
      <c r="H4" s="75" t="s">
        <v>5543</v>
      </c>
      <c r="I4" s="75" t="s">
        <v>3360</v>
      </c>
      <c r="J4" s="75" t="s">
        <v>3984</v>
      </c>
      <c r="K4" s="75" t="s">
        <v>5544</v>
      </c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>
      <c r="A5" s="75" t="s">
        <v>1985</v>
      </c>
      <c r="B5" s="75" t="s">
        <v>2596</v>
      </c>
      <c r="C5" s="75" t="s">
        <v>5545</v>
      </c>
      <c r="D5" s="75" t="s">
        <v>5546</v>
      </c>
      <c r="E5" s="75" t="s">
        <v>1106</v>
      </c>
      <c r="F5" s="75" t="s">
        <v>5547</v>
      </c>
      <c r="G5" s="75" t="s">
        <v>1761</v>
      </c>
      <c r="H5" s="75" t="s">
        <v>5548</v>
      </c>
      <c r="I5" s="75" t="s">
        <v>5549</v>
      </c>
      <c r="J5" s="75" t="s">
        <v>5550</v>
      </c>
      <c r="K5" s="75" t="s">
        <v>5551</v>
      </c>
      <c r="L5" s="105"/>
      <c r="M5" s="105">
        <f>8+15+12+15+17+14+7+15+12+13+10</f>
        <v>138</v>
      </c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>
      <c r="A6" s="75" t="s">
        <v>5552</v>
      </c>
      <c r="B6" s="75" t="s">
        <v>2416</v>
      </c>
      <c r="C6" s="31" t="s">
        <v>5553</v>
      </c>
      <c r="D6" s="75" t="s">
        <v>5554</v>
      </c>
      <c r="E6" s="75" t="s">
        <v>1110</v>
      </c>
      <c r="F6" s="75" t="s">
        <v>5555</v>
      </c>
      <c r="G6" s="75" t="s">
        <v>5556</v>
      </c>
      <c r="H6" s="31" t="s">
        <v>2699</v>
      </c>
      <c r="I6" s="75" t="s">
        <v>5557</v>
      </c>
      <c r="J6" s="75" t="s">
        <v>5558</v>
      </c>
      <c r="K6" s="75" t="s">
        <v>5559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>
      <c r="A7" s="75" t="s">
        <v>5560</v>
      </c>
      <c r="B7" s="75" t="s">
        <v>5561</v>
      </c>
      <c r="C7" s="75" t="s">
        <v>5562</v>
      </c>
      <c r="D7" s="75" t="s">
        <v>5563</v>
      </c>
      <c r="E7" s="75" t="s">
        <v>5564</v>
      </c>
      <c r="F7" s="75" t="s">
        <v>5565</v>
      </c>
      <c r="G7" s="75" t="s">
        <v>1844</v>
      </c>
      <c r="H7" s="31" t="s">
        <v>5566</v>
      </c>
      <c r="I7" s="75" t="s">
        <v>5567</v>
      </c>
      <c r="J7" s="75" t="s">
        <v>4212</v>
      </c>
      <c r="K7" s="75" t="s">
        <v>5568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>
      <c r="A8" s="75" t="s">
        <v>5569</v>
      </c>
      <c r="B8" s="75" t="s">
        <v>5017</v>
      </c>
      <c r="C8" s="75" t="s">
        <v>2973</v>
      </c>
      <c r="D8" s="75" t="s">
        <v>5570</v>
      </c>
      <c r="E8" s="75" t="s">
        <v>5571</v>
      </c>
      <c r="F8" s="75" t="s">
        <v>5572</v>
      </c>
      <c r="G8" s="75" t="s">
        <v>5573</v>
      </c>
      <c r="H8" s="31" t="s">
        <v>5574</v>
      </c>
      <c r="I8" s="75" t="s">
        <v>2929</v>
      </c>
      <c r="J8" s="75" t="s">
        <v>4474</v>
      </c>
      <c r="K8" s="75" t="s">
        <v>5575</v>
      </c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>
      <c r="A9" s="75" t="s">
        <v>5576</v>
      </c>
      <c r="B9" s="75" t="s">
        <v>5021</v>
      </c>
      <c r="C9" s="75" t="s">
        <v>5577</v>
      </c>
      <c r="D9" s="75" t="s">
        <v>5578</v>
      </c>
      <c r="E9" s="75" t="s">
        <v>5579</v>
      </c>
      <c r="F9" s="75" t="s">
        <v>5580</v>
      </c>
      <c r="G9" s="75" t="s">
        <v>5581</v>
      </c>
      <c r="H9" s="31" t="s">
        <v>5582</v>
      </c>
      <c r="I9" s="75" t="s">
        <v>3262</v>
      </c>
      <c r="J9" s="75" t="s">
        <v>4484</v>
      </c>
      <c r="K9" s="75" t="s">
        <v>5583</v>
      </c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>
      <c r="A10" s="75" t="s">
        <v>5584</v>
      </c>
      <c r="B10" s="75" t="s">
        <v>5585</v>
      </c>
      <c r="C10" s="75" t="s">
        <v>5586</v>
      </c>
      <c r="D10" s="75" t="s">
        <v>5587</v>
      </c>
      <c r="E10" s="75" t="s">
        <v>5588</v>
      </c>
      <c r="F10" s="75" t="s">
        <v>5589</v>
      </c>
      <c r="G10" s="105"/>
      <c r="H10" s="31" t="s">
        <v>5590</v>
      </c>
      <c r="I10" s="75" t="s">
        <v>5591</v>
      </c>
      <c r="J10" s="75" t="s">
        <v>5592</v>
      </c>
      <c r="K10" s="75" t="s">
        <v>5593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>
      <c r="A11" s="105"/>
      <c r="B11" s="75" t="s">
        <v>5594</v>
      </c>
      <c r="C11" s="75" t="s">
        <v>5595</v>
      </c>
      <c r="D11" s="75" t="s">
        <v>5596</v>
      </c>
      <c r="E11" s="75" t="s">
        <v>5597</v>
      </c>
      <c r="F11" s="75" t="s">
        <v>5598</v>
      </c>
      <c r="G11" s="105"/>
      <c r="H11" s="75" t="s">
        <v>2729</v>
      </c>
      <c r="I11" s="75" t="s">
        <v>5599</v>
      </c>
      <c r="J11" s="75" t="s">
        <v>5600</v>
      </c>
      <c r="K11" s="75" t="s">
        <v>5601</v>
      </c>
      <c r="L11" s="7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>
      <c r="B12" s="31" t="s">
        <v>5602</v>
      </c>
      <c r="C12" s="31" t="s">
        <v>5603</v>
      </c>
      <c r="D12" s="31" t="s">
        <v>4995</v>
      </c>
      <c r="E12" s="31" t="s">
        <v>5604</v>
      </c>
      <c r="F12" s="31" t="s">
        <v>5605</v>
      </c>
      <c r="H12" s="75" t="s">
        <v>5606</v>
      </c>
      <c r="I12" s="75" t="s">
        <v>5607</v>
      </c>
      <c r="J12" s="75" t="s">
        <v>5608</v>
      </c>
      <c r="K12" s="75" t="s">
        <v>5609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B13" s="31" t="s">
        <v>5610</v>
      </c>
      <c r="C13" s="31" t="s">
        <v>5611</v>
      </c>
      <c r="D13" s="31" t="s">
        <v>5237</v>
      </c>
      <c r="E13" s="31" t="s">
        <v>5612</v>
      </c>
      <c r="F13" s="31" t="s">
        <v>4007</v>
      </c>
      <c r="H13" s="75" t="s">
        <v>5613</v>
      </c>
      <c r="I13" s="75" t="s">
        <v>5614</v>
      </c>
      <c r="J13" s="75" t="s">
        <v>5615</v>
      </c>
      <c r="K13" s="10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B14" s="31" t="s">
        <v>5616</v>
      </c>
      <c r="C14" s="31" t="s">
        <v>5617</v>
      </c>
      <c r="D14" s="31" t="s">
        <v>5239</v>
      </c>
      <c r="E14" s="31" t="s">
        <v>5618</v>
      </c>
      <c r="F14" s="31" t="s">
        <v>5619</v>
      </c>
      <c r="H14" s="75" t="s">
        <v>5620</v>
      </c>
      <c r="I14" s="75" t="s">
        <v>5621</v>
      </c>
      <c r="J14" s="75" t="s">
        <v>5622</v>
      </c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>
      <c r="B15" s="31" t="s">
        <v>5623</v>
      </c>
      <c r="D15" s="31" t="s">
        <v>5624</v>
      </c>
      <c r="E15" s="31" t="s">
        <v>5625</v>
      </c>
      <c r="F15" s="31" t="s">
        <v>5626</v>
      </c>
      <c r="H15" s="75" t="s">
        <v>5627</v>
      </c>
      <c r="I15" s="105"/>
      <c r="J15" s="75" t="s">
        <v>5628</v>
      </c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>
      <c r="B16" s="31" t="s">
        <v>5629</v>
      </c>
      <c r="D16" s="31" t="s">
        <v>5630</v>
      </c>
      <c r="E16" s="31" t="s">
        <v>5631</v>
      </c>
      <c r="F16" s="31" t="s">
        <v>5632</v>
      </c>
      <c r="H16" s="31" t="s">
        <v>5633</v>
      </c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>
      <c r="A17" s="105"/>
      <c r="B17" s="75" t="s">
        <v>5634</v>
      </c>
      <c r="C17" s="105"/>
      <c r="D17" s="75" t="s">
        <v>5635</v>
      </c>
      <c r="E17" s="75" t="s">
        <v>5636</v>
      </c>
      <c r="F17" s="105"/>
      <c r="G17" s="105"/>
      <c r="H17" s="31" t="s">
        <v>5637</v>
      </c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>
      <c r="A18" s="105"/>
      <c r="B18" s="105"/>
      <c r="C18" s="105"/>
      <c r="D18" s="105"/>
      <c r="E18" s="75" t="s">
        <v>5638</v>
      </c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>
      <c r="A19" s="105"/>
      <c r="B19" s="105"/>
      <c r="C19" s="105"/>
      <c r="D19" s="105"/>
      <c r="E19" s="75" t="s">
        <v>5639</v>
      </c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>
      <c r="A20" s="22" t="s">
        <v>5640</v>
      </c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>
      <c r="A21" s="50" t="s">
        <v>733</v>
      </c>
      <c r="B21" s="50" t="s">
        <v>191</v>
      </c>
      <c r="C21" s="50" t="s">
        <v>734</v>
      </c>
      <c r="D21" s="50" t="s">
        <v>735</v>
      </c>
      <c r="E21" s="50" t="s">
        <v>187</v>
      </c>
      <c r="F21" s="50" t="s">
        <v>736</v>
      </c>
      <c r="G21" s="50" t="s">
        <v>179</v>
      </c>
      <c r="H21" s="50" t="s">
        <v>737</v>
      </c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>
      <c r="A22" s="375" t="s">
        <v>5641</v>
      </c>
      <c r="B22" s="375" t="s">
        <v>5642</v>
      </c>
      <c r="C22" s="375" t="s">
        <v>5642</v>
      </c>
      <c r="D22" s="375" t="s">
        <v>5642</v>
      </c>
      <c r="E22" s="375" t="s">
        <v>5642</v>
      </c>
      <c r="F22" s="375" t="s">
        <v>5642</v>
      </c>
      <c r="G22" s="375" t="s">
        <v>5642</v>
      </c>
      <c r="H22" s="375" t="s">
        <v>5642</v>
      </c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>
      <c r="A23" s="31" t="s">
        <v>5643</v>
      </c>
      <c r="B23" s="31" t="s">
        <v>5644</v>
      </c>
      <c r="C23" s="31" t="s">
        <v>5645</v>
      </c>
      <c r="D23" s="31" t="s">
        <v>5646</v>
      </c>
      <c r="E23" s="31" t="s">
        <v>5647</v>
      </c>
      <c r="F23" s="31" t="s">
        <v>5648</v>
      </c>
      <c r="G23" s="75" t="s">
        <v>5649</v>
      </c>
      <c r="H23" s="75" t="s">
        <v>5650</v>
      </c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>
      <c r="A24" s="75" t="s">
        <v>5651</v>
      </c>
      <c r="B24" s="75" t="s">
        <v>5652</v>
      </c>
      <c r="C24" s="75" t="s">
        <v>5653</v>
      </c>
      <c r="D24" s="75" t="s">
        <v>5654</v>
      </c>
      <c r="E24" s="75" t="s">
        <v>5655</v>
      </c>
      <c r="F24" s="75" t="s">
        <v>5656</v>
      </c>
      <c r="G24" s="75" t="s">
        <v>5657</v>
      </c>
      <c r="H24" s="75" t="s">
        <v>5658</v>
      </c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>
      <c r="A25" s="75" t="s">
        <v>5659</v>
      </c>
      <c r="B25" s="75" t="s">
        <v>5660</v>
      </c>
      <c r="C25" s="75" t="s">
        <v>5661</v>
      </c>
      <c r="D25" s="75" t="s">
        <v>5662</v>
      </c>
      <c r="E25" s="75" t="s">
        <v>5663</v>
      </c>
      <c r="F25" s="75" t="s">
        <v>5664</v>
      </c>
      <c r="G25" s="75" t="s">
        <v>5665</v>
      </c>
      <c r="H25" s="75" t="s">
        <v>5666</v>
      </c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>
      <c r="A26" s="31" t="s">
        <v>5667</v>
      </c>
      <c r="B26" s="31" t="s">
        <v>5668</v>
      </c>
      <c r="C26" s="75" t="s">
        <v>5669</v>
      </c>
      <c r="D26" s="75" t="s">
        <v>5670</v>
      </c>
      <c r="E26" s="75" t="s">
        <v>5671</v>
      </c>
      <c r="F26" s="75" t="s">
        <v>5672</v>
      </c>
      <c r="G26" s="75" t="s">
        <v>5673</v>
      </c>
      <c r="H26" s="75" t="s">
        <v>5674</v>
      </c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>
      <c r="A27" s="31" t="s">
        <v>5675</v>
      </c>
      <c r="B27" s="31" t="s">
        <v>5676</v>
      </c>
      <c r="C27" s="31" t="s">
        <v>5677</v>
      </c>
      <c r="D27" s="31" t="s">
        <v>5678</v>
      </c>
      <c r="E27" s="31" t="s">
        <v>5679</v>
      </c>
      <c r="F27" s="31" t="s">
        <v>5680</v>
      </c>
      <c r="G27" s="31" t="s">
        <v>5681</v>
      </c>
      <c r="H27" s="31" t="s">
        <v>5682</v>
      </c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>
      <c r="A28" s="31" t="s">
        <v>5683</v>
      </c>
      <c r="B28" s="31" t="s">
        <v>5684</v>
      </c>
      <c r="C28" s="31" t="s">
        <v>5685</v>
      </c>
      <c r="D28" s="31" t="s">
        <v>5686</v>
      </c>
      <c r="E28" s="31" t="s">
        <v>5687</v>
      </c>
      <c r="F28" s="31" t="s">
        <v>5688</v>
      </c>
      <c r="G28" s="31" t="s">
        <v>5689</v>
      </c>
      <c r="H28" s="31" t="s">
        <v>5690</v>
      </c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>
      <c r="A29" s="31" t="s">
        <v>5691</v>
      </c>
      <c r="B29" s="31" t="s">
        <v>5692</v>
      </c>
      <c r="C29" s="31" t="s">
        <v>5693</v>
      </c>
      <c r="D29" s="31" t="s">
        <v>5694</v>
      </c>
      <c r="E29" s="31" t="s">
        <v>5695</v>
      </c>
      <c r="F29" s="31" t="s">
        <v>5696</v>
      </c>
      <c r="G29" s="31" t="s">
        <v>5697</v>
      </c>
      <c r="H29" s="31" t="s">
        <v>5698</v>
      </c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>
      <c r="A30" s="31" t="s">
        <v>5699</v>
      </c>
      <c r="B30" s="31" t="s">
        <v>5700</v>
      </c>
      <c r="C30" s="75" t="s">
        <v>5701</v>
      </c>
      <c r="D30" s="75" t="s">
        <v>5702</v>
      </c>
      <c r="E30" s="75" t="s">
        <v>5703</v>
      </c>
      <c r="F30" s="75" t="s">
        <v>5704</v>
      </c>
      <c r="G30" s="75" t="s">
        <v>5705</v>
      </c>
      <c r="H30" s="75" t="s">
        <v>5706</v>
      </c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>
      <c r="A31" s="31" t="s">
        <v>5707</v>
      </c>
      <c r="B31" s="31" t="s">
        <v>5708</v>
      </c>
      <c r="C31" s="75" t="s">
        <v>5709</v>
      </c>
      <c r="D31" s="75" t="s">
        <v>5710</v>
      </c>
      <c r="E31" s="75" t="s">
        <v>5711</v>
      </c>
      <c r="F31" s="75" t="s">
        <v>5712</v>
      </c>
      <c r="G31" s="75" t="s">
        <v>5713</v>
      </c>
      <c r="H31" s="75" t="s">
        <v>5714</v>
      </c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>
      <c r="A32" s="31" t="s">
        <v>5715</v>
      </c>
      <c r="B32" s="31" t="s">
        <v>5716</v>
      </c>
      <c r="C32" s="31" t="s">
        <v>5717</v>
      </c>
      <c r="D32" s="75" t="s">
        <v>5718</v>
      </c>
      <c r="E32" s="31" t="s">
        <v>5719</v>
      </c>
      <c r="F32" s="75" t="s">
        <v>5720</v>
      </c>
      <c r="G32" s="75" t="s">
        <v>5721</v>
      </c>
      <c r="H32" s="75" t="s">
        <v>5722</v>
      </c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>
      <c r="A33" s="31" t="s">
        <v>5723</v>
      </c>
      <c r="B33" s="31" t="s">
        <v>5724</v>
      </c>
      <c r="C33" s="31" t="s">
        <v>5725</v>
      </c>
      <c r="D33" s="75" t="s">
        <v>5726</v>
      </c>
      <c r="E33" s="31" t="s">
        <v>5727</v>
      </c>
      <c r="F33" s="75" t="s">
        <v>5728</v>
      </c>
      <c r="G33" s="75" t="s">
        <v>5729</v>
      </c>
      <c r="H33" s="31" t="s">
        <v>5730</v>
      </c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>
      <c r="A34" s="31" t="s">
        <v>5731</v>
      </c>
      <c r="B34" s="31" t="s">
        <v>5732</v>
      </c>
      <c r="C34" s="31" t="s">
        <v>5733</v>
      </c>
      <c r="D34" s="75" t="s">
        <v>5734</v>
      </c>
      <c r="E34" s="31" t="s">
        <v>5735</v>
      </c>
      <c r="F34" s="31" t="s">
        <v>5736</v>
      </c>
      <c r="G34" s="75" t="s">
        <v>5737</v>
      </c>
      <c r="H34" s="75" t="s">
        <v>5738</v>
      </c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>
      <c r="A35" s="31" t="s">
        <v>5739</v>
      </c>
      <c r="B35" s="31" t="s">
        <v>5740</v>
      </c>
      <c r="C35" s="31" t="s">
        <v>5741</v>
      </c>
      <c r="D35" s="31" t="s">
        <v>5742</v>
      </c>
      <c r="E35" s="75" t="s">
        <v>5743</v>
      </c>
      <c r="F35" s="31" t="s">
        <v>5744</v>
      </c>
      <c r="G35" s="31" t="s">
        <v>5745</v>
      </c>
      <c r="H35" s="31" t="s">
        <v>5746</v>
      </c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>
      <c r="A36" s="31" t="s">
        <v>5747</v>
      </c>
      <c r="B36" s="31" t="s">
        <v>5748</v>
      </c>
      <c r="C36" s="31" t="s">
        <v>5749</v>
      </c>
      <c r="D36" s="31" t="s">
        <v>5750</v>
      </c>
      <c r="E36" s="31" t="s">
        <v>5751</v>
      </c>
      <c r="F36" s="75" t="s">
        <v>5752</v>
      </c>
      <c r="G36" s="31" t="s">
        <v>5753</v>
      </c>
      <c r="H36" s="31" t="s">
        <v>5754</v>
      </c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>
      <c r="A37" s="31" t="s">
        <v>5755</v>
      </c>
      <c r="B37" s="31" t="s">
        <v>5756</v>
      </c>
      <c r="C37" s="31" t="s">
        <v>5757</v>
      </c>
      <c r="D37" s="31" t="s">
        <v>5758</v>
      </c>
      <c r="E37" s="31" t="s">
        <v>5759</v>
      </c>
      <c r="F37" s="31" t="s">
        <v>5760</v>
      </c>
      <c r="G37" s="31" t="s">
        <v>5761</v>
      </c>
      <c r="H37" s="31" t="s">
        <v>5762</v>
      </c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>
      <c r="A38" s="31" t="s">
        <v>5763</v>
      </c>
      <c r="B38" s="31" t="s">
        <v>5764</v>
      </c>
      <c r="C38" s="31" t="s">
        <v>5765</v>
      </c>
      <c r="D38" s="31" t="s">
        <v>5766</v>
      </c>
      <c r="E38" s="31" t="s">
        <v>5767</v>
      </c>
      <c r="F38" s="31" t="s">
        <v>5768</v>
      </c>
      <c r="G38" s="31" t="s">
        <v>5769</v>
      </c>
      <c r="H38" s="31" t="s">
        <v>5770</v>
      </c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>
      <c r="A39" s="31" t="s">
        <v>5771</v>
      </c>
      <c r="C39" s="31" t="s">
        <v>5772</v>
      </c>
      <c r="D39" s="31" t="s">
        <v>5773</v>
      </c>
      <c r="F39" s="31" t="s">
        <v>5774</v>
      </c>
      <c r="G39" s="31" t="s">
        <v>5775</v>
      </c>
      <c r="H39" s="31" t="s">
        <v>5776</v>
      </c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>
      <c r="A40" s="31" t="s">
        <v>5777</v>
      </c>
      <c r="C40" s="31" t="s">
        <v>5778</v>
      </c>
      <c r="G40" s="31" t="s">
        <v>5779</v>
      </c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>
      <c r="E42" s="7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>
      <c r="A44" s="149" t="s">
        <v>4701</v>
      </c>
      <c r="I44" s="8"/>
      <c r="J44" s="8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>
      <c r="A45" s="379" t="s">
        <v>4319</v>
      </c>
      <c r="B45" s="379" t="s">
        <v>4702</v>
      </c>
      <c r="C45" s="256" t="s">
        <v>4703</v>
      </c>
      <c r="D45" s="379" t="s">
        <v>4320</v>
      </c>
      <c r="E45" s="379" t="s">
        <v>436</v>
      </c>
      <c r="F45" s="379" t="s">
        <v>4704</v>
      </c>
      <c r="G45" s="379" t="s">
        <v>135</v>
      </c>
      <c r="H45" s="379" t="s">
        <v>128</v>
      </c>
      <c r="I45" s="8"/>
      <c r="J45" s="8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>
      <c r="A46" s="4" t="s">
        <v>5780</v>
      </c>
      <c r="B46" s="4" t="s">
        <v>5781</v>
      </c>
      <c r="C46" s="4" t="s">
        <v>5782</v>
      </c>
      <c r="D46" s="4" t="s">
        <v>179</v>
      </c>
      <c r="E46" s="4" t="s">
        <v>5783</v>
      </c>
      <c r="F46" s="4" t="s">
        <v>5784</v>
      </c>
      <c r="G46" s="4" t="s">
        <v>5784</v>
      </c>
      <c r="H46" s="4" t="s">
        <v>5785</v>
      </c>
      <c r="I46" s="8"/>
      <c r="J46" s="8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>
      <c r="A47" s="4" t="s">
        <v>5786</v>
      </c>
      <c r="B47" s="4" t="s">
        <v>5781</v>
      </c>
      <c r="C47" s="4" t="s">
        <v>5787</v>
      </c>
      <c r="D47" s="4" t="s">
        <v>735</v>
      </c>
      <c r="E47" s="4" t="s">
        <v>5788</v>
      </c>
      <c r="F47" s="4" t="s">
        <v>5789</v>
      </c>
      <c r="G47" s="4" t="s">
        <v>5790</v>
      </c>
      <c r="H47" s="4" t="s">
        <v>5789</v>
      </c>
      <c r="I47" s="8"/>
      <c r="J47" s="8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>
      <c r="A48" s="4" t="s">
        <v>5791</v>
      </c>
      <c r="B48" s="4" t="s">
        <v>5792</v>
      </c>
      <c r="C48" s="4" t="s">
        <v>5793</v>
      </c>
      <c r="D48" s="4" t="s">
        <v>736</v>
      </c>
      <c r="E48" s="4" t="s">
        <v>5788</v>
      </c>
      <c r="F48" s="4" t="s">
        <v>5794</v>
      </c>
      <c r="G48" s="4" t="s">
        <v>5795</v>
      </c>
      <c r="H48" s="4" t="s">
        <v>5794</v>
      </c>
      <c r="I48" s="8"/>
      <c r="J48" s="8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>
      <c r="A49" s="4" t="s">
        <v>5796</v>
      </c>
      <c r="B49" s="4" t="s">
        <v>5792</v>
      </c>
      <c r="C49" s="4" t="s">
        <v>5797</v>
      </c>
      <c r="D49" s="4" t="s">
        <v>734</v>
      </c>
      <c r="E49" s="4" t="s">
        <v>5783</v>
      </c>
      <c r="F49" s="4" t="s">
        <v>5798</v>
      </c>
      <c r="G49" s="4" t="s">
        <v>5799</v>
      </c>
      <c r="H49" s="4" t="s">
        <v>5800</v>
      </c>
      <c r="I49" s="8"/>
      <c r="J49" s="8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>
      <c r="A50" s="4" t="s">
        <v>5801</v>
      </c>
      <c r="B50" s="4" t="s">
        <v>5802</v>
      </c>
      <c r="C50" s="4" t="s">
        <v>5803</v>
      </c>
      <c r="D50" s="4" t="s">
        <v>179</v>
      </c>
      <c r="E50" s="4" t="s">
        <v>5804</v>
      </c>
      <c r="F50" s="4" t="s">
        <v>5805</v>
      </c>
      <c r="G50" s="4" t="s">
        <v>5784</v>
      </c>
      <c r="H50" s="4" t="s">
        <v>5805</v>
      </c>
      <c r="I50" s="8"/>
      <c r="J50" s="8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>
      <c r="A51" s="4" t="s">
        <v>5806</v>
      </c>
      <c r="B51" s="4" t="s">
        <v>5802</v>
      </c>
      <c r="C51" s="4" t="s">
        <v>5797</v>
      </c>
      <c r="D51" s="4" t="s">
        <v>737</v>
      </c>
      <c r="E51" s="4" t="s">
        <v>5807</v>
      </c>
      <c r="F51" s="4" t="s">
        <v>5808</v>
      </c>
      <c r="G51" s="4" t="s">
        <v>5808</v>
      </c>
      <c r="H51" s="4" t="s">
        <v>5795</v>
      </c>
      <c r="I51" s="8"/>
      <c r="J51" s="8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>
      <c r="A52" s="4" t="s">
        <v>5809</v>
      </c>
      <c r="B52" s="4" t="s">
        <v>5810</v>
      </c>
      <c r="C52" s="4" t="s">
        <v>5811</v>
      </c>
      <c r="D52" s="4" t="s">
        <v>733</v>
      </c>
      <c r="E52" s="4" t="s">
        <v>5804</v>
      </c>
      <c r="F52" s="4" t="s">
        <v>5812</v>
      </c>
      <c r="G52" s="4" t="s">
        <v>5813</v>
      </c>
      <c r="H52" s="4" t="s">
        <v>5814</v>
      </c>
      <c r="I52" s="8"/>
      <c r="J52" s="8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>
      <c r="A53" s="4" t="s">
        <v>5815</v>
      </c>
      <c r="B53" s="4" t="s">
        <v>5810</v>
      </c>
      <c r="C53" s="4" t="s">
        <v>5816</v>
      </c>
      <c r="D53" s="4" t="s">
        <v>187</v>
      </c>
      <c r="E53" s="4" t="s">
        <v>5817</v>
      </c>
      <c r="F53" s="4" t="s">
        <v>5818</v>
      </c>
      <c r="G53" s="4" t="s">
        <v>5818</v>
      </c>
      <c r="H53" s="4" t="s">
        <v>5819</v>
      </c>
      <c r="I53" s="8"/>
      <c r="J53" s="8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>
      <c r="A54" s="4" t="s">
        <v>5820</v>
      </c>
      <c r="B54" s="4" t="s">
        <v>5821</v>
      </c>
      <c r="C54" s="4" t="s">
        <v>5782</v>
      </c>
      <c r="D54" s="4" t="s">
        <v>179</v>
      </c>
      <c r="E54" s="4" t="s">
        <v>5822</v>
      </c>
      <c r="F54" s="4" t="s">
        <v>5784</v>
      </c>
      <c r="G54" s="4" t="s">
        <v>5823</v>
      </c>
      <c r="H54" s="4" t="s">
        <v>5824</v>
      </c>
      <c r="I54" s="8"/>
      <c r="J54" s="8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>
      <c r="A55" s="4" t="s">
        <v>5825</v>
      </c>
      <c r="B55" s="4" t="s">
        <v>5821</v>
      </c>
      <c r="C55" s="4" t="s">
        <v>5793</v>
      </c>
      <c r="D55" s="4" t="s">
        <v>735</v>
      </c>
      <c r="E55" s="4" t="s">
        <v>5788</v>
      </c>
      <c r="F55" s="4" t="s">
        <v>5826</v>
      </c>
      <c r="G55" s="4" t="s">
        <v>5827</v>
      </c>
      <c r="H55" s="4" t="s">
        <v>5826</v>
      </c>
      <c r="I55" s="8"/>
      <c r="J55" s="8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>
      <c r="A56" s="4" t="s">
        <v>5828</v>
      </c>
      <c r="B56" s="4" t="s">
        <v>5829</v>
      </c>
      <c r="C56" s="4" t="s">
        <v>5787</v>
      </c>
      <c r="D56" s="4" t="s">
        <v>187</v>
      </c>
      <c r="E56" s="4" t="s">
        <v>5804</v>
      </c>
      <c r="F56" s="4" t="s">
        <v>5830</v>
      </c>
      <c r="G56" s="4" t="s">
        <v>5831</v>
      </c>
      <c r="H56" s="4" t="s">
        <v>5832</v>
      </c>
      <c r="I56" s="8"/>
      <c r="J56" s="8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>
      <c r="A57" s="4" t="s">
        <v>5833</v>
      </c>
      <c r="B57" s="4" t="s">
        <v>5829</v>
      </c>
      <c r="C57" s="4" t="s">
        <v>5811</v>
      </c>
      <c r="D57" s="4" t="s">
        <v>736</v>
      </c>
      <c r="E57" s="4" t="s">
        <v>5807</v>
      </c>
      <c r="F57" s="4" t="s">
        <v>5794</v>
      </c>
      <c r="G57" s="4" t="s">
        <v>5834</v>
      </c>
      <c r="H57" s="4" t="s">
        <v>5835</v>
      </c>
      <c r="I57" s="8"/>
      <c r="J57" s="8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>
      <c r="A58" s="4" t="s">
        <v>5836</v>
      </c>
      <c r="B58" s="4" t="s">
        <v>5837</v>
      </c>
      <c r="C58" s="4" t="s">
        <v>5838</v>
      </c>
      <c r="D58" s="4" t="s">
        <v>179</v>
      </c>
      <c r="E58" s="4" t="s">
        <v>5839</v>
      </c>
      <c r="F58" s="4" t="s">
        <v>5840</v>
      </c>
      <c r="G58" s="4" t="s">
        <v>5841</v>
      </c>
      <c r="H58" s="4" t="s">
        <v>5805</v>
      </c>
      <c r="I58" s="8"/>
      <c r="J58" s="8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>
      <c r="A59" s="4" t="s">
        <v>5842</v>
      </c>
      <c r="B59" s="4" t="s">
        <v>5837</v>
      </c>
      <c r="C59" s="4" t="s">
        <v>5803</v>
      </c>
      <c r="D59" s="4" t="s">
        <v>736</v>
      </c>
      <c r="E59" s="4" t="s">
        <v>5788</v>
      </c>
      <c r="F59" s="4" t="s">
        <v>5843</v>
      </c>
      <c r="G59" s="4" t="s">
        <v>5843</v>
      </c>
      <c r="H59" s="4" t="s">
        <v>5844</v>
      </c>
      <c r="I59" s="8"/>
      <c r="J59" s="8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>
      <c r="A60" s="4" t="s">
        <v>5845</v>
      </c>
      <c r="B60" s="4" t="s">
        <v>5846</v>
      </c>
      <c r="C60" s="4" t="s">
        <v>5797</v>
      </c>
      <c r="D60" s="4" t="s">
        <v>191</v>
      </c>
      <c r="E60" s="4" t="s">
        <v>5807</v>
      </c>
      <c r="F60" s="4" t="s">
        <v>5847</v>
      </c>
      <c r="G60" s="4" t="s">
        <v>5848</v>
      </c>
      <c r="H60" s="4" t="s">
        <v>5847</v>
      </c>
      <c r="I60" s="8"/>
      <c r="J60" s="8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>
      <c r="A61" s="4" t="s">
        <v>5849</v>
      </c>
      <c r="B61" s="4" t="s">
        <v>5846</v>
      </c>
      <c r="C61" s="4" t="s">
        <v>5816</v>
      </c>
      <c r="D61" s="4" t="s">
        <v>737</v>
      </c>
      <c r="E61" s="4" t="s">
        <v>5850</v>
      </c>
      <c r="F61" s="4" t="s">
        <v>5851</v>
      </c>
      <c r="G61" s="4" t="s">
        <v>5852</v>
      </c>
      <c r="H61" s="4" t="s">
        <v>5853</v>
      </c>
      <c r="I61" s="8"/>
      <c r="J61" s="8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>
      <c r="A62" s="4" t="s">
        <v>5854</v>
      </c>
      <c r="B62" s="4" t="s">
        <v>5855</v>
      </c>
      <c r="C62" s="4" t="s">
        <v>5811</v>
      </c>
      <c r="D62" s="4" t="s">
        <v>191</v>
      </c>
      <c r="E62" s="4" t="s">
        <v>5807</v>
      </c>
      <c r="F62" s="4" t="s">
        <v>5847</v>
      </c>
      <c r="G62" s="4" t="s">
        <v>5847</v>
      </c>
      <c r="H62" s="4" t="s">
        <v>5835</v>
      </c>
      <c r="I62" s="8"/>
      <c r="J62" s="8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>
      <c r="A63" s="4" t="s">
        <v>5856</v>
      </c>
      <c r="B63" s="4" t="s">
        <v>5855</v>
      </c>
      <c r="C63" s="4" t="s">
        <v>5803</v>
      </c>
      <c r="D63" s="4" t="s">
        <v>736</v>
      </c>
      <c r="E63" s="4" t="s">
        <v>5804</v>
      </c>
      <c r="F63" s="4" t="s">
        <v>5834</v>
      </c>
      <c r="G63" s="4" t="s">
        <v>5843</v>
      </c>
      <c r="H63" s="4" t="s">
        <v>5834</v>
      </c>
      <c r="I63" s="8"/>
      <c r="J63" s="8"/>
      <c r="K63" s="105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5857</v>
      </c>
      <c r="B64" s="4" t="s">
        <v>5858</v>
      </c>
      <c r="C64" s="4" t="s">
        <v>5782</v>
      </c>
      <c r="D64" s="4" t="s">
        <v>187</v>
      </c>
      <c r="E64" s="4" t="s">
        <v>5859</v>
      </c>
      <c r="F64" s="4" t="s">
        <v>5860</v>
      </c>
      <c r="G64" s="4" t="s">
        <v>5861</v>
      </c>
      <c r="H64" s="4" t="s">
        <v>5800</v>
      </c>
      <c r="I64" s="8"/>
      <c r="J64" s="8"/>
      <c r="K64" s="105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5862</v>
      </c>
      <c r="B65" s="4" t="s">
        <v>5858</v>
      </c>
      <c r="C65" s="4" t="s">
        <v>5793</v>
      </c>
      <c r="D65" s="4" t="s">
        <v>737</v>
      </c>
      <c r="E65" s="4" t="s">
        <v>5839</v>
      </c>
      <c r="F65" s="4" t="s">
        <v>5863</v>
      </c>
      <c r="G65" s="4" t="s">
        <v>5864</v>
      </c>
      <c r="H65" s="4" t="s">
        <v>5832</v>
      </c>
      <c r="I65" s="8"/>
      <c r="J65" s="8"/>
      <c r="K65" s="105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" t="s">
        <v>5865</v>
      </c>
      <c r="B66" s="4" t="s">
        <v>5866</v>
      </c>
      <c r="C66" s="4" t="s">
        <v>5782</v>
      </c>
      <c r="D66" s="4" t="s">
        <v>179</v>
      </c>
      <c r="E66" s="4" t="s">
        <v>5867</v>
      </c>
      <c r="F66" s="4" t="s">
        <v>5868</v>
      </c>
      <c r="G66" s="4" t="s">
        <v>5868</v>
      </c>
      <c r="H66" s="4" t="s">
        <v>5869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4" t="s">
        <v>5870</v>
      </c>
      <c r="B67" s="4" t="s">
        <v>5866</v>
      </c>
      <c r="C67" s="4" t="s">
        <v>5787</v>
      </c>
      <c r="D67" s="4" t="s">
        <v>734</v>
      </c>
      <c r="E67" s="4" t="s">
        <v>5871</v>
      </c>
      <c r="F67" s="4" t="s">
        <v>5872</v>
      </c>
      <c r="G67" s="4" t="s">
        <v>5873</v>
      </c>
      <c r="H67" s="4" t="s">
        <v>5872</v>
      </c>
      <c r="I67" s="8"/>
      <c r="J67" s="8"/>
      <c r="K67" s="105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5874</v>
      </c>
      <c r="B68" s="4" t="s">
        <v>5875</v>
      </c>
      <c r="C68" s="4" t="s">
        <v>5838</v>
      </c>
      <c r="D68" s="4" t="s">
        <v>735</v>
      </c>
      <c r="E68" s="4" t="s">
        <v>5867</v>
      </c>
      <c r="F68" s="4" t="s">
        <v>5876</v>
      </c>
      <c r="G68" s="4" t="s">
        <v>5877</v>
      </c>
      <c r="H68" s="4" t="s">
        <v>5876</v>
      </c>
      <c r="I68" s="8"/>
      <c r="J68" s="8"/>
      <c r="K68" s="105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" t="s">
        <v>5878</v>
      </c>
      <c r="B69" s="4" t="s">
        <v>5875</v>
      </c>
      <c r="C69" s="4" t="s">
        <v>5816</v>
      </c>
      <c r="D69" s="4" t="s">
        <v>187</v>
      </c>
      <c r="E69" s="4" t="s">
        <v>5807</v>
      </c>
      <c r="F69" s="4" t="s">
        <v>5879</v>
      </c>
      <c r="G69" s="4" t="s">
        <v>5879</v>
      </c>
      <c r="H69" s="4" t="s">
        <v>5517</v>
      </c>
      <c r="I69" s="8"/>
      <c r="J69" s="8"/>
      <c r="K69" s="105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5880</v>
      </c>
      <c r="B70" s="4" t="s">
        <v>5881</v>
      </c>
      <c r="C70" s="4" t="s">
        <v>5797</v>
      </c>
      <c r="D70" s="4" t="s">
        <v>734</v>
      </c>
      <c r="E70" s="4" t="s">
        <v>5882</v>
      </c>
      <c r="F70" s="4" t="s">
        <v>5872</v>
      </c>
      <c r="G70" s="4" t="s">
        <v>5883</v>
      </c>
      <c r="H70" s="4" t="s">
        <v>5884</v>
      </c>
      <c r="I70" s="8"/>
      <c r="J70" s="8"/>
      <c r="K70" s="105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4" t="s">
        <v>5885</v>
      </c>
      <c r="B71" s="4" t="s">
        <v>5881</v>
      </c>
      <c r="C71" s="4" t="s">
        <v>5787</v>
      </c>
      <c r="D71" s="4" t="s">
        <v>179</v>
      </c>
      <c r="E71" s="4" t="s">
        <v>5886</v>
      </c>
      <c r="F71" s="4" t="s">
        <v>5784</v>
      </c>
      <c r="G71" s="4" t="s">
        <v>5784</v>
      </c>
      <c r="H71" s="4" t="s">
        <v>5805</v>
      </c>
      <c r="I71" s="8"/>
      <c r="J71" s="8"/>
      <c r="K71" s="105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4" t="s">
        <v>5887</v>
      </c>
      <c r="B72" s="4" t="s">
        <v>5888</v>
      </c>
      <c r="C72" s="4" t="s">
        <v>5803</v>
      </c>
      <c r="D72" s="4" t="s">
        <v>187</v>
      </c>
      <c r="E72" s="4" t="s">
        <v>5817</v>
      </c>
      <c r="F72" s="4" t="s">
        <v>5860</v>
      </c>
      <c r="G72" s="4" t="s">
        <v>5889</v>
      </c>
      <c r="H72" s="4" t="s">
        <v>5860</v>
      </c>
      <c r="I72" s="8"/>
      <c r="J72" s="8"/>
      <c r="K72" s="105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4" t="s">
        <v>5890</v>
      </c>
      <c r="B73" s="4" t="s">
        <v>5888</v>
      </c>
      <c r="C73" s="4" t="s">
        <v>5811</v>
      </c>
      <c r="D73" s="4" t="s">
        <v>191</v>
      </c>
      <c r="E73" s="4" t="s">
        <v>5867</v>
      </c>
      <c r="F73" s="4" t="s">
        <v>5891</v>
      </c>
      <c r="G73" s="4" t="s">
        <v>5892</v>
      </c>
      <c r="H73" s="4" t="s">
        <v>5893</v>
      </c>
      <c r="I73" s="8"/>
      <c r="J73" s="8"/>
      <c r="K73" s="105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4" t="s">
        <v>5894</v>
      </c>
      <c r="B74" s="4" t="s">
        <v>5895</v>
      </c>
      <c r="C74" s="4" t="s">
        <v>5782</v>
      </c>
      <c r="D74" s="4" t="s">
        <v>179</v>
      </c>
      <c r="E74" s="4" t="s">
        <v>5896</v>
      </c>
      <c r="F74" s="4" t="s">
        <v>5897</v>
      </c>
      <c r="G74" s="4" t="s">
        <v>5897</v>
      </c>
      <c r="H74" s="4" t="s">
        <v>5805</v>
      </c>
      <c r="I74" s="8"/>
      <c r="J74" s="8"/>
      <c r="K74" s="105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4" t="s">
        <v>5898</v>
      </c>
      <c r="B75" s="4" t="s">
        <v>5895</v>
      </c>
      <c r="C75" s="4" t="s">
        <v>5803</v>
      </c>
      <c r="D75" s="4" t="s">
        <v>735</v>
      </c>
      <c r="E75" s="4" t="s">
        <v>5788</v>
      </c>
      <c r="F75" s="4" t="s">
        <v>5884</v>
      </c>
      <c r="G75" s="4" t="s">
        <v>5834</v>
      </c>
      <c r="H75" s="4" t="s">
        <v>5884</v>
      </c>
      <c r="I75" s="8"/>
      <c r="J75" s="8"/>
      <c r="K75" s="105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4" t="s">
        <v>5899</v>
      </c>
      <c r="B76" s="4" t="s">
        <v>5900</v>
      </c>
      <c r="C76" s="4" t="s">
        <v>5816</v>
      </c>
      <c r="D76" s="4" t="s">
        <v>187</v>
      </c>
      <c r="E76" s="4" t="s">
        <v>5807</v>
      </c>
      <c r="F76" s="4" t="s">
        <v>5860</v>
      </c>
      <c r="G76" s="4" t="s">
        <v>5860</v>
      </c>
      <c r="H76" s="4" t="s">
        <v>5800</v>
      </c>
      <c r="I76" s="8"/>
      <c r="J76" s="8"/>
      <c r="K76" s="105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4" t="s">
        <v>5901</v>
      </c>
      <c r="B77" s="4" t="s">
        <v>5902</v>
      </c>
      <c r="C77" s="4" t="s">
        <v>5782</v>
      </c>
      <c r="D77" s="4" t="s">
        <v>179</v>
      </c>
      <c r="E77" s="4" t="s">
        <v>5788</v>
      </c>
      <c r="F77" s="4" t="s">
        <v>5784</v>
      </c>
      <c r="G77" s="4" t="s">
        <v>5784</v>
      </c>
      <c r="H77" s="4" t="s">
        <v>5800</v>
      </c>
      <c r="I77" s="8"/>
      <c r="J77" s="8"/>
      <c r="K77" s="105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105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9" t="s">
        <v>5903</v>
      </c>
      <c r="F79" s="8"/>
      <c r="G79" s="8"/>
      <c r="H79" s="8"/>
      <c r="I79" s="8"/>
      <c r="J79" s="8"/>
      <c r="K79" s="105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51" t="s">
        <v>111</v>
      </c>
      <c r="B80" s="251" t="s">
        <v>112</v>
      </c>
      <c r="C80" s="251" t="s">
        <v>113</v>
      </c>
      <c r="D80" s="251" t="s">
        <v>114</v>
      </c>
      <c r="E80" s="251" t="s">
        <v>4406</v>
      </c>
      <c r="F80" s="8"/>
      <c r="G80" s="8"/>
      <c r="H80" s="8"/>
      <c r="I80" s="8"/>
      <c r="J80" s="8"/>
      <c r="K80" s="105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4" t="s">
        <v>177</v>
      </c>
      <c r="B81" s="4" t="s">
        <v>178</v>
      </c>
      <c r="C81" s="4" t="s">
        <v>179</v>
      </c>
      <c r="D81" s="4" t="s">
        <v>4</v>
      </c>
      <c r="E81" s="4">
        <v>10000.0</v>
      </c>
      <c r="F81" s="8"/>
      <c r="G81" s="8"/>
      <c r="H81" s="8"/>
      <c r="I81" s="8"/>
      <c r="J81" s="8"/>
      <c r="K81" s="105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4" t="s">
        <v>124</v>
      </c>
      <c r="B82" s="4" t="s">
        <v>182</v>
      </c>
      <c r="C82" s="4" t="s">
        <v>179</v>
      </c>
      <c r="D82" s="4" t="s">
        <v>183</v>
      </c>
      <c r="E82" s="4">
        <v>10000.0</v>
      </c>
      <c r="F82" s="8"/>
      <c r="G82" s="8"/>
      <c r="H82" s="8"/>
      <c r="I82" s="8"/>
      <c r="J82" s="8"/>
      <c r="K82" s="105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4" t="s">
        <v>185</v>
      </c>
      <c r="B83" s="4" t="s">
        <v>186</v>
      </c>
      <c r="C83" s="4" t="s">
        <v>187</v>
      </c>
      <c r="D83" s="4" t="s">
        <v>11</v>
      </c>
      <c r="E83" s="4">
        <v>20000.0</v>
      </c>
      <c r="F83" s="8"/>
      <c r="G83" s="8"/>
      <c r="H83" s="8"/>
      <c r="I83" s="8"/>
      <c r="J83" s="8"/>
      <c r="K83" s="105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4" t="s">
        <v>188</v>
      </c>
      <c r="B84" s="4" t="s">
        <v>189</v>
      </c>
      <c r="C84" s="4" t="s">
        <v>179</v>
      </c>
      <c r="D84" s="4" t="s">
        <v>4</v>
      </c>
      <c r="E84" s="4">
        <v>20000.0</v>
      </c>
      <c r="F84" s="8"/>
      <c r="G84" s="8"/>
      <c r="H84" s="8"/>
      <c r="I84" s="8"/>
      <c r="J84" s="8"/>
      <c r="K84" s="105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4" t="s">
        <v>140</v>
      </c>
      <c r="B85" s="4" t="s">
        <v>189</v>
      </c>
      <c r="C85" s="4" t="s">
        <v>179</v>
      </c>
      <c r="D85" s="4" t="s">
        <v>4</v>
      </c>
      <c r="E85" s="4">
        <v>40000.0</v>
      </c>
      <c r="F85" s="8"/>
      <c r="G85" s="8"/>
      <c r="H85" s="8"/>
      <c r="I85" s="8"/>
      <c r="J85" s="8"/>
      <c r="K85" s="105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4" t="s">
        <v>167</v>
      </c>
      <c r="B86" s="4" t="s">
        <v>191</v>
      </c>
      <c r="E86" s="4">
        <v>50000.0</v>
      </c>
      <c r="F86" s="8"/>
      <c r="G86" s="8"/>
      <c r="H86" s="8"/>
      <c r="I86" s="105"/>
      <c r="J86" s="105"/>
      <c r="K86" s="105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4" t="s">
        <v>170</v>
      </c>
      <c r="B87" s="4" t="s">
        <v>187</v>
      </c>
      <c r="E87" s="4">
        <v>100000.0</v>
      </c>
      <c r="F87" s="8"/>
      <c r="G87" s="8"/>
      <c r="H87" s="8"/>
      <c r="I87" s="105"/>
      <c r="J87" s="105"/>
      <c r="K87" s="105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4" t="s">
        <v>148</v>
      </c>
      <c r="B88" s="4" t="s">
        <v>179</v>
      </c>
      <c r="E88" s="4">
        <v>200000.0</v>
      </c>
      <c r="F88" s="8"/>
      <c r="G88" s="8"/>
      <c r="H88" s="8"/>
      <c r="I88" s="105"/>
      <c r="J88" s="105"/>
      <c r="K88" s="105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105"/>
      <c r="J89" s="105"/>
      <c r="K89" s="105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105"/>
      <c r="J90" s="105"/>
      <c r="K90" s="105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105"/>
      <c r="J91" s="105"/>
      <c r="K91" s="105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105"/>
      <c r="J92" s="105"/>
      <c r="K92" s="105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105"/>
      <c r="J93" s="105"/>
      <c r="K93" s="105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105"/>
      <c r="J94" s="105"/>
      <c r="K94" s="105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105"/>
      <c r="J95" s="105"/>
      <c r="K95" s="105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C96" s="8"/>
      <c r="D96" s="8"/>
      <c r="E96" s="8"/>
      <c r="F96" s="8"/>
      <c r="G96" s="8"/>
      <c r="H96" s="8"/>
      <c r="I96" s="105"/>
      <c r="J96" s="105"/>
      <c r="K96" s="105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75"/>
      <c r="C97" s="8"/>
      <c r="D97" s="8"/>
      <c r="E97" s="8"/>
      <c r="F97" s="8"/>
      <c r="G97" s="8"/>
      <c r="H97" s="8"/>
      <c r="I97" s="105"/>
      <c r="J97" s="105"/>
      <c r="K97" s="105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75"/>
      <c r="C98" s="8"/>
      <c r="D98" s="8"/>
      <c r="E98" s="8"/>
      <c r="F98" s="8"/>
      <c r="G98" s="8"/>
      <c r="H98" s="8"/>
      <c r="I98" s="105"/>
      <c r="J98" s="105"/>
      <c r="K98" s="105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75"/>
      <c r="C99" s="8"/>
      <c r="D99" s="8"/>
      <c r="E99" s="8"/>
      <c r="F99" s="8"/>
      <c r="G99" s="8"/>
      <c r="H99" s="8"/>
      <c r="I99" s="105"/>
      <c r="J99" s="105"/>
      <c r="K99" s="105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75"/>
      <c r="C100" s="8"/>
      <c r="D100" s="8"/>
      <c r="E100" s="8"/>
      <c r="F100" s="8"/>
      <c r="G100" s="8"/>
      <c r="H100" s="8"/>
      <c r="I100" s="105"/>
      <c r="J100" s="105"/>
      <c r="K100" s="105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C101" s="8"/>
      <c r="D101" s="8"/>
      <c r="E101" s="8"/>
      <c r="F101" s="8"/>
      <c r="G101" s="8"/>
      <c r="H101" s="8"/>
      <c r="I101" s="105"/>
      <c r="J101" s="105"/>
      <c r="K101" s="105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C102" s="8"/>
      <c r="D102" s="8"/>
      <c r="E102" s="8"/>
      <c r="F102" s="8"/>
      <c r="G102" s="8"/>
      <c r="H102" s="8"/>
      <c r="I102" s="105"/>
      <c r="J102" s="105"/>
      <c r="K102" s="105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C103" s="8"/>
      <c r="D103" s="8"/>
      <c r="E103" s="8"/>
      <c r="F103" s="8"/>
      <c r="G103" s="8"/>
      <c r="H103" s="8"/>
      <c r="I103" s="105"/>
      <c r="J103" s="105"/>
      <c r="K103" s="105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75"/>
      <c r="C104" s="8"/>
      <c r="D104" s="8"/>
      <c r="E104" s="8"/>
      <c r="F104" s="8"/>
      <c r="G104" s="8"/>
      <c r="H104" s="8"/>
      <c r="I104" s="105"/>
      <c r="J104" s="105"/>
      <c r="K104" s="105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75"/>
      <c r="C105" s="8"/>
      <c r="D105" s="8"/>
      <c r="E105" s="8"/>
      <c r="F105" s="8"/>
      <c r="G105" s="8"/>
      <c r="H105" s="8"/>
      <c r="I105" s="105"/>
      <c r="J105" s="105"/>
      <c r="K105" s="105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75"/>
      <c r="C106" s="8"/>
      <c r="D106" s="8"/>
      <c r="E106" s="8"/>
      <c r="F106" s="8"/>
      <c r="G106" s="8"/>
      <c r="H106" s="8"/>
      <c r="I106" s="105"/>
      <c r="J106" s="105"/>
      <c r="K106" s="105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75"/>
      <c r="C107" s="8"/>
      <c r="D107" s="8"/>
      <c r="E107" s="8"/>
      <c r="F107" s="8"/>
      <c r="G107" s="8"/>
      <c r="H107" s="8"/>
      <c r="I107" s="105"/>
      <c r="J107" s="105"/>
      <c r="K107" s="105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75"/>
      <c r="C108" s="8"/>
      <c r="D108" s="8"/>
      <c r="E108" s="8"/>
      <c r="F108" s="8"/>
      <c r="G108" s="8"/>
      <c r="H108" s="8"/>
      <c r="I108" s="105"/>
      <c r="J108" s="105"/>
      <c r="K108" s="105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C109" s="8"/>
      <c r="D109" s="8"/>
      <c r="E109" s="8"/>
      <c r="F109" s="8"/>
      <c r="G109" s="8"/>
      <c r="H109" s="8"/>
      <c r="I109" s="105"/>
      <c r="J109" s="105"/>
      <c r="K109" s="105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C110" s="8"/>
      <c r="D110" s="8"/>
      <c r="E110" s="8"/>
      <c r="F110" s="8"/>
      <c r="G110" s="8"/>
      <c r="H110" s="8"/>
      <c r="I110" s="105"/>
      <c r="J110" s="105"/>
      <c r="K110" s="105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C111" s="8"/>
      <c r="D111" s="8"/>
      <c r="E111" s="8"/>
      <c r="F111" s="8"/>
      <c r="G111" s="8"/>
      <c r="H111" s="8"/>
      <c r="I111" s="105"/>
      <c r="J111" s="105"/>
      <c r="K111" s="105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C112" s="8"/>
      <c r="D112" s="8"/>
      <c r="E112" s="8"/>
      <c r="F112" s="8"/>
      <c r="G112" s="8"/>
      <c r="H112" s="8"/>
      <c r="I112" s="105"/>
      <c r="J112" s="105"/>
      <c r="K112" s="105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C113" s="8"/>
      <c r="D113" s="8"/>
      <c r="E113" s="8"/>
      <c r="F113" s="8"/>
      <c r="G113" s="8"/>
      <c r="H113" s="8"/>
      <c r="I113" s="105"/>
      <c r="J113" s="105"/>
      <c r="K113" s="105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C114" s="8"/>
      <c r="D114" s="8"/>
      <c r="E114" s="8"/>
      <c r="F114" s="8"/>
      <c r="G114" s="8"/>
      <c r="H114" s="8"/>
      <c r="I114" s="105"/>
      <c r="J114" s="105"/>
      <c r="K114" s="105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105"/>
      <c r="J115" s="105"/>
      <c r="K115" s="105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105"/>
      <c r="J116" s="105"/>
      <c r="K116" s="105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105"/>
      <c r="J117" s="105"/>
      <c r="K117" s="105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105"/>
      <c r="J118" s="105"/>
      <c r="K118" s="105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105"/>
      <c r="J119" s="105"/>
      <c r="K119" s="105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105"/>
      <c r="J120" s="105"/>
      <c r="K120" s="105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105"/>
      <c r="J121" s="105"/>
      <c r="K121" s="105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105"/>
      <c r="J122" s="105"/>
      <c r="K122" s="105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105"/>
      <c r="J123" s="105"/>
      <c r="K123" s="105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105"/>
      <c r="J124" s="105"/>
      <c r="K124" s="105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105"/>
      <c r="J125" s="105"/>
      <c r="K125" s="105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105"/>
      <c r="J126" s="105"/>
      <c r="K126" s="105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105"/>
      <c r="J127" s="105"/>
      <c r="K127" s="105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105"/>
      <c r="J128" s="105"/>
      <c r="K128" s="105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105"/>
      <c r="J129" s="105"/>
      <c r="K129" s="105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105"/>
      <c r="J130" s="105"/>
      <c r="K130" s="105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105"/>
      <c r="J131" s="105"/>
      <c r="K131" s="105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105"/>
      <c r="J132" s="105"/>
      <c r="K132" s="105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105"/>
      <c r="J133" s="105"/>
      <c r="K133" s="105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105"/>
      <c r="J134" s="105"/>
      <c r="K134" s="105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105"/>
      <c r="J135" s="105"/>
      <c r="K135" s="105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105"/>
      <c r="J136" s="105"/>
      <c r="K136" s="105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105"/>
      <c r="J137" s="105"/>
      <c r="K137" s="105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105"/>
      <c r="J138" s="105"/>
      <c r="K138" s="105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105"/>
      <c r="J139" s="105"/>
      <c r="K139" s="105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105"/>
      <c r="J140" s="105"/>
      <c r="K140" s="105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105"/>
      <c r="J141" s="105"/>
      <c r="K141" s="105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105"/>
      <c r="J142" s="105"/>
      <c r="K142" s="105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105"/>
      <c r="J143" s="105"/>
      <c r="K143" s="105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105"/>
      <c r="J144" s="105"/>
      <c r="K144" s="105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105"/>
      <c r="J145" s="105"/>
      <c r="K145" s="105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105"/>
      <c r="J146" s="105"/>
      <c r="K146" s="105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105"/>
      <c r="J147" s="105"/>
      <c r="K147" s="105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105"/>
      <c r="J148" s="105"/>
      <c r="K148" s="105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105"/>
      <c r="J149" s="105"/>
      <c r="K149" s="105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105"/>
      <c r="J150" s="105"/>
      <c r="K150" s="105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105"/>
      <c r="J151" s="105"/>
      <c r="K151" s="105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105"/>
      <c r="J152" s="105"/>
      <c r="K152" s="105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105"/>
      <c r="J153" s="105"/>
      <c r="K153" s="105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105"/>
      <c r="J154" s="105"/>
      <c r="K154" s="105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105"/>
      <c r="J155" s="105"/>
      <c r="K155" s="105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105"/>
      <c r="J156" s="105"/>
      <c r="K156" s="105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105"/>
      <c r="J157" s="105"/>
      <c r="K157" s="105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105"/>
      <c r="J158" s="105"/>
      <c r="K158" s="105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105"/>
      <c r="J159" s="105"/>
      <c r="K159" s="105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105"/>
      <c r="J160" s="105"/>
      <c r="K160" s="105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105"/>
      <c r="J161" s="105"/>
      <c r="K161" s="105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105"/>
      <c r="J162" s="105"/>
      <c r="K162" s="105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105"/>
      <c r="J163" s="105"/>
      <c r="K163" s="105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105"/>
      <c r="J164" s="105"/>
      <c r="K164" s="105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105"/>
      <c r="J165" s="105"/>
      <c r="K165" s="105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105"/>
      <c r="J166" s="105"/>
      <c r="K166" s="105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105"/>
      <c r="J167" s="105"/>
      <c r="K167" s="105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105"/>
      <c r="J168" s="105"/>
      <c r="K168" s="105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105"/>
      <c r="J169" s="105"/>
      <c r="K169" s="105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105"/>
      <c r="J170" s="105"/>
      <c r="K170" s="105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105"/>
      <c r="J171" s="105"/>
      <c r="K171" s="105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105"/>
      <c r="J172" s="105"/>
      <c r="K172" s="105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105"/>
      <c r="J173" s="105"/>
      <c r="K173" s="105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105"/>
      <c r="J174" s="105"/>
      <c r="K174" s="105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105"/>
      <c r="J175" s="105"/>
      <c r="K175" s="105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105"/>
      <c r="J176" s="105"/>
      <c r="K176" s="105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105"/>
      <c r="J177" s="105"/>
      <c r="K177" s="105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105"/>
      <c r="J178" s="105"/>
      <c r="K178" s="105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105"/>
      <c r="J179" s="105"/>
      <c r="K179" s="105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105"/>
      <c r="J180" s="105"/>
      <c r="K180" s="105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105"/>
      <c r="J181" s="105"/>
      <c r="K181" s="105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105"/>
      <c r="J182" s="105"/>
      <c r="K182" s="105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105"/>
      <c r="J183" s="105"/>
      <c r="K183" s="105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105"/>
      <c r="J184" s="105"/>
      <c r="K184" s="105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105"/>
      <c r="J185" s="105"/>
      <c r="K185" s="105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105"/>
      <c r="J186" s="105"/>
      <c r="K186" s="105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105"/>
      <c r="J187" s="105"/>
      <c r="K187" s="105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105"/>
      <c r="J188" s="105"/>
      <c r="K188" s="105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105"/>
      <c r="J189" s="105"/>
      <c r="K189" s="105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105"/>
      <c r="J190" s="105"/>
      <c r="K190" s="105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105"/>
      <c r="J191" s="105"/>
      <c r="K191" s="105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105"/>
      <c r="J192" s="105"/>
      <c r="K192" s="105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105"/>
      <c r="J193" s="105"/>
      <c r="K193" s="105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105"/>
      <c r="J194" s="105"/>
      <c r="K194" s="105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105"/>
      <c r="J195" s="105"/>
      <c r="K195" s="105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105"/>
      <c r="J196" s="105"/>
      <c r="K196" s="105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105"/>
      <c r="J197" s="105"/>
      <c r="K197" s="105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105"/>
      <c r="J198" s="105"/>
      <c r="K198" s="105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105"/>
      <c r="J199" s="105"/>
      <c r="K199" s="105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105"/>
      <c r="J200" s="105"/>
      <c r="K200" s="105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105"/>
      <c r="J201" s="105"/>
      <c r="K201" s="105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105"/>
      <c r="J202" s="105"/>
      <c r="K202" s="105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105"/>
      <c r="J203" s="105"/>
      <c r="K203" s="105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105"/>
      <c r="J204" s="105"/>
      <c r="K204" s="105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105"/>
      <c r="J205" s="105"/>
      <c r="K205" s="105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105"/>
      <c r="J206" s="105"/>
      <c r="K206" s="105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105"/>
      <c r="J207" s="105"/>
      <c r="K207" s="105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105"/>
      <c r="J208" s="105"/>
      <c r="K208" s="105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105"/>
      <c r="J209" s="105"/>
      <c r="K209" s="105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105"/>
      <c r="J210" s="105"/>
      <c r="K210" s="105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105"/>
      <c r="J211" s="105"/>
      <c r="K211" s="105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105"/>
      <c r="J212" s="105"/>
      <c r="K212" s="105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105"/>
      <c r="J213" s="105"/>
      <c r="K213" s="105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105"/>
      <c r="J214" s="105"/>
      <c r="K214" s="105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105"/>
      <c r="J215" s="105"/>
      <c r="K215" s="105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105"/>
      <c r="J216" s="105"/>
      <c r="K216" s="105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105"/>
      <c r="J217" s="105"/>
      <c r="K217" s="105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105"/>
      <c r="J218" s="105"/>
      <c r="K218" s="105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105"/>
      <c r="J219" s="105"/>
      <c r="K219" s="105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105"/>
      <c r="J220" s="105"/>
      <c r="K220" s="105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105"/>
      <c r="J221" s="105"/>
      <c r="K221" s="105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105"/>
      <c r="J222" s="105"/>
      <c r="K222" s="105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105"/>
      <c r="J223" s="105"/>
      <c r="K223" s="105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105"/>
      <c r="J224" s="105"/>
      <c r="K224" s="105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105"/>
      <c r="J225" s="105"/>
      <c r="K225" s="105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105"/>
      <c r="J226" s="105"/>
      <c r="K226" s="105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105"/>
      <c r="J227" s="105"/>
      <c r="K227" s="105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105"/>
      <c r="J228" s="105"/>
      <c r="K228" s="105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105"/>
      <c r="J229" s="105"/>
      <c r="K229" s="105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105"/>
      <c r="J230" s="105"/>
      <c r="K230" s="105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105"/>
      <c r="J231" s="105"/>
      <c r="K231" s="105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105"/>
      <c r="J232" s="105"/>
      <c r="K232" s="105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105"/>
      <c r="J233" s="105"/>
      <c r="K233" s="105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105"/>
      <c r="J234" s="105"/>
      <c r="K234" s="105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105"/>
      <c r="J235" s="105"/>
      <c r="K235" s="105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105"/>
      <c r="J236" s="105"/>
      <c r="K236" s="105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105"/>
      <c r="J237" s="105"/>
      <c r="K237" s="105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105"/>
      <c r="J238" s="105"/>
      <c r="K238" s="105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105"/>
      <c r="J239" s="105"/>
      <c r="K239" s="105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105"/>
      <c r="J240" s="105"/>
      <c r="K240" s="105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105"/>
      <c r="J241" s="105"/>
      <c r="K241" s="105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105"/>
      <c r="J242" s="105"/>
      <c r="K242" s="105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105"/>
      <c r="J243" s="105"/>
      <c r="K243" s="105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105"/>
      <c r="J244" s="105"/>
      <c r="K244" s="105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105"/>
      <c r="J245" s="105"/>
      <c r="K245" s="105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105"/>
      <c r="J246" s="105"/>
      <c r="K246" s="105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105"/>
      <c r="J247" s="105"/>
      <c r="K247" s="105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105"/>
      <c r="J248" s="105"/>
      <c r="K248" s="105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105"/>
      <c r="J249" s="105"/>
      <c r="K249" s="105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105"/>
      <c r="J250" s="105"/>
      <c r="K250" s="105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105"/>
      <c r="J251" s="105"/>
      <c r="K251" s="105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105"/>
      <c r="J252" s="105"/>
      <c r="K252" s="105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105"/>
      <c r="J253" s="105"/>
      <c r="K253" s="105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105"/>
      <c r="J254" s="105"/>
      <c r="K254" s="105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105"/>
      <c r="J255" s="105"/>
      <c r="K255" s="105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105"/>
      <c r="J256" s="105"/>
      <c r="K256" s="105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105"/>
      <c r="J257" s="105"/>
      <c r="K257" s="105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105"/>
      <c r="J258" s="105"/>
      <c r="K258" s="105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105"/>
      <c r="J259" s="105"/>
      <c r="K259" s="105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105"/>
      <c r="J260" s="105"/>
      <c r="K260" s="105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105"/>
      <c r="J261" s="105"/>
      <c r="K261" s="105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105"/>
      <c r="J262" s="105"/>
      <c r="K262" s="105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105"/>
      <c r="J263" s="105"/>
      <c r="K263" s="105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105"/>
      <c r="J264" s="105"/>
      <c r="K264" s="105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105"/>
      <c r="J265" s="105"/>
      <c r="K265" s="105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105"/>
      <c r="J266" s="105"/>
      <c r="K266" s="105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105"/>
      <c r="J267" s="105"/>
      <c r="K267" s="105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105"/>
      <c r="J268" s="105"/>
      <c r="K268" s="105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105"/>
      <c r="J269" s="105"/>
      <c r="K269" s="105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105"/>
      <c r="J270" s="105"/>
      <c r="K270" s="105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105"/>
      <c r="J271" s="105"/>
      <c r="K271" s="105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105"/>
      <c r="J272" s="105"/>
      <c r="K272" s="105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105"/>
      <c r="J273" s="105"/>
      <c r="K273" s="105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105"/>
      <c r="J274" s="105"/>
      <c r="K274" s="105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105"/>
      <c r="J275" s="105"/>
      <c r="K275" s="105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105"/>
      <c r="J276" s="105"/>
      <c r="K276" s="105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105"/>
      <c r="J277" s="105"/>
      <c r="K277" s="105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105"/>
      <c r="J278" s="105"/>
      <c r="K278" s="105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105"/>
      <c r="J279" s="105"/>
      <c r="K279" s="105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105"/>
      <c r="J280" s="105"/>
      <c r="K280" s="105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105"/>
      <c r="J281" s="105"/>
      <c r="K281" s="105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105"/>
      <c r="J282" s="105"/>
      <c r="K282" s="105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105"/>
      <c r="J283" s="105"/>
      <c r="K283" s="105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105"/>
      <c r="J284" s="105"/>
      <c r="K284" s="105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105"/>
      <c r="J285" s="105"/>
      <c r="K285" s="105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105"/>
      <c r="J286" s="105"/>
      <c r="K286" s="105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105"/>
      <c r="J287" s="105"/>
      <c r="K287" s="105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105"/>
      <c r="J288" s="105"/>
      <c r="K288" s="105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105"/>
      <c r="J289" s="105"/>
      <c r="K289" s="105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105"/>
      <c r="J290" s="105"/>
      <c r="K290" s="105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105"/>
      <c r="J291" s="105"/>
      <c r="K291" s="105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105"/>
      <c r="J292" s="105"/>
      <c r="K292" s="10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105"/>
      <c r="J293" s="105"/>
      <c r="K293" s="10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105"/>
      <c r="J294" s="105"/>
      <c r="K294" s="10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105"/>
      <c r="J295" s="105"/>
      <c r="K295" s="10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105"/>
      <c r="J296" s="105"/>
      <c r="K296" s="105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105"/>
      <c r="J297" s="105"/>
      <c r="K297" s="105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105"/>
      <c r="J298" s="105"/>
      <c r="K298" s="105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105"/>
      <c r="J299" s="105"/>
      <c r="K299" s="105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105"/>
      <c r="J300" s="105"/>
      <c r="K300" s="105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105"/>
      <c r="J301" s="105"/>
      <c r="K301" s="105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105"/>
      <c r="J302" s="105"/>
      <c r="K302" s="105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105"/>
      <c r="J303" s="105"/>
      <c r="K303" s="105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105"/>
      <c r="J304" s="105"/>
      <c r="K304" s="105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105"/>
      <c r="J305" s="105"/>
      <c r="K305" s="105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105"/>
      <c r="J306" s="105"/>
      <c r="K306" s="105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105"/>
      <c r="J307" s="105"/>
      <c r="K307" s="105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105"/>
      <c r="J308" s="105"/>
      <c r="K308" s="105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105"/>
      <c r="J309" s="105"/>
      <c r="K309" s="105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105"/>
      <c r="J310" s="105"/>
      <c r="K310" s="105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105"/>
      <c r="J311" s="105"/>
      <c r="K311" s="105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105"/>
      <c r="J312" s="105"/>
      <c r="K312" s="105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105"/>
      <c r="J313" s="105"/>
      <c r="K313" s="105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105"/>
      <c r="J314" s="105"/>
      <c r="K314" s="105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105"/>
      <c r="J315" s="105"/>
      <c r="K315" s="105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105"/>
      <c r="J316" s="105"/>
      <c r="K316" s="105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105"/>
      <c r="J317" s="105"/>
      <c r="K317" s="105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105"/>
      <c r="J318" s="105"/>
      <c r="K318" s="105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105"/>
      <c r="J319" s="105"/>
      <c r="K319" s="105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105"/>
      <c r="J320" s="105"/>
      <c r="K320" s="105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105"/>
      <c r="J321" s="105"/>
      <c r="K321" s="105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105"/>
      <c r="J322" s="105"/>
      <c r="K322" s="105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105"/>
      <c r="J323" s="105"/>
      <c r="K323" s="105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105"/>
      <c r="J324" s="105"/>
      <c r="K324" s="105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105"/>
      <c r="J325" s="105"/>
      <c r="K325" s="105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105"/>
      <c r="J326" s="105"/>
      <c r="K326" s="105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105"/>
      <c r="J327" s="105"/>
      <c r="K327" s="105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105"/>
      <c r="J328" s="105"/>
      <c r="K328" s="105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105"/>
      <c r="J329" s="105"/>
      <c r="K329" s="105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105"/>
      <c r="J330" s="105"/>
      <c r="K330" s="105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105"/>
      <c r="J331" s="105"/>
      <c r="K331" s="105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105"/>
      <c r="J332" s="105"/>
      <c r="K332" s="105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105"/>
      <c r="J333" s="105"/>
      <c r="K333" s="105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105"/>
      <c r="J334" s="105"/>
      <c r="K334" s="105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105"/>
      <c r="J335" s="105"/>
      <c r="K335" s="105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105"/>
      <c r="J336" s="105"/>
      <c r="K336" s="105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105"/>
      <c r="J337" s="105"/>
      <c r="K337" s="105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105"/>
      <c r="J338" s="105"/>
      <c r="K338" s="105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105"/>
      <c r="J339" s="105"/>
      <c r="K339" s="105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105"/>
      <c r="J340" s="105"/>
      <c r="K340" s="105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105"/>
      <c r="J341" s="105"/>
      <c r="K341" s="105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105"/>
      <c r="J342" s="105"/>
      <c r="K342" s="105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105"/>
      <c r="J343" s="105"/>
      <c r="K343" s="105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105"/>
      <c r="J344" s="105"/>
      <c r="K344" s="105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105"/>
      <c r="J345" s="105"/>
      <c r="K345" s="105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105"/>
      <c r="J346" s="105"/>
      <c r="K346" s="105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105"/>
      <c r="J347" s="105"/>
      <c r="K347" s="105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105"/>
      <c r="J348" s="105"/>
      <c r="K348" s="105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105"/>
      <c r="J349" s="105"/>
      <c r="K349" s="105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105"/>
      <c r="J350" s="105"/>
      <c r="K350" s="105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105"/>
      <c r="J351" s="105"/>
      <c r="K351" s="105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105"/>
      <c r="J352" s="105"/>
      <c r="K352" s="105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105"/>
      <c r="J353" s="105"/>
      <c r="K353" s="105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105"/>
      <c r="J354" s="105"/>
      <c r="K354" s="105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105"/>
      <c r="J355" s="105"/>
      <c r="K355" s="105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105"/>
      <c r="J356" s="105"/>
      <c r="K356" s="105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105"/>
      <c r="J357" s="105"/>
      <c r="K357" s="105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105"/>
      <c r="J358" s="105"/>
      <c r="K358" s="105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105"/>
      <c r="J359" s="105"/>
      <c r="K359" s="105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105"/>
      <c r="J360" s="105"/>
      <c r="K360" s="105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105"/>
      <c r="J361" s="105"/>
      <c r="K361" s="105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105"/>
      <c r="J362" s="105"/>
      <c r="K362" s="105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105"/>
      <c r="J363" s="105"/>
      <c r="K363" s="105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105"/>
      <c r="J364" s="105"/>
      <c r="K364" s="105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105"/>
      <c r="J365" s="105"/>
      <c r="K365" s="105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105"/>
      <c r="J366" s="105"/>
      <c r="K366" s="105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105"/>
      <c r="J367" s="105"/>
      <c r="K367" s="105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105"/>
      <c r="J368" s="105"/>
      <c r="K368" s="105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105"/>
      <c r="J369" s="105"/>
      <c r="K369" s="105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105"/>
      <c r="J370" s="105"/>
      <c r="K370" s="105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105"/>
      <c r="J371" s="105"/>
      <c r="K371" s="105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105"/>
      <c r="J372" s="105"/>
      <c r="K372" s="105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105"/>
      <c r="J373" s="105"/>
      <c r="K373" s="105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105"/>
      <c r="J374" s="105"/>
      <c r="K374" s="105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105"/>
      <c r="J375" s="105"/>
      <c r="K375" s="105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105"/>
      <c r="J376" s="105"/>
      <c r="K376" s="105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105"/>
      <c r="J377" s="105"/>
      <c r="K377" s="105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105"/>
      <c r="J378" s="105"/>
      <c r="K378" s="105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105"/>
      <c r="J379" s="105"/>
      <c r="K379" s="105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105"/>
      <c r="J380" s="105"/>
      <c r="K380" s="105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105"/>
      <c r="J381" s="105"/>
      <c r="K381" s="105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105"/>
      <c r="J382" s="105"/>
      <c r="K382" s="105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105"/>
      <c r="J383" s="105"/>
      <c r="K383" s="105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105"/>
      <c r="J384" s="105"/>
      <c r="K384" s="105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105"/>
      <c r="J385" s="105"/>
      <c r="K385" s="105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105"/>
      <c r="J386" s="105"/>
      <c r="K386" s="105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105"/>
      <c r="J387" s="105"/>
      <c r="K387" s="105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105"/>
      <c r="J388" s="105"/>
      <c r="K388" s="105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105"/>
      <c r="J389" s="105"/>
      <c r="K389" s="105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105"/>
      <c r="J390" s="105"/>
      <c r="K390" s="105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105"/>
      <c r="J391" s="105"/>
      <c r="K391" s="105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105"/>
      <c r="J392" s="105"/>
      <c r="K392" s="105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105"/>
      <c r="J393" s="105"/>
      <c r="K393" s="105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105"/>
      <c r="J394" s="105"/>
      <c r="K394" s="105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105"/>
      <c r="J395" s="105"/>
      <c r="K395" s="105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105"/>
      <c r="J396" s="105"/>
      <c r="K396" s="105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105"/>
      <c r="J397" s="105"/>
      <c r="K397" s="105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105"/>
      <c r="J398" s="105"/>
      <c r="K398" s="105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105"/>
      <c r="J399" s="105"/>
      <c r="K399" s="105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105"/>
      <c r="J400" s="105"/>
      <c r="K400" s="105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105"/>
      <c r="J401" s="105"/>
      <c r="K401" s="105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105"/>
      <c r="J402" s="105"/>
      <c r="K402" s="105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105"/>
      <c r="J403" s="105"/>
      <c r="K403" s="105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105"/>
      <c r="J404" s="105"/>
      <c r="K404" s="105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105"/>
      <c r="J405" s="105"/>
      <c r="K405" s="105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105"/>
      <c r="J406" s="105"/>
      <c r="K406" s="105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105"/>
      <c r="J407" s="105"/>
      <c r="K407" s="105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105"/>
      <c r="J408" s="105"/>
      <c r="K408" s="105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105"/>
      <c r="J409" s="105"/>
      <c r="K409" s="105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105"/>
      <c r="J410" s="105"/>
      <c r="K410" s="105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105"/>
      <c r="J411" s="105"/>
      <c r="K411" s="105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105"/>
      <c r="J412" s="105"/>
      <c r="K412" s="105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105"/>
      <c r="J413" s="105"/>
      <c r="K413" s="105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105"/>
      <c r="J414" s="105"/>
      <c r="K414" s="105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105"/>
      <c r="J415" s="105"/>
      <c r="K415" s="105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105"/>
      <c r="J416" s="105"/>
      <c r="K416" s="105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105"/>
      <c r="J417" s="105"/>
      <c r="K417" s="105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105"/>
      <c r="J418" s="105"/>
      <c r="K418" s="105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105"/>
      <c r="J419" s="105"/>
      <c r="K419" s="105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105"/>
      <c r="J420" s="105"/>
      <c r="K420" s="105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105"/>
      <c r="J421" s="105"/>
      <c r="K421" s="105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105"/>
      <c r="J422" s="105"/>
      <c r="K422" s="105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105"/>
      <c r="J423" s="105"/>
      <c r="K423" s="105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105"/>
      <c r="J424" s="105"/>
      <c r="K424" s="105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105"/>
      <c r="J425" s="105"/>
      <c r="K425" s="105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105"/>
      <c r="J426" s="105"/>
      <c r="K426" s="105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105"/>
      <c r="J427" s="105"/>
      <c r="K427" s="105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105"/>
      <c r="J428" s="105"/>
      <c r="K428" s="105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105"/>
      <c r="J429" s="105"/>
      <c r="K429" s="105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105"/>
      <c r="J430" s="105"/>
      <c r="K430" s="105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105"/>
      <c r="J431" s="105"/>
      <c r="K431" s="105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105"/>
      <c r="J432" s="105"/>
      <c r="K432" s="105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105"/>
      <c r="J433" s="105"/>
      <c r="K433" s="105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105"/>
      <c r="J434" s="105"/>
      <c r="K434" s="105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105"/>
      <c r="J435" s="105"/>
      <c r="K435" s="105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105"/>
      <c r="J436" s="105"/>
      <c r="K436" s="105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105"/>
      <c r="J437" s="105"/>
      <c r="K437" s="105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105"/>
      <c r="J438" s="105"/>
      <c r="K438" s="105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105"/>
      <c r="J439" s="105"/>
      <c r="K439" s="105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105"/>
      <c r="J440" s="105"/>
      <c r="K440" s="105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105"/>
      <c r="J441" s="105"/>
      <c r="K441" s="105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105"/>
      <c r="J442" s="105"/>
      <c r="K442" s="105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105"/>
      <c r="J443" s="105"/>
      <c r="K443" s="105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105"/>
      <c r="J444" s="105"/>
      <c r="K444" s="105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105"/>
      <c r="J445" s="105"/>
      <c r="K445" s="105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105"/>
      <c r="J446" s="105"/>
      <c r="K446" s="105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105"/>
      <c r="J447" s="105"/>
      <c r="K447" s="105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105"/>
      <c r="J448" s="105"/>
      <c r="K448" s="105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105"/>
      <c r="J449" s="105"/>
      <c r="K449" s="105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105"/>
      <c r="J450" s="105"/>
      <c r="K450" s="105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105"/>
      <c r="J451" s="105"/>
      <c r="K451" s="105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105"/>
      <c r="J452" s="105"/>
      <c r="K452" s="105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105"/>
      <c r="J453" s="105"/>
      <c r="K453" s="105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105"/>
      <c r="J454" s="105"/>
      <c r="K454" s="105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105"/>
      <c r="J455" s="105"/>
      <c r="K455" s="105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105"/>
      <c r="J456" s="105"/>
      <c r="K456" s="105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105"/>
      <c r="J457" s="105"/>
      <c r="K457" s="105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105"/>
      <c r="J458" s="105"/>
      <c r="K458" s="105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105"/>
      <c r="J459" s="105"/>
      <c r="K459" s="105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105"/>
      <c r="J460" s="105"/>
      <c r="K460" s="105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105"/>
      <c r="J461" s="105"/>
      <c r="K461" s="105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105"/>
      <c r="J462" s="105"/>
      <c r="K462" s="105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105"/>
      <c r="J463" s="105"/>
      <c r="K463" s="105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105"/>
      <c r="J464" s="105"/>
      <c r="K464" s="105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105"/>
      <c r="J465" s="105"/>
      <c r="K465" s="105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105"/>
      <c r="J466" s="105"/>
      <c r="K466" s="105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105"/>
      <c r="J467" s="105"/>
      <c r="K467" s="105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105"/>
      <c r="J468" s="105"/>
      <c r="K468" s="105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105"/>
      <c r="J469" s="105"/>
      <c r="K469" s="105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105"/>
      <c r="J470" s="105"/>
      <c r="K470" s="105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105"/>
      <c r="J471" s="105"/>
      <c r="K471" s="105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105"/>
      <c r="J472" s="105"/>
      <c r="K472" s="105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105"/>
      <c r="J473" s="105"/>
      <c r="K473" s="105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105"/>
      <c r="J474" s="105"/>
      <c r="K474" s="105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105"/>
      <c r="J475" s="105"/>
      <c r="K475" s="105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105"/>
      <c r="J476" s="105"/>
      <c r="K476" s="105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105"/>
      <c r="J477" s="105"/>
      <c r="K477" s="105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105"/>
      <c r="J478" s="105"/>
      <c r="K478" s="105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105"/>
      <c r="J479" s="105"/>
      <c r="K479" s="105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105"/>
      <c r="J480" s="105"/>
      <c r="K480" s="105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105"/>
      <c r="J481" s="105"/>
      <c r="K481" s="105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105"/>
      <c r="J482" s="105"/>
      <c r="K482" s="105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105"/>
      <c r="J483" s="105"/>
      <c r="K483" s="105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105"/>
      <c r="J484" s="105"/>
      <c r="K484" s="105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105"/>
      <c r="J485" s="105"/>
      <c r="K485" s="105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105"/>
      <c r="J486" s="105"/>
      <c r="K486" s="105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105"/>
      <c r="J487" s="105"/>
      <c r="K487" s="105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105"/>
      <c r="J488" s="105"/>
      <c r="K488" s="105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105"/>
      <c r="J489" s="105"/>
      <c r="K489" s="105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105"/>
      <c r="J490" s="105"/>
      <c r="K490" s="105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105"/>
      <c r="J491" s="105"/>
      <c r="K491" s="105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105"/>
      <c r="J492" s="105"/>
      <c r="K492" s="105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105"/>
      <c r="J493" s="105"/>
      <c r="K493" s="105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105"/>
      <c r="J494" s="105"/>
      <c r="K494" s="105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105"/>
      <c r="J495" s="105"/>
      <c r="K495" s="105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105"/>
      <c r="J496" s="105"/>
      <c r="K496" s="105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105"/>
      <c r="J497" s="105"/>
      <c r="K497" s="105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105"/>
      <c r="J498" s="105"/>
      <c r="K498" s="105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105"/>
      <c r="J499" s="105"/>
      <c r="K499" s="105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105"/>
      <c r="J500" s="105"/>
      <c r="K500" s="105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105"/>
      <c r="J501" s="105"/>
      <c r="K501" s="105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105"/>
      <c r="J502" s="105"/>
      <c r="K502" s="105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105"/>
      <c r="J503" s="105"/>
      <c r="K503" s="105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105"/>
      <c r="J504" s="105"/>
      <c r="K504" s="105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105"/>
      <c r="J505" s="105"/>
      <c r="K505" s="105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105"/>
      <c r="J506" s="105"/>
      <c r="K506" s="105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105"/>
      <c r="J507" s="105"/>
      <c r="K507" s="105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105"/>
      <c r="J508" s="105"/>
      <c r="K508" s="105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105"/>
      <c r="J509" s="105"/>
      <c r="K509" s="105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105"/>
      <c r="J510" s="105"/>
      <c r="K510" s="105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105"/>
      <c r="J511" s="105"/>
      <c r="K511" s="105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105"/>
      <c r="J512" s="105"/>
      <c r="K512" s="105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105"/>
      <c r="J513" s="105"/>
      <c r="K513" s="105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105"/>
      <c r="J514" s="105"/>
      <c r="K514" s="105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105"/>
      <c r="J515" s="105"/>
      <c r="K515" s="105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105"/>
      <c r="J516" s="105"/>
      <c r="K516" s="105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105"/>
      <c r="J517" s="105"/>
      <c r="K517" s="105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105"/>
      <c r="J518" s="105"/>
      <c r="K518" s="105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105"/>
      <c r="J519" s="105"/>
      <c r="K519" s="105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105"/>
      <c r="J520" s="105"/>
      <c r="K520" s="105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105"/>
      <c r="J521" s="105"/>
      <c r="K521" s="105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105"/>
      <c r="J522" s="105"/>
      <c r="K522" s="105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105"/>
      <c r="J523" s="105"/>
      <c r="K523" s="105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105"/>
      <c r="J524" s="105"/>
      <c r="K524" s="105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105"/>
      <c r="J525" s="105"/>
      <c r="K525" s="105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105"/>
      <c r="J526" s="105"/>
      <c r="K526" s="105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105"/>
      <c r="J527" s="105"/>
      <c r="K527" s="105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105"/>
      <c r="J528" s="105"/>
      <c r="K528" s="105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105"/>
      <c r="J529" s="105"/>
      <c r="K529" s="105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105"/>
      <c r="J530" s="105"/>
      <c r="K530" s="105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105"/>
      <c r="J531" s="105"/>
      <c r="K531" s="105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105"/>
      <c r="J532" s="105"/>
      <c r="K532" s="105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105"/>
      <c r="J533" s="105"/>
      <c r="K533" s="105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105"/>
      <c r="J534" s="105"/>
      <c r="K534" s="105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105"/>
      <c r="J535" s="105"/>
      <c r="K535" s="105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105"/>
      <c r="J536" s="105"/>
      <c r="K536" s="105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105"/>
      <c r="J537" s="105"/>
      <c r="K537" s="105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105"/>
      <c r="J538" s="105"/>
      <c r="K538" s="105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105"/>
      <c r="J539" s="105"/>
      <c r="K539" s="105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105"/>
      <c r="J540" s="105"/>
      <c r="K540" s="105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105"/>
      <c r="J541" s="105"/>
      <c r="K541" s="105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105"/>
      <c r="J542" s="105"/>
      <c r="K542" s="105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105"/>
      <c r="J543" s="105"/>
      <c r="K543" s="105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105"/>
      <c r="J544" s="105"/>
      <c r="K544" s="105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105"/>
      <c r="J545" s="105"/>
      <c r="K545" s="105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105"/>
      <c r="J546" s="105"/>
      <c r="K546" s="105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105"/>
      <c r="J547" s="105"/>
      <c r="K547" s="105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105"/>
      <c r="J548" s="105"/>
      <c r="K548" s="105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105"/>
      <c r="J549" s="105"/>
      <c r="K549" s="105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105"/>
      <c r="J550" s="105"/>
      <c r="K550" s="105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105"/>
      <c r="J551" s="105"/>
      <c r="K551" s="105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105"/>
      <c r="J552" s="105"/>
      <c r="K552" s="105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105"/>
      <c r="J553" s="105"/>
      <c r="K553" s="105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105"/>
      <c r="J554" s="105"/>
      <c r="K554" s="105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105"/>
      <c r="J555" s="105"/>
      <c r="K555" s="105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105"/>
      <c r="J556" s="105"/>
      <c r="K556" s="105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105"/>
      <c r="J557" s="105"/>
      <c r="K557" s="105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105"/>
      <c r="J558" s="105"/>
      <c r="K558" s="105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105"/>
      <c r="J559" s="105"/>
      <c r="K559" s="105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105"/>
      <c r="J560" s="105"/>
      <c r="K560" s="105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105"/>
      <c r="J561" s="105"/>
      <c r="K561" s="105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105"/>
      <c r="J562" s="105"/>
      <c r="K562" s="105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105"/>
      <c r="J563" s="105"/>
      <c r="K563" s="105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105"/>
      <c r="J564" s="105"/>
      <c r="K564" s="105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105"/>
      <c r="J565" s="105"/>
      <c r="K565" s="105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105"/>
      <c r="J566" s="105"/>
      <c r="K566" s="105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105"/>
      <c r="J567" s="105"/>
      <c r="K567" s="105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105"/>
      <c r="J568" s="105"/>
      <c r="K568" s="105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105"/>
      <c r="J569" s="105"/>
      <c r="K569" s="105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105"/>
      <c r="J570" s="105"/>
      <c r="K570" s="105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105"/>
      <c r="J571" s="105"/>
      <c r="K571" s="105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105"/>
      <c r="J572" s="105"/>
      <c r="K572" s="105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105"/>
      <c r="J573" s="105"/>
      <c r="K573" s="105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105"/>
      <c r="J574" s="105"/>
      <c r="K574" s="105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105"/>
      <c r="J575" s="105"/>
      <c r="K575" s="105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105"/>
      <c r="J576" s="105"/>
      <c r="K576" s="105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105"/>
      <c r="J577" s="105"/>
      <c r="K577" s="105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105"/>
      <c r="J578" s="105"/>
      <c r="K578" s="105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105"/>
      <c r="J579" s="105"/>
      <c r="K579" s="105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105"/>
      <c r="J580" s="105"/>
      <c r="K580" s="105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105"/>
      <c r="J581" s="105"/>
      <c r="K581" s="105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105"/>
      <c r="J582" s="105"/>
      <c r="K582" s="105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105"/>
      <c r="J583" s="105"/>
      <c r="K583" s="105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105"/>
      <c r="J584" s="105"/>
      <c r="K584" s="105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105"/>
      <c r="J585" s="105"/>
      <c r="K585" s="105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105"/>
      <c r="J586" s="105"/>
      <c r="K586" s="105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105"/>
      <c r="J587" s="105"/>
      <c r="K587" s="105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105"/>
      <c r="J588" s="105"/>
      <c r="K588" s="105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105"/>
      <c r="J589" s="105"/>
      <c r="K589" s="105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105"/>
      <c r="J590" s="105"/>
      <c r="K590" s="105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105"/>
      <c r="J591" s="105"/>
      <c r="K591" s="105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105"/>
      <c r="J592" s="105"/>
      <c r="K592" s="105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105"/>
      <c r="J593" s="105"/>
      <c r="K593" s="105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105"/>
      <c r="J594" s="105"/>
      <c r="K594" s="105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105"/>
      <c r="J595" s="105"/>
      <c r="K595" s="105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105"/>
      <c r="J596" s="105"/>
      <c r="K596" s="105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105"/>
      <c r="J597" s="105"/>
      <c r="K597" s="105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105"/>
      <c r="J598" s="105"/>
      <c r="K598" s="105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105"/>
      <c r="J599" s="105"/>
      <c r="K599" s="105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105"/>
      <c r="J600" s="105"/>
      <c r="K600" s="105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105"/>
      <c r="J601" s="105"/>
      <c r="K601" s="105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105"/>
      <c r="J602" s="105"/>
      <c r="K602" s="105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105"/>
      <c r="J603" s="105"/>
      <c r="K603" s="105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105"/>
      <c r="J604" s="105"/>
      <c r="K604" s="105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105"/>
      <c r="J605" s="105"/>
      <c r="K605" s="105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105"/>
      <c r="J606" s="105"/>
      <c r="K606" s="105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105"/>
      <c r="J607" s="105"/>
      <c r="K607" s="105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105"/>
      <c r="J608" s="105"/>
      <c r="K608" s="105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105"/>
      <c r="J609" s="105"/>
      <c r="K609" s="105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105"/>
      <c r="J610" s="105"/>
      <c r="K610" s="105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105"/>
      <c r="J611" s="105"/>
      <c r="K611" s="105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105"/>
      <c r="J612" s="105"/>
      <c r="K612" s="105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105"/>
      <c r="J613" s="105"/>
      <c r="K613" s="105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105"/>
      <c r="J614" s="105"/>
      <c r="K614" s="105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105"/>
      <c r="J615" s="105"/>
      <c r="K615" s="105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105"/>
      <c r="J616" s="105"/>
      <c r="K616" s="105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105"/>
      <c r="J617" s="105"/>
      <c r="K617" s="105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105"/>
      <c r="J618" s="105"/>
      <c r="K618" s="105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105"/>
      <c r="J619" s="105"/>
      <c r="K619" s="105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105"/>
      <c r="J620" s="105"/>
      <c r="K620" s="105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105"/>
      <c r="J621" s="105"/>
      <c r="K621" s="105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105"/>
      <c r="J622" s="105"/>
      <c r="K622" s="105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105"/>
      <c r="J623" s="105"/>
      <c r="K623" s="105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105"/>
      <c r="J624" s="105"/>
      <c r="K624" s="105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105"/>
      <c r="J625" s="105"/>
      <c r="K625" s="105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105"/>
      <c r="J626" s="105"/>
      <c r="K626" s="105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105"/>
      <c r="J627" s="105"/>
      <c r="K627" s="105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105"/>
      <c r="J628" s="105"/>
      <c r="K628" s="105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105"/>
      <c r="J629" s="105"/>
      <c r="K629" s="105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105"/>
      <c r="J630" s="105"/>
      <c r="K630" s="105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105"/>
      <c r="J631" s="105"/>
      <c r="K631" s="105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105"/>
      <c r="J632" s="105"/>
      <c r="K632" s="105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105"/>
      <c r="J633" s="105"/>
      <c r="K633" s="105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105"/>
      <c r="J634" s="105"/>
      <c r="K634" s="105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105"/>
      <c r="J635" s="105"/>
      <c r="K635" s="105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105"/>
      <c r="J636" s="105"/>
      <c r="K636" s="105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105"/>
      <c r="J637" s="105"/>
      <c r="K637" s="105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105"/>
      <c r="J638" s="105"/>
      <c r="K638" s="105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105"/>
      <c r="J639" s="105"/>
      <c r="K639" s="105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105"/>
      <c r="J640" s="105"/>
      <c r="K640" s="105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105"/>
      <c r="J641" s="105"/>
      <c r="K641" s="10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105"/>
      <c r="J642" s="105"/>
      <c r="K642" s="105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105"/>
      <c r="J643" s="105"/>
      <c r="K643" s="105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105"/>
      <c r="J644" s="105"/>
      <c r="K644" s="105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105"/>
      <c r="J645" s="105"/>
      <c r="K645" s="105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105"/>
      <c r="J646" s="105"/>
      <c r="K646" s="105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105"/>
      <c r="J647" s="105"/>
      <c r="K647" s="105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105"/>
      <c r="J648" s="105"/>
      <c r="K648" s="105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105"/>
      <c r="J649" s="105"/>
      <c r="K649" s="105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105"/>
      <c r="J650" s="105"/>
      <c r="K650" s="105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105"/>
      <c r="J651" s="105"/>
      <c r="K651" s="105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105"/>
      <c r="J652" s="105"/>
      <c r="K652" s="105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105"/>
      <c r="J653" s="105"/>
      <c r="K653" s="105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105"/>
      <c r="J654" s="105"/>
      <c r="K654" s="105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105"/>
      <c r="J655" s="105"/>
      <c r="K655" s="105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105"/>
      <c r="J656" s="105"/>
      <c r="K656" s="105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105"/>
      <c r="J657" s="105"/>
      <c r="K657" s="105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105"/>
      <c r="J658" s="105"/>
      <c r="K658" s="105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105"/>
      <c r="J659" s="105"/>
      <c r="K659" s="105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105"/>
      <c r="J660" s="105"/>
      <c r="K660" s="105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105"/>
      <c r="J661" s="105"/>
      <c r="K661" s="105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105"/>
      <c r="J662" s="105"/>
      <c r="K662" s="105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105"/>
      <c r="J663" s="105"/>
      <c r="K663" s="105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105"/>
      <c r="J664" s="105"/>
      <c r="K664" s="105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105"/>
      <c r="J665" s="105"/>
      <c r="K665" s="105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105"/>
      <c r="J666" s="105"/>
      <c r="K666" s="105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105"/>
      <c r="J667" s="105"/>
      <c r="K667" s="105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105"/>
      <c r="J668" s="105"/>
      <c r="K668" s="105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105"/>
      <c r="J669" s="105"/>
      <c r="K669" s="105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105"/>
      <c r="J670" s="105"/>
      <c r="K670" s="105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105"/>
      <c r="J671" s="105"/>
      <c r="K671" s="105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105"/>
      <c r="J672" s="105"/>
      <c r="K672" s="105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105"/>
      <c r="J673" s="105"/>
      <c r="K673" s="105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105"/>
      <c r="J674" s="105"/>
      <c r="K674" s="105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105"/>
      <c r="J675" s="105"/>
      <c r="K675" s="105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105"/>
      <c r="J676" s="105"/>
      <c r="K676" s="105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105"/>
      <c r="J677" s="105"/>
      <c r="K677" s="105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105"/>
      <c r="J678" s="105"/>
      <c r="K678" s="105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105"/>
      <c r="J679" s="105"/>
      <c r="K679" s="105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105"/>
      <c r="J680" s="105"/>
      <c r="K680" s="105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105"/>
      <c r="J681" s="105"/>
      <c r="K681" s="105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105"/>
      <c r="J682" s="105"/>
      <c r="K682" s="105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105"/>
      <c r="J683" s="105"/>
      <c r="K683" s="105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105"/>
      <c r="J684" s="105"/>
      <c r="K684" s="105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105"/>
      <c r="J685" s="105"/>
      <c r="K685" s="105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105"/>
      <c r="J686" s="105"/>
      <c r="K686" s="105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105"/>
      <c r="J687" s="105"/>
      <c r="K687" s="105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105"/>
      <c r="J688" s="105"/>
      <c r="K688" s="105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105"/>
      <c r="J689" s="105"/>
      <c r="K689" s="105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105"/>
      <c r="J690" s="105"/>
      <c r="K690" s="105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105"/>
      <c r="J691" s="105"/>
      <c r="K691" s="105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105"/>
      <c r="J692" s="105"/>
      <c r="K692" s="105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105"/>
      <c r="J693" s="105"/>
      <c r="K693" s="105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105"/>
      <c r="J694" s="105"/>
      <c r="K694" s="105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105"/>
      <c r="J695" s="105"/>
      <c r="K695" s="105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105"/>
      <c r="J696" s="105"/>
      <c r="K696" s="105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105"/>
      <c r="J697" s="105"/>
      <c r="K697" s="105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105"/>
      <c r="J698" s="105"/>
      <c r="K698" s="105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105"/>
      <c r="J699" s="105"/>
      <c r="K699" s="105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105"/>
      <c r="J700" s="105"/>
      <c r="K700" s="105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105"/>
      <c r="J701" s="105"/>
      <c r="K701" s="105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105"/>
      <c r="J702" s="105"/>
      <c r="K702" s="105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105"/>
      <c r="J703" s="105"/>
      <c r="K703" s="105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105"/>
      <c r="J704" s="105"/>
      <c r="K704" s="105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105"/>
      <c r="J705" s="105"/>
      <c r="K705" s="105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105"/>
      <c r="J706" s="105"/>
      <c r="K706" s="105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105"/>
      <c r="J707" s="105"/>
      <c r="K707" s="105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105"/>
      <c r="J708" s="105"/>
      <c r="K708" s="105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105"/>
      <c r="J709" s="105"/>
      <c r="K709" s="105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105"/>
      <c r="J710" s="105"/>
      <c r="K710" s="105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105"/>
      <c r="J711" s="105"/>
      <c r="K711" s="105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105"/>
      <c r="J712" s="105"/>
      <c r="K712" s="105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105"/>
      <c r="J713" s="105"/>
      <c r="K713" s="105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105"/>
      <c r="J714" s="105"/>
      <c r="K714" s="105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105"/>
      <c r="J715" s="105"/>
      <c r="K715" s="105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105"/>
      <c r="J716" s="105"/>
      <c r="K716" s="105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105"/>
      <c r="J717" s="105"/>
      <c r="K717" s="105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105"/>
      <c r="J718" s="105"/>
      <c r="K718" s="105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105"/>
      <c r="J719" s="105"/>
      <c r="K719" s="105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105"/>
      <c r="J720" s="105"/>
      <c r="K720" s="105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105"/>
      <c r="J721" s="105"/>
      <c r="K721" s="105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105"/>
      <c r="J722" s="105"/>
      <c r="K722" s="105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105"/>
      <c r="J723" s="105"/>
      <c r="K723" s="105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105"/>
      <c r="J724" s="105"/>
      <c r="K724" s="105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105"/>
      <c r="J725" s="105"/>
      <c r="K725" s="105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105"/>
      <c r="J726" s="105"/>
      <c r="K726" s="105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105"/>
      <c r="J727" s="105"/>
      <c r="K727" s="105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105"/>
      <c r="J728" s="105"/>
      <c r="K728" s="105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105"/>
      <c r="J729" s="105"/>
      <c r="K729" s="105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105"/>
      <c r="J730" s="105"/>
      <c r="K730" s="105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105"/>
      <c r="J731" s="105"/>
      <c r="K731" s="105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105"/>
      <c r="J732" s="105"/>
      <c r="K732" s="105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105"/>
      <c r="J733" s="105"/>
      <c r="K733" s="105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105"/>
      <c r="J734" s="105"/>
      <c r="K734" s="105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105"/>
      <c r="J735" s="105"/>
      <c r="K735" s="105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105"/>
      <c r="J736" s="105"/>
      <c r="K736" s="105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105"/>
      <c r="J737" s="105"/>
      <c r="K737" s="105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105"/>
      <c r="J738" s="105"/>
      <c r="K738" s="105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105"/>
      <c r="J739" s="105"/>
      <c r="K739" s="105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105"/>
      <c r="J740" s="105"/>
      <c r="K740" s="105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105"/>
      <c r="J741" s="105"/>
      <c r="K741" s="105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105"/>
      <c r="J742" s="105"/>
      <c r="K742" s="105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105"/>
      <c r="J743" s="105"/>
      <c r="K743" s="105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105"/>
      <c r="J744" s="105"/>
      <c r="K744" s="105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105"/>
      <c r="J745" s="105"/>
      <c r="K745" s="105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105"/>
      <c r="J746" s="105"/>
      <c r="K746" s="105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105"/>
      <c r="J747" s="105"/>
      <c r="K747" s="105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105"/>
      <c r="J748" s="105"/>
      <c r="K748" s="105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105"/>
      <c r="J749" s="105"/>
      <c r="K749" s="105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105"/>
      <c r="J750" s="105"/>
      <c r="K750" s="105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105"/>
      <c r="J751" s="105"/>
      <c r="K751" s="105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105"/>
      <c r="J752" s="105"/>
      <c r="K752" s="105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105"/>
      <c r="J753" s="105"/>
      <c r="K753" s="105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105"/>
      <c r="J754" s="105"/>
      <c r="K754" s="105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105"/>
      <c r="J755" s="105"/>
      <c r="K755" s="105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105"/>
      <c r="J756" s="105"/>
      <c r="K756" s="105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105"/>
      <c r="J757" s="105"/>
      <c r="K757" s="105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105"/>
      <c r="J758" s="105"/>
      <c r="K758" s="105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105"/>
      <c r="J759" s="105"/>
      <c r="K759" s="105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105"/>
      <c r="J760" s="105"/>
      <c r="K760" s="105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105"/>
      <c r="J761" s="105"/>
      <c r="K761" s="105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105"/>
      <c r="J762" s="105"/>
      <c r="K762" s="105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105"/>
      <c r="J763" s="105"/>
      <c r="K763" s="105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105"/>
      <c r="J764" s="105"/>
      <c r="K764" s="105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105"/>
      <c r="J765" s="105"/>
      <c r="K765" s="105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105"/>
      <c r="J766" s="105"/>
      <c r="K766" s="105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105"/>
      <c r="J767" s="105"/>
      <c r="K767" s="105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105"/>
      <c r="J768" s="105"/>
      <c r="K768" s="105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105"/>
      <c r="J769" s="105"/>
      <c r="K769" s="105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105"/>
      <c r="J770" s="105"/>
      <c r="K770" s="105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105"/>
      <c r="J771" s="105"/>
      <c r="K771" s="105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105"/>
      <c r="J772" s="105"/>
      <c r="K772" s="105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105"/>
      <c r="J773" s="105"/>
      <c r="K773" s="105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105"/>
      <c r="J774" s="105"/>
      <c r="K774" s="105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105"/>
      <c r="J775" s="105"/>
      <c r="K775" s="105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105"/>
      <c r="J776" s="105"/>
      <c r="K776" s="105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105"/>
      <c r="J777" s="105"/>
      <c r="K777" s="105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105"/>
      <c r="J778" s="105"/>
      <c r="K778" s="105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105"/>
      <c r="J779" s="105"/>
      <c r="K779" s="105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105"/>
      <c r="J780" s="105"/>
      <c r="K780" s="105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105"/>
      <c r="J781" s="105"/>
      <c r="K781" s="105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105"/>
      <c r="J782" s="105"/>
      <c r="K782" s="105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105"/>
      <c r="J783" s="105"/>
      <c r="K783" s="105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105"/>
      <c r="J784" s="105"/>
      <c r="K784" s="105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105"/>
      <c r="J785" s="105"/>
      <c r="K785" s="105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105"/>
      <c r="J786" s="105"/>
      <c r="K786" s="105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105"/>
      <c r="J787" s="105"/>
      <c r="K787" s="105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105"/>
      <c r="J788" s="105"/>
      <c r="K788" s="105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105"/>
      <c r="J789" s="105"/>
      <c r="K789" s="105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105"/>
      <c r="J790" s="105"/>
      <c r="K790" s="105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105"/>
      <c r="J791" s="105"/>
      <c r="K791" s="105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105"/>
      <c r="J792" s="105"/>
      <c r="K792" s="105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105"/>
      <c r="J793" s="105"/>
      <c r="K793" s="105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105"/>
      <c r="J794" s="105"/>
      <c r="K794" s="105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105"/>
      <c r="J795" s="105"/>
      <c r="K795" s="105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105"/>
      <c r="J796" s="105"/>
      <c r="K796" s="105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105"/>
      <c r="J797" s="105"/>
      <c r="K797" s="105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105"/>
      <c r="J798" s="105"/>
      <c r="K798" s="105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105"/>
      <c r="J799" s="105"/>
      <c r="K799" s="105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105"/>
      <c r="J800" s="105"/>
      <c r="K800" s="105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105"/>
      <c r="J801" s="105"/>
      <c r="K801" s="105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105"/>
      <c r="J802" s="105"/>
      <c r="K802" s="105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105"/>
      <c r="J803" s="105"/>
      <c r="K803" s="105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105"/>
      <c r="J804" s="105"/>
      <c r="K804" s="105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105"/>
      <c r="J805" s="105"/>
      <c r="K805" s="105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105"/>
      <c r="J806" s="105"/>
      <c r="K806" s="105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105"/>
      <c r="J807" s="105"/>
      <c r="K807" s="105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105"/>
      <c r="J808" s="105"/>
      <c r="K808" s="105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105"/>
      <c r="J809" s="105"/>
      <c r="K809" s="105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105"/>
      <c r="J810" s="105"/>
      <c r="K810" s="105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105"/>
      <c r="J811" s="105"/>
      <c r="K811" s="105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105"/>
      <c r="J812" s="105"/>
      <c r="K812" s="105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105"/>
      <c r="J813" s="105"/>
      <c r="K813" s="105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105"/>
      <c r="J814" s="105"/>
      <c r="K814" s="105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105"/>
      <c r="J815" s="105"/>
      <c r="K815" s="105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105"/>
      <c r="J816" s="105"/>
      <c r="K816" s="105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105"/>
      <c r="J817" s="105"/>
      <c r="K817" s="105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105"/>
      <c r="J818" s="105"/>
      <c r="K818" s="105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105"/>
      <c r="J819" s="105"/>
      <c r="K819" s="105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105"/>
      <c r="J820" s="105"/>
      <c r="K820" s="105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105"/>
      <c r="J821" s="105"/>
      <c r="K821" s="105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105"/>
      <c r="J822" s="105"/>
      <c r="K822" s="105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105"/>
      <c r="J823" s="105"/>
      <c r="K823" s="105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105"/>
      <c r="J824" s="105"/>
      <c r="K824" s="105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105"/>
      <c r="J825" s="105"/>
      <c r="K825" s="105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105"/>
      <c r="J826" s="105"/>
      <c r="K826" s="105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105"/>
      <c r="J827" s="105"/>
      <c r="K827" s="105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105"/>
      <c r="J828" s="105"/>
      <c r="K828" s="105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105"/>
      <c r="J829" s="105"/>
      <c r="K829" s="105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105"/>
      <c r="J830" s="105"/>
      <c r="K830" s="105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105"/>
      <c r="J831" s="105"/>
      <c r="K831" s="105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105"/>
      <c r="J832" s="105"/>
      <c r="K832" s="105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105"/>
      <c r="J833" s="105"/>
      <c r="K833" s="105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105"/>
      <c r="J834" s="105"/>
      <c r="K834" s="105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105"/>
      <c r="J835" s="105"/>
      <c r="K835" s="105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105"/>
      <c r="J836" s="105"/>
      <c r="K836" s="105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105"/>
      <c r="J837" s="105"/>
      <c r="K837" s="105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105"/>
      <c r="J838" s="105"/>
      <c r="K838" s="105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105"/>
      <c r="J839" s="105"/>
      <c r="K839" s="105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105"/>
      <c r="J840" s="105"/>
      <c r="K840" s="105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105"/>
      <c r="J841" s="105"/>
      <c r="K841" s="105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105"/>
      <c r="J842" s="105"/>
      <c r="K842" s="105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105"/>
      <c r="J843" s="105"/>
      <c r="K843" s="105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105"/>
      <c r="J844" s="105"/>
      <c r="K844" s="105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105"/>
      <c r="J845" s="105"/>
      <c r="K845" s="105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105"/>
      <c r="J846" s="105"/>
      <c r="K846" s="105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105"/>
      <c r="J847" s="105"/>
      <c r="K847" s="105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105"/>
      <c r="J848" s="105"/>
      <c r="K848" s="105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105"/>
      <c r="J849" s="105"/>
      <c r="K849" s="105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105"/>
      <c r="J850" s="105"/>
      <c r="K850" s="105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105"/>
      <c r="J851" s="105"/>
      <c r="K851" s="105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105"/>
      <c r="J852" s="105"/>
      <c r="K852" s="105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105"/>
      <c r="J853" s="105"/>
      <c r="K853" s="105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105"/>
      <c r="J854" s="105"/>
      <c r="K854" s="105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105"/>
      <c r="J855" s="105"/>
      <c r="K855" s="105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105"/>
      <c r="J856" s="105"/>
      <c r="K856" s="105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105"/>
      <c r="J857" s="105"/>
      <c r="K857" s="105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105"/>
      <c r="J858" s="105"/>
      <c r="K858" s="105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105"/>
      <c r="J859" s="105"/>
      <c r="K859" s="105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105"/>
      <c r="J860" s="105"/>
      <c r="K860" s="105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105"/>
      <c r="J861" s="105"/>
      <c r="K861" s="105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105"/>
      <c r="J862" s="105"/>
      <c r="K862" s="105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105"/>
      <c r="J863" s="105"/>
      <c r="K863" s="105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105"/>
      <c r="J864" s="105"/>
      <c r="K864" s="105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105"/>
      <c r="J865" s="105"/>
      <c r="K865" s="105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105"/>
      <c r="J866" s="105"/>
      <c r="K866" s="105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105"/>
      <c r="J867" s="105"/>
      <c r="K867" s="105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105"/>
      <c r="J868" s="105"/>
      <c r="K868" s="105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105"/>
      <c r="J869" s="105"/>
      <c r="K869" s="105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105"/>
      <c r="J870" s="105"/>
      <c r="K870" s="105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105"/>
      <c r="J871" s="105"/>
      <c r="K871" s="105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105"/>
      <c r="J872" s="105"/>
      <c r="K872" s="105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105"/>
      <c r="J873" s="105"/>
      <c r="K873" s="105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105"/>
      <c r="J874" s="105"/>
      <c r="K874" s="105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105"/>
      <c r="J875" s="105"/>
      <c r="K875" s="105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105"/>
      <c r="J876" s="105"/>
      <c r="K876" s="105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105"/>
      <c r="J877" s="105"/>
      <c r="K877" s="105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105"/>
      <c r="J878" s="105"/>
      <c r="K878" s="105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105"/>
      <c r="J879" s="105"/>
      <c r="K879" s="105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105"/>
      <c r="J880" s="105"/>
      <c r="K880" s="105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105"/>
      <c r="J881" s="105"/>
      <c r="K881" s="105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105"/>
      <c r="J882" s="105"/>
      <c r="K882" s="105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105"/>
      <c r="J883" s="105"/>
      <c r="K883" s="105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105"/>
      <c r="J884" s="105"/>
      <c r="K884" s="105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105"/>
      <c r="J885" s="105"/>
      <c r="K885" s="105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105"/>
      <c r="J886" s="105"/>
      <c r="K886" s="105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105"/>
      <c r="J887" s="105"/>
      <c r="K887" s="105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105"/>
      <c r="J888" s="105"/>
      <c r="K888" s="105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105"/>
      <c r="J889" s="105"/>
      <c r="K889" s="105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105"/>
      <c r="J890" s="105"/>
      <c r="K890" s="105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105"/>
      <c r="J891" s="105"/>
      <c r="K891" s="105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105"/>
      <c r="J892" s="105"/>
      <c r="K892" s="105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105"/>
      <c r="J893" s="105"/>
      <c r="K893" s="105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105"/>
      <c r="J894" s="105"/>
      <c r="K894" s="105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105"/>
      <c r="J895" s="105"/>
      <c r="K895" s="105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105"/>
      <c r="J896" s="105"/>
      <c r="K896" s="105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105"/>
      <c r="J897" s="105"/>
      <c r="K897" s="105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105"/>
      <c r="J898" s="105"/>
      <c r="K898" s="105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105"/>
      <c r="J899" s="105"/>
      <c r="K899" s="105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105"/>
      <c r="J900" s="105"/>
      <c r="K900" s="105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105"/>
      <c r="J901" s="105"/>
      <c r="K901" s="105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105"/>
      <c r="J902" s="105"/>
      <c r="K902" s="105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105"/>
      <c r="J903" s="105"/>
      <c r="K903" s="105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105"/>
      <c r="J904" s="105"/>
      <c r="K904" s="105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105"/>
      <c r="J905" s="105"/>
      <c r="K905" s="105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105"/>
      <c r="J906" s="105"/>
      <c r="K906" s="105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105"/>
      <c r="J907" s="105"/>
      <c r="K907" s="105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105"/>
      <c r="J908" s="105"/>
      <c r="K908" s="105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105"/>
      <c r="J909" s="105"/>
      <c r="K909" s="105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105"/>
      <c r="J910" s="105"/>
      <c r="K910" s="105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105"/>
      <c r="J911" s="105"/>
      <c r="K911" s="105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105"/>
      <c r="J912" s="105"/>
      <c r="K912" s="105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105"/>
      <c r="J913" s="105"/>
      <c r="K913" s="105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105"/>
      <c r="J914" s="105"/>
      <c r="K914" s="105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105"/>
      <c r="J915" s="105"/>
      <c r="K915" s="105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105"/>
      <c r="J916" s="105"/>
      <c r="K916" s="105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105"/>
      <c r="J917" s="105"/>
      <c r="K917" s="105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105"/>
      <c r="J918" s="105"/>
      <c r="K918" s="105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105"/>
      <c r="J919" s="105"/>
      <c r="K919" s="105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105"/>
      <c r="J920" s="105"/>
      <c r="K920" s="105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105"/>
      <c r="J921" s="105"/>
      <c r="K921" s="105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105"/>
      <c r="J922" s="105"/>
      <c r="K922" s="105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105"/>
      <c r="J923" s="105"/>
      <c r="K923" s="105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105"/>
      <c r="J924" s="105"/>
      <c r="K924" s="105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105"/>
      <c r="J925" s="105"/>
      <c r="K925" s="105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105"/>
      <c r="J926" s="105"/>
      <c r="K926" s="105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105"/>
      <c r="J927" s="105"/>
      <c r="K927" s="105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105"/>
      <c r="J928" s="105"/>
      <c r="K928" s="105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105"/>
      <c r="J929" s="105"/>
      <c r="K929" s="105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105"/>
      <c r="J930" s="105"/>
      <c r="K930" s="105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105"/>
      <c r="J931" s="105"/>
      <c r="K931" s="105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105"/>
      <c r="J932" s="105"/>
      <c r="K932" s="105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105"/>
      <c r="J933" s="105"/>
      <c r="K933" s="105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105"/>
      <c r="J934" s="105"/>
      <c r="K934" s="105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105"/>
      <c r="J935" s="105"/>
      <c r="K935" s="105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105"/>
      <c r="J936" s="105"/>
      <c r="K936" s="105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105"/>
      <c r="J937" s="105"/>
      <c r="K937" s="105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105"/>
      <c r="J938" s="105"/>
      <c r="K938" s="105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105"/>
      <c r="J939" s="105"/>
      <c r="K939" s="105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105"/>
      <c r="J940" s="105"/>
      <c r="K940" s="105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105"/>
      <c r="J941" s="105"/>
      <c r="K941" s="105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105"/>
      <c r="J942" s="105"/>
      <c r="K942" s="105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105"/>
      <c r="J943" s="105"/>
      <c r="K943" s="105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105"/>
      <c r="J944" s="105"/>
      <c r="K944" s="105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105"/>
      <c r="J945" s="105"/>
      <c r="K945" s="105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105"/>
      <c r="J946" s="105"/>
      <c r="K946" s="105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105"/>
      <c r="J947" s="105"/>
      <c r="K947" s="105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105"/>
      <c r="J948" s="105"/>
      <c r="K948" s="105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105"/>
      <c r="J949" s="105"/>
      <c r="K949" s="105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105"/>
      <c r="J950" s="105"/>
      <c r="K950" s="105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105"/>
      <c r="J951" s="105"/>
      <c r="K951" s="105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105"/>
      <c r="J952" s="105"/>
      <c r="K952" s="105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105"/>
      <c r="J953" s="105"/>
      <c r="K953" s="105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105"/>
      <c r="J954" s="105"/>
      <c r="K954" s="105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105"/>
      <c r="J955" s="105"/>
      <c r="K955" s="105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105"/>
      <c r="J956" s="105"/>
      <c r="K956" s="105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105"/>
      <c r="J957" s="105"/>
      <c r="K957" s="105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105"/>
      <c r="J958" s="105"/>
      <c r="K958" s="105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105"/>
      <c r="J959" s="105"/>
      <c r="K959" s="105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105"/>
      <c r="J960" s="105"/>
      <c r="K960" s="105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105"/>
      <c r="J961" s="105"/>
      <c r="K961" s="105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105"/>
      <c r="J962" s="105"/>
      <c r="K962" s="105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105"/>
      <c r="J963" s="105"/>
      <c r="K963" s="105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105"/>
      <c r="J964" s="105"/>
      <c r="K964" s="105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105"/>
      <c r="J965" s="105"/>
      <c r="K965" s="105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105"/>
      <c r="J966" s="105"/>
      <c r="K966" s="105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105"/>
      <c r="J967" s="105"/>
      <c r="K967" s="105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105"/>
      <c r="J968" s="105"/>
      <c r="K968" s="105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105"/>
      <c r="J969" s="105"/>
      <c r="K969" s="105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105"/>
      <c r="J970" s="105"/>
      <c r="K970" s="105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105"/>
      <c r="J971" s="105"/>
      <c r="K971" s="105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105"/>
      <c r="J972" s="105"/>
      <c r="K972" s="105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105"/>
      <c r="J973" s="105"/>
      <c r="K973" s="105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105"/>
      <c r="J974" s="105"/>
      <c r="K974" s="105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105"/>
      <c r="J975" s="105"/>
      <c r="K975" s="105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105"/>
      <c r="J976" s="105"/>
      <c r="K976" s="105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105"/>
      <c r="J977" s="105"/>
      <c r="K977" s="105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105"/>
      <c r="J978" s="105"/>
      <c r="K978" s="105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105"/>
      <c r="J979" s="105"/>
      <c r="K979" s="105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105"/>
      <c r="J980" s="105"/>
      <c r="K980" s="105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105"/>
      <c r="J981" s="105"/>
      <c r="K981" s="105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105"/>
      <c r="J982" s="105"/>
      <c r="K982" s="105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105"/>
      <c r="J983" s="105"/>
      <c r="K983" s="105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105"/>
      <c r="J984" s="105"/>
      <c r="K984" s="105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105"/>
      <c r="J985" s="105"/>
      <c r="K985" s="105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105"/>
      <c r="J986" s="105"/>
      <c r="K986" s="105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105"/>
      <c r="J987" s="105"/>
      <c r="K987" s="105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105"/>
      <c r="J988" s="105"/>
      <c r="K988" s="105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105"/>
      <c r="J989" s="105"/>
      <c r="K989" s="105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105"/>
      <c r="J990" s="105"/>
      <c r="K990" s="105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105"/>
      <c r="J991" s="105"/>
      <c r="K991" s="105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105"/>
      <c r="J992" s="105"/>
      <c r="K992" s="105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105"/>
      <c r="J993" s="105"/>
      <c r="K993" s="105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105"/>
      <c r="J994" s="105"/>
      <c r="K994" s="105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105"/>
      <c r="J995" s="105"/>
      <c r="K995" s="105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105"/>
      <c r="J996" s="105"/>
      <c r="K996" s="105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105"/>
      <c r="J997" s="105"/>
      <c r="K997" s="105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105"/>
      <c r="J998" s="105"/>
      <c r="K998" s="105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105"/>
      <c r="J999" s="105"/>
      <c r="K999" s="105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105"/>
      <c r="J1000" s="105"/>
      <c r="K1000" s="105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105"/>
      <c r="J1001" s="105"/>
      <c r="K1001" s="105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7">
    <mergeCell ref="A1:K1"/>
    <mergeCell ref="A20:H20"/>
    <mergeCell ref="A44:H44"/>
    <mergeCell ref="A79:E79"/>
    <mergeCell ref="B86:D86"/>
    <mergeCell ref="B87:D87"/>
    <mergeCell ref="B88:D88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31.0"/>
    <col customWidth="1" min="3" max="3" width="29.75"/>
    <col customWidth="1" min="4" max="4" width="27.13"/>
    <col customWidth="1" min="5" max="5" width="31.38"/>
    <col customWidth="1" min="6" max="6" width="28.5"/>
    <col customWidth="1" min="7" max="7" width="24.88"/>
    <col customWidth="1" min="8" max="8" width="25.38"/>
    <col customWidth="1" min="9" max="9" width="25.63"/>
    <col customWidth="1" min="10" max="10" width="22.63"/>
    <col customWidth="1" min="11" max="11" width="16.13"/>
    <col customWidth="1" min="12" max="12" width="18.75"/>
    <col customWidth="1" min="14" max="14" width="24.38"/>
  </cols>
  <sheetData>
    <row r="1">
      <c r="A1" s="392" t="s">
        <v>5904</v>
      </c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</row>
    <row r="2">
      <c r="A2" s="394" t="s">
        <v>4</v>
      </c>
      <c r="B2" s="394" t="s">
        <v>123</v>
      </c>
      <c r="C2" s="394" t="s">
        <v>7</v>
      </c>
      <c r="D2" s="394" t="s">
        <v>9</v>
      </c>
      <c r="E2" s="394" t="s">
        <v>10</v>
      </c>
      <c r="F2" s="394" t="s">
        <v>13</v>
      </c>
      <c r="G2" s="64" t="s">
        <v>5905</v>
      </c>
      <c r="H2" s="57" t="s">
        <v>15</v>
      </c>
      <c r="I2" s="57" t="s">
        <v>6</v>
      </c>
      <c r="J2" s="57" t="s">
        <v>8</v>
      </c>
      <c r="K2" s="57" t="s">
        <v>14</v>
      </c>
      <c r="L2" s="57" t="s">
        <v>5906</v>
      </c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</row>
    <row r="3" ht="21.0" customHeight="1">
      <c r="A3" s="269" t="s">
        <v>604</v>
      </c>
      <c r="B3" s="395" t="s">
        <v>5907</v>
      </c>
      <c r="C3" s="395" t="s">
        <v>5908</v>
      </c>
      <c r="D3" s="269" t="s">
        <v>5909</v>
      </c>
      <c r="E3" s="396" t="s">
        <v>5910</v>
      </c>
      <c r="F3" s="377" t="s">
        <v>5911</v>
      </c>
      <c r="G3" s="198" t="s">
        <v>2657</v>
      </c>
      <c r="H3" s="377" t="s">
        <v>5912</v>
      </c>
      <c r="I3" s="269" t="s">
        <v>1366</v>
      </c>
      <c r="J3" s="269" t="s">
        <v>2057</v>
      </c>
      <c r="K3" s="31" t="s">
        <v>3522</v>
      </c>
      <c r="L3" s="31" t="s">
        <v>5913</v>
      </c>
      <c r="M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</row>
    <row r="4">
      <c r="A4" s="269" t="s">
        <v>5914</v>
      </c>
      <c r="B4" s="269" t="s">
        <v>5915</v>
      </c>
      <c r="C4" s="269" t="s">
        <v>5916</v>
      </c>
      <c r="D4" s="269" t="s">
        <v>2239</v>
      </c>
      <c r="E4" s="269" t="s">
        <v>5201</v>
      </c>
      <c r="F4" s="269" t="s">
        <v>1864</v>
      </c>
      <c r="G4" s="198" t="s">
        <v>5917</v>
      </c>
      <c r="H4" s="269" t="s">
        <v>4435</v>
      </c>
      <c r="I4" s="269" t="s">
        <v>5918</v>
      </c>
      <c r="J4" s="269" t="s">
        <v>2061</v>
      </c>
      <c r="K4" s="31" t="s">
        <v>3518</v>
      </c>
      <c r="L4" s="31" t="s">
        <v>5255</v>
      </c>
      <c r="M4" s="393"/>
      <c r="N4" s="31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</row>
    <row r="5" ht="18.75" customHeight="1">
      <c r="A5" s="269" t="s">
        <v>5919</v>
      </c>
      <c r="B5" s="269" t="s">
        <v>5920</v>
      </c>
      <c r="C5" s="269" t="s">
        <v>5921</v>
      </c>
      <c r="D5" s="269" t="s">
        <v>5922</v>
      </c>
      <c r="E5" s="269" t="s">
        <v>5923</v>
      </c>
      <c r="F5" s="269" t="s">
        <v>3315</v>
      </c>
      <c r="G5" s="198" t="s">
        <v>2730</v>
      </c>
      <c r="H5" s="269" t="s">
        <v>4444</v>
      </c>
      <c r="I5" s="269" t="s">
        <v>1336</v>
      </c>
      <c r="J5" s="269" t="s">
        <v>4442</v>
      </c>
      <c r="K5" s="31" t="s">
        <v>3525</v>
      </c>
      <c r="L5" s="31" t="s">
        <v>5924</v>
      </c>
      <c r="M5" s="393"/>
      <c r="O5" s="393"/>
      <c r="P5" s="393"/>
      <c r="Q5" s="393"/>
      <c r="R5" s="393"/>
      <c r="S5" s="393"/>
      <c r="T5" s="393"/>
      <c r="U5" s="393"/>
      <c r="V5" s="393"/>
      <c r="W5" s="393"/>
      <c r="X5" s="393"/>
      <c r="Y5" s="393"/>
      <c r="Z5" s="393"/>
    </row>
    <row r="6">
      <c r="A6" s="269" t="s">
        <v>5925</v>
      </c>
      <c r="B6" s="269" t="s">
        <v>5926</v>
      </c>
      <c r="C6" s="269" t="s">
        <v>5927</v>
      </c>
      <c r="D6" s="269" t="s">
        <v>5928</v>
      </c>
      <c r="E6" s="269" t="s">
        <v>5929</v>
      </c>
      <c r="F6" s="269" t="s">
        <v>5930</v>
      </c>
      <c r="G6" s="198" t="s">
        <v>2739</v>
      </c>
      <c r="H6" s="269" t="s">
        <v>4451</v>
      </c>
      <c r="I6" s="269" t="s">
        <v>5931</v>
      </c>
      <c r="J6" s="269" t="s">
        <v>1560</v>
      </c>
      <c r="K6" s="31" t="s">
        <v>3486</v>
      </c>
      <c r="L6" s="31" t="s">
        <v>5932</v>
      </c>
      <c r="M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</row>
    <row r="7">
      <c r="A7" s="269" t="s">
        <v>5933</v>
      </c>
      <c r="B7" s="269" t="s">
        <v>5934</v>
      </c>
      <c r="C7" s="269" t="s">
        <v>5935</v>
      </c>
      <c r="D7" s="269" t="s">
        <v>5936</v>
      </c>
      <c r="E7" s="269" t="s">
        <v>2473</v>
      </c>
      <c r="F7" s="269" t="s">
        <v>5937</v>
      </c>
      <c r="G7" s="198" t="s">
        <v>5938</v>
      </c>
      <c r="H7" s="269" t="s">
        <v>4461</v>
      </c>
      <c r="I7" s="269" t="s">
        <v>5939</v>
      </c>
      <c r="J7" s="269" t="s">
        <v>5940</v>
      </c>
      <c r="K7" s="31" t="s">
        <v>3528</v>
      </c>
      <c r="L7" s="31" t="s">
        <v>5941</v>
      </c>
      <c r="M7" s="393"/>
      <c r="O7" s="393"/>
      <c r="P7" s="393"/>
      <c r="Q7" s="393"/>
      <c r="R7" s="393"/>
      <c r="S7" s="393"/>
      <c r="T7" s="393"/>
      <c r="U7" s="393"/>
      <c r="V7" s="393"/>
      <c r="W7" s="393"/>
      <c r="X7" s="393"/>
      <c r="Y7" s="393"/>
      <c r="Z7" s="393"/>
    </row>
    <row r="8">
      <c r="A8" s="269" t="s">
        <v>5942</v>
      </c>
      <c r="B8" s="269" t="s">
        <v>5943</v>
      </c>
      <c r="C8" s="269" t="s">
        <v>5944</v>
      </c>
      <c r="D8" s="269" t="s">
        <v>5945</v>
      </c>
      <c r="E8" s="269" t="s">
        <v>5946</v>
      </c>
      <c r="F8" s="269" t="s">
        <v>5947</v>
      </c>
      <c r="G8" s="198" t="s">
        <v>5948</v>
      </c>
      <c r="H8" s="269" t="s">
        <v>4470</v>
      </c>
      <c r="I8" s="269" t="s">
        <v>5949</v>
      </c>
      <c r="J8" s="269" t="s">
        <v>5569</v>
      </c>
      <c r="K8" s="31" t="s">
        <v>3529</v>
      </c>
      <c r="L8" s="31" t="s">
        <v>5950</v>
      </c>
      <c r="M8" s="393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  <c r="Z8" s="393"/>
    </row>
    <row r="9">
      <c r="A9" s="269" t="s">
        <v>595</v>
      </c>
      <c r="B9" s="269" t="s">
        <v>5951</v>
      </c>
      <c r="C9" s="269" t="s">
        <v>5952</v>
      </c>
      <c r="D9" s="395" t="s">
        <v>5953</v>
      </c>
      <c r="E9" s="269" t="s">
        <v>5021</v>
      </c>
      <c r="F9" s="269" t="s">
        <v>5954</v>
      </c>
      <c r="G9" s="198" t="s">
        <v>5279</v>
      </c>
      <c r="H9" s="269" t="s">
        <v>4479</v>
      </c>
      <c r="I9" s="393"/>
      <c r="J9" s="269" t="s">
        <v>5955</v>
      </c>
      <c r="K9" s="31" t="s">
        <v>5956</v>
      </c>
      <c r="L9" s="393"/>
      <c r="M9" s="393"/>
      <c r="O9" s="393"/>
      <c r="P9" s="393"/>
      <c r="Q9" s="393"/>
      <c r="R9" s="393"/>
      <c r="S9" s="393"/>
      <c r="T9" s="393"/>
      <c r="U9" s="393"/>
      <c r="V9" s="393"/>
      <c r="W9" s="393"/>
      <c r="X9" s="393"/>
      <c r="Y9" s="393"/>
      <c r="Z9" s="393"/>
    </row>
    <row r="10">
      <c r="A10" s="269" t="s">
        <v>5957</v>
      </c>
      <c r="B10" s="269" t="s">
        <v>5958</v>
      </c>
      <c r="C10" s="269" t="s">
        <v>5959</v>
      </c>
      <c r="D10" s="269" t="s">
        <v>5960</v>
      </c>
      <c r="E10" s="269" t="s">
        <v>5961</v>
      </c>
      <c r="F10" s="269" t="s">
        <v>5962</v>
      </c>
      <c r="G10" s="198" t="s">
        <v>5963</v>
      </c>
      <c r="H10" s="269" t="s">
        <v>4489</v>
      </c>
      <c r="I10" s="393"/>
      <c r="J10" s="269" t="s">
        <v>5964</v>
      </c>
      <c r="K10" s="31" t="s">
        <v>5965</v>
      </c>
      <c r="L10" s="393"/>
      <c r="M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</row>
    <row r="11">
      <c r="A11" s="269" t="s">
        <v>4501</v>
      </c>
      <c r="B11" s="269" t="s">
        <v>5966</v>
      </c>
      <c r="C11" s="269" t="s">
        <v>5967</v>
      </c>
      <c r="D11" s="269" t="s">
        <v>5968</v>
      </c>
      <c r="E11" s="269" t="s">
        <v>5969</v>
      </c>
      <c r="F11" s="269" t="s">
        <v>3292</v>
      </c>
      <c r="G11" s="198" t="s">
        <v>5970</v>
      </c>
      <c r="H11" s="269" t="s">
        <v>4498</v>
      </c>
      <c r="I11" s="393"/>
      <c r="J11" s="269" t="s">
        <v>5971</v>
      </c>
      <c r="K11" s="31" t="s">
        <v>5972</v>
      </c>
      <c r="L11" s="393"/>
      <c r="M11" s="393"/>
      <c r="O11" s="393"/>
      <c r="P11" s="393"/>
      <c r="Q11" s="393"/>
      <c r="R11" s="393"/>
      <c r="S11" s="393"/>
      <c r="T11" s="393"/>
      <c r="U11" s="393"/>
      <c r="V11" s="393"/>
      <c r="W11" s="393"/>
      <c r="X11" s="393"/>
      <c r="Y11" s="393"/>
      <c r="Z11" s="393"/>
    </row>
    <row r="12">
      <c r="A12" s="269" t="s">
        <v>5973</v>
      </c>
      <c r="B12" s="269" t="s">
        <v>5974</v>
      </c>
      <c r="C12" s="269" t="s">
        <v>5975</v>
      </c>
      <c r="D12" s="269" t="s">
        <v>5976</v>
      </c>
      <c r="E12" s="269" t="s">
        <v>5977</v>
      </c>
      <c r="F12" s="269" t="s">
        <v>5978</v>
      </c>
      <c r="G12" s="198" t="s">
        <v>5979</v>
      </c>
      <c r="H12" s="269" t="s">
        <v>5980</v>
      </c>
      <c r="I12" s="393"/>
      <c r="J12" s="269" t="s">
        <v>5981</v>
      </c>
      <c r="K12" s="31" t="s">
        <v>5982</v>
      </c>
      <c r="L12" s="393"/>
      <c r="M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393"/>
      <c r="Z12" s="393"/>
    </row>
    <row r="13">
      <c r="A13" s="269" t="s">
        <v>5983</v>
      </c>
      <c r="B13" s="269" t="s">
        <v>5984</v>
      </c>
      <c r="D13" s="269" t="s">
        <v>5985</v>
      </c>
      <c r="E13" s="269" t="s">
        <v>5986</v>
      </c>
      <c r="F13" s="269" t="s">
        <v>5987</v>
      </c>
      <c r="G13" s="198" t="s">
        <v>5988</v>
      </c>
      <c r="H13" s="269" t="s">
        <v>4514</v>
      </c>
      <c r="I13" s="393"/>
      <c r="J13" s="269" t="s">
        <v>5989</v>
      </c>
      <c r="L13" s="393"/>
      <c r="M13" s="393"/>
      <c r="O13" s="393"/>
      <c r="P13" s="393"/>
      <c r="Q13" s="393"/>
      <c r="R13" s="393"/>
      <c r="S13" s="393"/>
      <c r="T13" s="393"/>
      <c r="U13" s="393"/>
      <c r="V13" s="393"/>
      <c r="W13" s="393"/>
      <c r="X13" s="393"/>
      <c r="Y13" s="393"/>
      <c r="Z13" s="393"/>
    </row>
    <row r="14">
      <c r="B14" s="269" t="s">
        <v>5990</v>
      </c>
      <c r="C14" s="393"/>
      <c r="D14" s="269" t="s">
        <v>5991</v>
      </c>
      <c r="E14" s="269" t="s">
        <v>5992</v>
      </c>
      <c r="F14" s="269" t="s">
        <v>5993</v>
      </c>
      <c r="G14" s="198" t="s">
        <v>5994</v>
      </c>
      <c r="H14" s="269" t="s">
        <v>4522</v>
      </c>
      <c r="I14" s="393"/>
      <c r="J14" s="269" t="s">
        <v>5995</v>
      </c>
      <c r="L14" s="393"/>
      <c r="M14" s="393"/>
      <c r="O14" s="393"/>
      <c r="P14" s="393"/>
      <c r="Q14" s="393"/>
      <c r="R14" s="393"/>
      <c r="S14" s="393"/>
      <c r="T14" s="393"/>
      <c r="U14" s="393"/>
      <c r="V14" s="393"/>
      <c r="W14" s="393"/>
      <c r="X14" s="393"/>
      <c r="Y14" s="393"/>
      <c r="Z14" s="393"/>
    </row>
    <row r="15">
      <c r="B15" s="269" t="s">
        <v>5996</v>
      </c>
      <c r="C15" s="393"/>
      <c r="D15" s="269" t="s">
        <v>5997</v>
      </c>
      <c r="E15" s="269" t="s">
        <v>5998</v>
      </c>
      <c r="F15" s="269" t="s">
        <v>5999</v>
      </c>
      <c r="G15" s="198" t="s">
        <v>4529</v>
      </c>
      <c r="H15" s="269" t="s">
        <v>4530</v>
      </c>
      <c r="I15" s="393"/>
      <c r="J15" s="269" t="s">
        <v>6000</v>
      </c>
      <c r="L15" s="393"/>
      <c r="M15" s="393"/>
      <c r="O15" s="393"/>
      <c r="P15" s="393"/>
      <c r="Q15" s="393"/>
      <c r="R15" s="393"/>
      <c r="S15" s="393"/>
      <c r="T15" s="393"/>
      <c r="U15" s="393"/>
      <c r="V15" s="393"/>
      <c r="W15" s="393"/>
      <c r="X15" s="393"/>
      <c r="Y15" s="393"/>
      <c r="Z15" s="393"/>
    </row>
    <row r="16">
      <c r="B16" s="269" t="s">
        <v>6001</v>
      </c>
      <c r="C16" s="393"/>
      <c r="D16" s="269" t="s">
        <v>6002</v>
      </c>
      <c r="E16" s="269" t="s">
        <v>6003</v>
      </c>
      <c r="F16" s="269" t="s">
        <v>6004</v>
      </c>
      <c r="G16" s="198" t="s">
        <v>6005</v>
      </c>
      <c r="H16" s="269" t="s">
        <v>4537</v>
      </c>
      <c r="I16" s="393"/>
      <c r="J16" s="269" t="s">
        <v>6006</v>
      </c>
      <c r="L16" s="393"/>
      <c r="M16" s="393"/>
      <c r="O16" s="393"/>
      <c r="P16" s="393"/>
      <c r="Q16" s="393"/>
      <c r="R16" s="393"/>
      <c r="S16" s="393"/>
      <c r="T16" s="393"/>
      <c r="U16" s="393"/>
      <c r="V16" s="393"/>
      <c r="W16" s="393"/>
      <c r="X16" s="393"/>
      <c r="Y16" s="393"/>
      <c r="Z16" s="393"/>
    </row>
    <row r="17">
      <c r="B17" s="269" t="s">
        <v>6007</v>
      </c>
      <c r="C17" s="393"/>
      <c r="D17" s="269" t="s">
        <v>6008</v>
      </c>
      <c r="E17" s="269" t="s">
        <v>6009</v>
      </c>
      <c r="F17" s="393"/>
      <c r="G17" s="198" t="s">
        <v>6010</v>
      </c>
      <c r="H17" s="269" t="s">
        <v>4543</v>
      </c>
      <c r="I17" s="393"/>
      <c r="J17" s="269" t="s">
        <v>6011</v>
      </c>
      <c r="L17" s="393"/>
      <c r="M17" s="393"/>
      <c r="O17" s="393"/>
      <c r="P17" s="393"/>
      <c r="Q17" s="393"/>
      <c r="R17" s="393"/>
      <c r="S17" s="393"/>
      <c r="T17" s="393"/>
      <c r="U17" s="393"/>
      <c r="V17" s="393"/>
      <c r="W17" s="393"/>
      <c r="X17" s="393"/>
      <c r="Y17" s="393"/>
      <c r="Z17" s="393"/>
    </row>
    <row r="18">
      <c r="A18" s="393"/>
      <c r="B18" s="269" t="s">
        <v>6012</v>
      </c>
      <c r="C18" s="393"/>
      <c r="D18" s="269" t="s">
        <v>6013</v>
      </c>
      <c r="E18" s="269" t="s">
        <v>6014</v>
      </c>
      <c r="F18" s="393"/>
      <c r="G18" s="198" t="s">
        <v>6015</v>
      </c>
      <c r="H18" s="269" t="s">
        <v>4547</v>
      </c>
      <c r="I18" s="393"/>
      <c r="J18" s="393"/>
      <c r="L18" s="393"/>
      <c r="M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  <c r="Z18" s="393"/>
    </row>
    <row r="19">
      <c r="A19" s="393"/>
      <c r="B19" s="269" t="s">
        <v>6016</v>
      </c>
      <c r="C19" s="393"/>
      <c r="D19" s="269" t="s">
        <v>6017</v>
      </c>
      <c r="E19" s="269" t="s">
        <v>6018</v>
      </c>
      <c r="F19" s="393"/>
      <c r="H19" s="269" t="s">
        <v>6019</v>
      </c>
      <c r="I19" s="393"/>
      <c r="J19" s="393"/>
      <c r="L19" s="393"/>
      <c r="M19" s="393"/>
      <c r="O19" s="393"/>
      <c r="P19" s="393"/>
      <c r="Q19" s="393"/>
      <c r="R19" s="393"/>
      <c r="S19" s="393"/>
      <c r="T19" s="393"/>
      <c r="U19" s="393"/>
      <c r="V19" s="393"/>
      <c r="W19" s="393"/>
      <c r="X19" s="393"/>
      <c r="Y19" s="393"/>
      <c r="Z19" s="393"/>
    </row>
    <row r="20">
      <c r="A20" s="393"/>
      <c r="B20" s="269" t="s">
        <v>6020</v>
      </c>
      <c r="C20" s="393"/>
      <c r="D20" s="269" t="s">
        <v>6021</v>
      </c>
      <c r="E20" s="269" t="s">
        <v>6022</v>
      </c>
      <c r="F20" s="393"/>
      <c r="G20" s="393"/>
      <c r="H20" s="393"/>
      <c r="I20" s="393"/>
      <c r="J20" s="393"/>
      <c r="K20" s="393"/>
      <c r="L20" s="393"/>
      <c r="M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93"/>
    </row>
    <row r="21">
      <c r="A21" s="393"/>
      <c r="B21" s="269" t="s">
        <v>6023</v>
      </c>
      <c r="C21" s="393"/>
      <c r="D21" s="393"/>
      <c r="E21" s="269" t="s">
        <v>6024</v>
      </c>
      <c r="F21" s="393"/>
      <c r="G21" s="393"/>
      <c r="H21" s="393"/>
      <c r="I21" s="393"/>
      <c r="J21" s="393"/>
      <c r="K21" s="393"/>
      <c r="L21" s="393"/>
      <c r="M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393"/>
    </row>
    <row r="22">
      <c r="A22" s="393"/>
      <c r="B22" s="269" t="s">
        <v>6025</v>
      </c>
      <c r="C22" s="393"/>
      <c r="D22" s="393"/>
      <c r="E22" s="269" t="s">
        <v>6026</v>
      </c>
      <c r="F22" s="393"/>
      <c r="G22" s="393"/>
      <c r="H22" s="393"/>
      <c r="I22" s="393"/>
      <c r="J22" s="393"/>
      <c r="K22" s="393"/>
      <c r="L22" s="393"/>
      <c r="M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393"/>
    </row>
    <row r="23">
      <c r="A23" s="393"/>
      <c r="B23" s="269" t="s">
        <v>6027</v>
      </c>
      <c r="C23" s="393"/>
      <c r="D23" s="393"/>
      <c r="E23" s="269" t="s">
        <v>6028</v>
      </c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3"/>
      <c r="Q23" s="393"/>
      <c r="R23" s="393"/>
      <c r="S23" s="393"/>
      <c r="T23" s="393"/>
      <c r="U23" s="393"/>
      <c r="V23" s="393"/>
      <c r="W23" s="393"/>
      <c r="X23" s="393"/>
      <c r="Y23" s="393"/>
      <c r="Z23" s="393"/>
    </row>
    <row r="24">
      <c r="A24" s="393"/>
      <c r="B24" s="269" t="s">
        <v>6029</v>
      </c>
      <c r="C24" s="393"/>
      <c r="D24" s="393"/>
      <c r="E24" s="269" t="s">
        <v>6030</v>
      </c>
      <c r="F24" s="393"/>
      <c r="G24" s="393"/>
      <c r="H24" s="393"/>
      <c r="I24" s="393"/>
      <c r="J24" s="393"/>
      <c r="K24" s="393"/>
      <c r="L24" s="393"/>
      <c r="M24" s="393"/>
      <c r="N24" s="393"/>
      <c r="O24" s="393"/>
      <c r="P24" s="393"/>
      <c r="Q24" s="393"/>
      <c r="R24" s="393"/>
      <c r="S24" s="393"/>
      <c r="T24" s="393"/>
      <c r="U24" s="393"/>
      <c r="V24" s="393"/>
      <c r="W24" s="393"/>
      <c r="X24" s="393"/>
      <c r="Y24" s="393"/>
      <c r="Z24" s="393"/>
    </row>
    <row r="25">
      <c r="A25" s="393"/>
      <c r="C25" s="393"/>
      <c r="D25" s="393"/>
      <c r="E25" s="269" t="s">
        <v>6031</v>
      </c>
      <c r="F25" s="393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</row>
    <row r="26">
      <c r="A26" s="393"/>
      <c r="C26" s="393"/>
      <c r="D26" s="393"/>
      <c r="E26" s="269" t="s">
        <v>6032</v>
      </c>
      <c r="F26" s="393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  <c r="Z26" s="393"/>
    </row>
    <row r="27">
      <c r="A27" s="393"/>
      <c r="B27" s="393"/>
      <c r="C27" s="393"/>
      <c r="D27" s="393"/>
      <c r="E27" s="269" t="s">
        <v>6033</v>
      </c>
      <c r="F27" s="393"/>
      <c r="G27" s="393"/>
      <c r="H27" s="393"/>
      <c r="I27" s="393"/>
      <c r="J27" s="393"/>
      <c r="K27" s="393"/>
      <c r="L27" s="393"/>
      <c r="M27" s="393"/>
      <c r="N27" s="393"/>
      <c r="O27" s="393"/>
      <c r="P27" s="393"/>
      <c r="Q27" s="393"/>
      <c r="R27" s="393"/>
      <c r="S27" s="393"/>
      <c r="T27" s="393"/>
      <c r="U27" s="393"/>
      <c r="V27" s="393"/>
      <c r="W27" s="393"/>
      <c r="X27" s="393"/>
      <c r="Y27" s="393"/>
      <c r="Z27" s="393"/>
    </row>
    <row r="28">
      <c r="A28" s="393"/>
      <c r="B28" s="393"/>
      <c r="C28" s="393"/>
      <c r="D28" s="393"/>
      <c r="E28" s="269" t="s">
        <v>6034</v>
      </c>
      <c r="F28" s="393"/>
      <c r="G28" s="393"/>
      <c r="H28" s="393"/>
      <c r="I28" s="393"/>
      <c r="J28" s="393"/>
      <c r="K28" s="393"/>
      <c r="L28" s="393"/>
      <c r="M28" s="393"/>
      <c r="N28" s="393"/>
      <c r="O28" s="393"/>
      <c r="P28" s="393"/>
      <c r="Q28" s="393"/>
      <c r="R28" s="393"/>
      <c r="S28" s="393"/>
      <c r="T28" s="393"/>
      <c r="U28" s="393"/>
      <c r="V28" s="393"/>
      <c r="W28" s="393"/>
      <c r="X28" s="393"/>
      <c r="Y28" s="393"/>
      <c r="Z28" s="393"/>
    </row>
    <row r="29">
      <c r="A29" s="393"/>
      <c r="B29" s="393"/>
      <c r="C29" s="393"/>
      <c r="D29" s="393"/>
      <c r="E29" s="393"/>
      <c r="F29" s="393"/>
      <c r="G29" s="393"/>
      <c r="H29" s="393"/>
      <c r="I29" s="393"/>
      <c r="J29" s="393"/>
      <c r="K29" s="393"/>
      <c r="L29" s="393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  <c r="Z29" s="393"/>
    </row>
    <row r="30">
      <c r="A30" s="393"/>
      <c r="B30" s="393"/>
      <c r="C30" s="393"/>
      <c r="D30" s="393"/>
      <c r="E30" s="393"/>
      <c r="F30" s="393"/>
      <c r="G30" s="393"/>
      <c r="H30" s="393"/>
      <c r="I30" s="393"/>
      <c r="J30" s="393"/>
      <c r="K30" s="393"/>
      <c r="L30" s="393"/>
      <c r="M30" s="393"/>
      <c r="N30" s="393"/>
      <c r="O30" s="393"/>
      <c r="P30" s="393"/>
      <c r="Q30" s="393"/>
      <c r="R30" s="393"/>
      <c r="S30" s="393"/>
      <c r="T30" s="393"/>
      <c r="U30" s="393"/>
      <c r="V30" s="393"/>
      <c r="W30" s="393"/>
      <c r="X30" s="393"/>
      <c r="Y30" s="393"/>
      <c r="Z30" s="393"/>
    </row>
    <row r="31">
      <c r="A31" s="393"/>
      <c r="B31" s="393"/>
      <c r="C31" s="393"/>
      <c r="D31" s="393"/>
      <c r="E31" s="393"/>
      <c r="F31" s="393"/>
      <c r="G31" s="393"/>
      <c r="H31" s="393"/>
      <c r="I31" s="393"/>
      <c r="J31" s="393"/>
      <c r="K31" s="393"/>
      <c r="L31" s="393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393"/>
    </row>
    <row r="32">
      <c r="A32" s="393"/>
      <c r="B32" s="393"/>
      <c r="C32" s="393"/>
      <c r="D32" s="393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</row>
    <row r="33">
      <c r="A33" s="392" t="s">
        <v>6035</v>
      </c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393"/>
    </row>
    <row r="34">
      <c r="A34" s="95" t="s">
        <v>829</v>
      </c>
      <c r="B34" s="95" t="s">
        <v>830</v>
      </c>
      <c r="C34" s="95" t="s">
        <v>831</v>
      </c>
      <c r="D34" s="95" t="s">
        <v>832</v>
      </c>
      <c r="E34" s="95" t="s">
        <v>833</v>
      </c>
      <c r="F34" s="95" t="s">
        <v>834</v>
      </c>
      <c r="G34" s="95" t="s">
        <v>835</v>
      </c>
      <c r="H34" s="95" t="s">
        <v>836</v>
      </c>
      <c r="I34" s="95" t="s">
        <v>837</v>
      </c>
      <c r="J34" s="95" t="s">
        <v>838</v>
      </c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</row>
    <row r="35">
      <c r="A35" s="31" t="s">
        <v>6036</v>
      </c>
      <c r="B35" s="31" t="s">
        <v>6037</v>
      </c>
      <c r="C35" s="31" t="s">
        <v>6037</v>
      </c>
      <c r="D35" s="31" t="s">
        <v>6037</v>
      </c>
      <c r="E35" s="31" t="s">
        <v>6038</v>
      </c>
      <c r="F35" s="31" t="s">
        <v>6036</v>
      </c>
      <c r="G35" s="31" t="s">
        <v>6039</v>
      </c>
      <c r="H35" s="31" t="s">
        <v>6037</v>
      </c>
      <c r="I35" s="31" t="s">
        <v>6037</v>
      </c>
      <c r="J35" s="31" t="s">
        <v>6037</v>
      </c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</row>
    <row r="36">
      <c r="A36" s="269" t="s">
        <v>6040</v>
      </c>
      <c r="B36" s="269" t="s">
        <v>6041</v>
      </c>
      <c r="C36" s="269" t="s">
        <v>6042</v>
      </c>
      <c r="D36" s="269" t="s">
        <v>6043</v>
      </c>
      <c r="E36" s="269" t="s">
        <v>6044</v>
      </c>
      <c r="F36" s="269" t="s">
        <v>6045</v>
      </c>
      <c r="G36" s="269" t="s">
        <v>6046</v>
      </c>
      <c r="H36" s="269" t="s">
        <v>6047</v>
      </c>
      <c r="I36" s="269" t="s">
        <v>6048</v>
      </c>
      <c r="J36" s="269" t="s">
        <v>6049</v>
      </c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</row>
    <row r="37">
      <c r="A37" s="269" t="s">
        <v>6050</v>
      </c>
      <c r="B37" s="269" t="s">
        <v>6051</v>
      </c>
      <c r="C37" s="269" t="s">
        <v>6052</v>
      </c>
      <c r="D37" s="269" t="s">
        <v>6053</v>
      </c>
      <c r="E37" s="269" t="s">
        <v>6054</v>
      </c>
      <c r="F37" s="269" t="s">
        <v>6055</v>
      </c>
      <c r="G37" s="269" t="s">
        <v>6056</v>
      </c>
      <c r="H37" s="269" t="s">
        <v>6057</v>
      </c>
      <c r="I37" s="269" t="s">
        <v>6058</v>
      </c>
      <c r="J37" s="269" t="s">
        <v>6059</v>
      </c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</row>
    <row r="38">
      <c r="A38" s="269" t="s">
        <v>6060</v>
      </c>
      <c r="B38" s="269" t="s">
        <v>6061</v>
      </c>
      <c r="C38" s="269" t="s">
        <v>6062</v>
      </c>
      <c r="D38" s="269" t="s">
        <v>6063</v>
      </c>
      <c r="E38" s="269" t="s">
        <v>6064</v>
      </c>
      <c r="F38" s="269" t="s">
        <v>4580</v>
      </c>
      <c r="G38" s="269" t="s">
        <v>6065</v>
      </c>
      <c r="H38" s="269" t="s">
        <v>6066</v>
      </c>
      <c r="I38" s="269" t="s">
        <v>6067</v>
      </c>
      <c r="J38" s="269" t="s">
        <v>6068</v>
      </c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393"/>
      <c r="Z38" s="393"/>
    </row>
    <row r="39">
      <c r="A39" s="269" t="s">
        <v>6069</v>
      </c>
      <c r="B39" s="269" t="s">
        <v>6070</v>
      </c>
      <c r="C39" s="269" t="s">
        <v>6071</v>
      </c>
      <c r="D39" s="269" t="s">
        <v>6072</v>
      </c>
      <c r="E39" s="269" t="s">
        <v>6073</v>
      </c>
      <c r="F39" s="269" t="s">
        <v>6074</v>
      </c>
      <c r="G39" s="269" t="s">
        <v>6075</v>
      </c>
      <c r="H39" s="269" t="s">
        <v>6076</v>
      </c>
      <c r="I39" s="269" t="s">
        <v>6077</v>
      </c>
      <c r="J39" s="269" t="s">
        <v>6078</v>
      </c>
      <c r="K39" s="393"/>
      <c r="L39" s="393"/>
      <c r="M39" s="393"/>
      <c r="N39" s="393"/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3"/>
      <c r="Z39" s="393"/>
    </row>
    <row r="40">
      <c r="A40" s="269" t="s">
        <v>6079</v>
      </c>
      <c r="B40" s="269" t="s">
        <v>6080</v>
      </c>
      <c r="C40" s="269" t="s">
        <v>6081</v>
      </c>
      <c r="D40" s="269" t="s">
        <v>6082</v>
      </c>
      <c r="E40" s="269" t="s">
        <v>6083</v>
      </c>
      <c r="F40" s="269" t="s">
        <v>6084</v>
      </c>
      <c r="G40" s="269" t="s">
        <v>6085</v>
      </c>
      <c r="H40" s="269" t="s">
        <v>6086</v>
      </c>
      <c r="I40" s="269" t="s">
        <v>6087</v>
      </c>
      <c r="J40" s="269" t="s">
        <v>6088</v>
      </c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</row>
    <row r="41">
      <c r="A41" s="31" t="s">
        <v>6089</v>
      </c>
      <c r="B41" s="269" t="s">
        <v>6090</v>
      </c>
      <c r="C41" s="269" t="s">
        <v>6091</v>
      </c>
      <c r="D41" s="269" t="s">
        <v>6092</v>
      </c>
      <c r="E41" s="269" t="s">
        <v>6093</v>
      </c>
      <c r="F41" s="269" t="s">
        <v>6094</v>
      </c>
      <c r="G41" s="269" t="s">
        <v>6095</v>
      </c>
      <c r="H41" s="269" t="s">
        <v>6096</v>
      </c>
      <c r="I41" s="269" t="s">
        <v>6097</v>
      </c>
      <c r="J41" s="269" t="s">
        <v>6098</v>
      </c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X41" s="393"/>
      <c r="Y41" s="393"/>
      <c r="Z41" s="393"/>
    </row>
    <row r="42">
      <c r="A42" s="269" t="s">
        <v>6099</v>
      </c>
      <c r="B42" s="269" t="s">
        <v>6100</v>
      </c>
      <c r="C42" s="269" t="s">
        <v>6101</v>
      </c>
      <c r="D42" s="269" t="s">
        <v>6102</v>
      </c>
      <c r="E42" s="269" t="s">
        <v>6103</v>
      </c>
      <c r="F42" s="269" t="s">
        <v>6104</v>
      </c>
      <c r="G42" s="269" t="s">
        <v>6105</v>
      </c>
      <c r="H42" s="269" t="s">
        <v>6106</v>
      </c>
      <c r="I42" s="269" t="s">
        <v>6107</v>
      </c>
      <c r="J42" s="269" t="s">
        <v>6108</v>
      </c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</row>
    <row r="43">
      <c r="A43" s="269" t="s">
        <v>6109</v>
      </c>
      <c r="B43" s="269" t="s">
        <v>6110</v>
      </c>
      <c r="C43" s="269" t="s">
        <v>6111</v>
      </c>
      <c r="D43" s="269" t="s">
        <v>6112</v>
      </c>
      <c r="E43" s="31" t="s">
        <v>6113</v>
      </c>
      <c r="F43" s="269" t="s">
        <v>6114</v>
      </c>
      <c r="G43" s="269" t="s">
        <v>6115</v>
      </c>
      <c r="H43" s="269" t="s">
        <v>6116</v>
      </c>
      <c r="I43" s="269" t="s">
        <v>6117</v>
      </c>
      <c r="J43" s="269" t="s">
        <v>6118</v>
      </c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</row>
    <row r="44">
      <c r="A44" s="269" t="s">
        <v>6119</v>
      </c>
      <c r="B44" s="31" t="s">
        <v>6120</v>
      </c>
      <c r="C44" s="31" t="s">
        <v>6121</v>
      </c>
      <c r="D44" s="269" t="s">
        <v>6122</v>
      </c>
      <c r="E44" s="31" t="s">
        <v>6123</v>
      </c>
      <c r="F44" s="269" t="s">
        <v>6124</v>
      </c>
      <c r="G44" s="269" t="s">
        <v>6125</v>
      </c>
      <c r="H44" s="269" t="s">
        <v>6126</v>
      </c>
      <c r="I44" s="269" t="s">
        <v>6127</v>
      </c>
      <c r="J44" s="269" t="s">
        <v>6128</v>
      </c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</row>
    <row r="45">
      <c r="A45" s="269" t="s">
        <v>6129</v>
      </c>
      <c r="B45" s="31" t="s">
        <v>6130</v>
      </c>
      <c r="C45" s="31" t="s">
        <v>6131</v>
      </c>
      <c r="D45" s="31" t="s">
        <v>6132</v>
      </c>
      <c r="E45" s="269" t="s">
        <v>6133</v>
      </c>
      <c r="F45" s="31" t="s">
        <v>6134</v>
      </c>
      <c r="G45" s="269" t="s">
        <v>6135</v>
      </c>
      <c r="H45" s="31" t="s">
        <v>6136</v>
      </c>
      <c r="I45" s="31" t="s">
        <v>6137</v>
      </c>
      <c r="J45" s="269" t="s">
        <v>6138</v>
      </c>
      <c r="K45" s="393"/>
      <c r="L45" s="393"/>
      <c r="M45" s="393"/>
      <c r="N45" s="393"/>
      <c r="O45" s="393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393"/>
    </row>
    <row r="46">
      <c r="A46" s="31" t="s">
        <v>6139</v>
      </c>
      <c r="B46" s="31" t="s">
        <v>6140</v>
      </c>
      <c r="C46" s="31" t="s">
        <v>6141</v>
      </c>
      <c r="D46" s="31" t="s">
        <v>6142</v>
      </c>
      <c r="E46" s="31" t="s">
        <v>6143</v>
      </c>
      <c r="F46" s="31" t="s">
        <v>6144</v>
      </c>
      <c r="G46" s="269" t="s">
        <v>6145</v>
      </c>
      <c r="H46" s="269" t="s">
        <v>6146</v>
      </c>
      <c r="I46" s="31" t="s">
        <v>6147</v>
      </c>
      <c r="J46" s="269" t="s">
        <v>6148</v>
      </c>
      <c r="K46" s="393"/>
      <c r="L46" s="393"/>
      <c r="M46" s="393"/>
      <c r="N46" s="393"/>
      <c r="O46" s="393"/>
      <c r="P46" s="393"/>
      <c r="Q46" s="393"/>
      <c r="R46" s="393"/>
      <c r="S46" s="393"/>
      <c r="T46" s="393"/>
      <c r="U46" s="393"/>
      <c r="V46" s="393"/>
      <c r="W46" s="393"/>
      <c r="X46" s="393"/>
      <c r="Y46" s="393"/>
      <c r="Z46" s="393"/>
    </row>
    <row r="47">
      <c r="A47" s="31" t="s">
        <v>6149</v>
      </c>
      <c r="B47" s="31" t="s">
        <v>6150</v>
      </c>
      <c r="C47" s="31" t="s">
        <v>6151</v>
      </c>
      <c r="D47" s="269" t="s">
        <v>6152</v>
      </c>
      <c r="E47" s="31" t="s">
        <v>6153</v>
      </c>
      <c r="F47" s="269" t="s">
        <v>6154</v>
      </c>
      <c r="G47" s="31" t="s">
        <v>6155</v>
      </c>
      <c r="H47" s="31" t="s">
        <v>6156</v>
      </c>
      <c r="I47" s="31" t="s">
        <v>6157</v>
      </c>
      <c r="J47" s="269" t="s">
        <v>6158</v>
      </c>
      <c r="K47" s="393"/>
      <c r="L47" s="393"/>
      <c r="M47" s="393"/>
      <c r="N47" s="393"/>
      <c r="O47" s="393"/>
      <c r="P47" s="393"/>
      <c r="Q47" s="393"/>
      <c r="R47" s="393"/>
      <c r="S47" s="393"/>
      <c r="T47" s="393"/>
      <c r="U47" s="393"/>
      <c r="V47" s="393"/>
      <c r="W47" s="393"/>
      <c r="X47" s="393"/>
      <c r="Y47" s="393"/>
      <c r="Z47" s="393"/>
    </row>
    <row r="48">
      <c r="A48" s="31" t="s">
        <v>6159</v>
      </c>
      <c r="B48" s="31" t="s">
        <v>6160</v>
      </c>
      <c r="C48" s="31" t="s">
        <v>6161</v>
      </c>
      <c r="D48" s="31" t="s">
        <v>6162</v>
      </c>
      <c r="E48" s="31" t="s">
        <v>6163</v>
      </c>
      <c r="F48" s="269" t="s">
        <v>6164</v>
      </c>
      <c r="G48" s="31" t="s">
        <v>6165</v>
      </c>
      <c r="H48" s="31" t="s">
        <v>6166</v>
      </c>
      <c r="I48" s="31" t="s">
        <v>6167</v>
      </c>
      <c r="J48" s="269" t="s">
        <v>6168</v>
      </c>
      <c r="K48" s="393"/>
      <c r="L48" s="393"/>
      <c r="M48" s="393"/>
      <c r="N48" s="393"/>
      <c r="O48" s="393"/>
      <c r="P48" s="393"/>
      <c r="Q48" s="393"/>
      <c r="R48" s="393"/>
      <c r="S48" s="393"/>
      <c r="T48" s="393"/>
      <c r="U48" s="393"/>
      <c r="V48" s="393"/>
      <c r="W48" s="393"/>
      <c r="X48" s="393"/>
      <c r="Y48" s="393"/>
      <c r="Z48" s="393"/>
    </row>
    <row r="49">
      <c r="A49" s="31" t="s">
        <v>6169</v>
      </c>
      <c r="B49" s="31" t="s">
        <v>6170</v>
      </c>
      <c r="C49" s="31" t="s">
        <v>6171</v>
      </c>
      <c r="D49" s="31" t="s">
        <v>6172</v>
      </c>
      <c r="E49" s="31" t="s">
        <v>6173</v>
      </c>
      <c r="F49" s="31" t="s">
        <v>6174</v>
      </c>
      <c r="G49" s="31" t="s">
        <v>6175</v>
      </c>
      <c r="H49" s="31" t="s">
        <v>6176</v>
      </c>
      <c r="I49" s="31" t="s">
        <v>6177</v>
      </c>
      <c r="J49" s="269" t="s">
        <v>6178</v>
      </c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  <c r="Z49" s="393"/>
    </row>
    <row r="50">
      <c r="A50" s="269" t="s">
        <v>6179</v>
      </c>
      <c r="B50" s="31" t="s">
        <v>6180</v>
      </c>
      <c r="C50" s="269" t="s">
        <v>6181</v>
      </c>
      <c r="D50" s="31" t="s">
        <v>6182</v>
      </c>
      <c r="E50" s="31" t="s">
        <v>6183</v>
      </c>
      <c r="F50" s="31" t="s">
        <v>6184</v>
      </c>
      <c r="G50" s="31" t="s">
        <v>6185</v>
      </c>
      <c r="H50" s="31" t="s">
        <v>6186</v>
      </c>
      <c r="I50" s="31" t="s">
        <v>6187</v>
      </c>
      <c r="J50" s="269" t="s">
        <v>6188</v>
      </c>
      <c r="K50" s="393"/>
      <c r="L50" s="393"/>
      <c r="M50" s="393"/>
      <c r="N50" s="393"/>
      <c r="O50" s="393"/>
      <c r="P50" s="393"/>
      <c r="Q50" s="393"/>
      <c r="R50" s="393"/>
      <c r="S50" s="393"/>
      <c r="T50" s="393"/>
      <c r="U50" s="393"/>
      <c r="V50" s="393"/>
      <c r="W50" s="393"/>
      <c r="X50" s="393"/>
      <c r="Y50" s="393"/>
      <c r="Z50" s="393"/>
    </row>
    <row r="51">
      <c r="A51" s="269" t="s">
        <v>6189</v>
      </c>
      <c r="B51" s="31" t="s">
        <v>6190</v>
      </c>
      <c r="C51" s="31" t="s">
        <v>6191</v>
      </c>
      <c r="D51" s="31" t="s">
        <v>6192</v>
      </c>
      <c r="E51" s="269" t="s">
        <v>6193</v>
      </c>
      <c r="F51" s="31" t="s">
        <v>6194</v>
      </c>
      <c r="G51" s="31" t="s">
        <v>6195</v>
      </c>
      <c r="H51" s="31" t="s">
        <v>6196</v>
      </c>
      <c r="I51" s="31" t="s">
        <v>6197</v>
      </c>
      <c r="J51" s="269" t="s">
        <v>6198</v>
      </c>
      <c r="K51" s="393"/>
      <c r="L51" s="393"/>
      <c r="M51" s="39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393"/>
      <c r="Z51" s="393"/>
    </row>
    <row r="52">
      <c r="A52" s="269" t="s">
        <v>6199</v>
      </c>
      <c r="B52" s="31" t="s">
        <v>6200</v>
      </c>
      <c r="C52" s="269" t="s">
        <v>6201</v>
      </c>
      <c r="D52" s="269" t="s">
        <v>6202</v>
      </c>
      <c r="E52" s="31" t="s">
        <v>6203</v>
      </c>
      <c r="F52" s="31" t="s">
        <v>6204</v>
      </c>
      <c r="G52" s="31" t="s">
        <v>6205</v>
      </c>
      <c r="H52" s="31" t="s">
        <v>6206</v>
      </c>
      <c r="I52" s="31" t="s">
        <v>6207</v>
      </c>
      <c r="J52" s="269" t="s">
        <v>6208</v>
      </c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</row>
    <row r="53">
      <c r="A53" s="269" t="s">
        <v>6209</v>
      </c>
      <c r="B53" s="269" t="s">
        <v>6210</v>
      </c>
      <c r="C53" s="269" t="s">
        <v>6211</v>
      </c>
      <c r="D53" s="31" t="s">
        <v>6212</v>
      </c>
      <c r="E53" s="269" t="s">
        <v>6213</v>
      </c>
      <c r="F53" s="269" t="s">
        <v>6214</v>
      </c>
      <c r="G53" s="269" t="s">
        <v>6215</v>
      </c>
      <c r="H53" s="31" t="s">
        <v>6216</v>
      </c>
      <c r="I53" s="31" t="s">
        <v>6217</v>
      </c>
      <c r="J53" s="269" t="s">
        <v>6218</v>
      </c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393"/>
      <c r="X53" s="393"/>
      <c r="Y53" s="393"/>
      <c r="Z53" s="393"/>
    </row>
    <row r="54">
      <c r="A54" s="269" t="s">
        <v>6219</v>
      </c>
      <c r="B54" s="269" t="s">
        <v>6220</v>
      </c>
      <c r="C54" s="269" t="s">
        <v>6221</v>
      </c>
      <c r="D54" s="31" t="s">
        <v>6222</v>
      </c>
      <c r="E54" s="269" t="s">
        <v>6223</v>
      </c>
      <c r="F54" s="269"/>
      <c r="G54" s="31" t="s">
        <v>6224</v>
      </c>
      <c r="H54" s="269"/>
      <c r="I54" s="31" t="s">
        <v>6225</v>
      </c>
      <c r="J54" s="269" t="s">
        <v>6226</v>
      </c>
      <c r="K54" s="393"/>
      <c r="L54" s="393"/>
      <c r="M54" s="393"/>
      <c r="N54" s="393"/>
      <c r="O54" s="393"/>
      <c r="P54" s="393"/>
      <c r="Q54" s="393"/>
      <c r="R54" s="393"/>
      <c r="S54" s="393"/>
      <c r="T54" s="393"/>
      <c r="U54" s="393"/>
      <c r="V54" s="393"/>
      <c r="W54" s="393"/>
      <c r="X54" s="393"/>
      <c r="Y54" s="393"/>
      <c r="Z54" s="393"/>
    </row>
    <row r="55">
      <c r="A55" s="269" t="s">
        <v>6227</v>
      </c>
      <c r="B55" s="269" t="s">
        <v>6228</v>
      </c>
      <c r="C55" s="269" t="s">
        <v>6229</v>
      </c>
      <c r="D55" s="31" t="s">
        <v>6230</v>
      </c>
      <c r="E55" s="269" t="s">
        <v>6231</v>
      </c>
      <c r="F55" s="269"/>
      <c r="G55" s="31" t="s">
        <v>6232</v>
      </c>
      <c r="H55" s="269"/>
      <c r="I55" s="269" t="s">
        <v>6233</v>
      </c>
      <c r="K55" s="393"/>
      <c r="L55" s="393"/>
      <c r="M55" s="393"/>
      <c r="N55" s="393"/>
      <c r="O55" s="393"/>
      <c r="P55" s="393"/>
      <c r="Q55" s="393"/>
      <c r="R55" s="393"/>
      <c r="S55" s="393"/>
      <c r="T55" s="393"/>
      <c r="U55" s="393"/>
      <c r="V55" s="393"/>
      <c r="W55" s="393"/>
      <c r="X55" s="393"/>
      <c r="Y55" s="393"/>
      <c r="Z55" s="393"/>
    </row>
    <row r="56">
      <c r="A56" s="269"/>
      <c r="B56" s="269"/>
      <c r="C56" s="269"/>
      <c r="D56" s="269"/>
      <c r="E56" s="269"/>
      <c r="F56" s="269"/>
      <c r="H56" s="269"/>
      <c r="I56" s="269"/>
      <c r="J56" s="269"/>
      <c r="K56" s="393"/>
      <c r="L56" s="393"/>
      <c r="M56" s="393"/>
      <c r="N56" s="393"/>
      <c r="O56" s="393"/>
      <c r="P56" s="393"/>
      <c r="Q56" s="393"/>
      <c r="R56" s="393"/>
      <c r="S56" s="393"/>
      <c r="T56" s="393"/>
      <c r="U56" s="393"/>
      <c r="V56" s="393"/>
      <c r="W56" s="393"/>
      <c r="X56" s="393"/>
      <c r="Y56" s="393"/>
      <c r="Z56" s="393"/>
    </row>
    <row r="57">
      <c r="B57" s="269"/>
      <c r="C57" s="269"/>
      <c r="D57" s="269"/>
      <c r="E57" s="269"/>
      <c r="F57" s="269"/>
      <c r="H57" s="269"/>
      <c r="I57" s="269"/>
      <c r="K57" s="393"/>
      <c r="L57" s="393"/>
      <c r="M57" s="393"/>
      <c r="N57" s="393"/>
      <c r="O57" s="393"/>
      <c r="P57" s="393"/>
      <c r="Q57" s="393"/>
      <c r="R57" s="393"/>
      <c r="S57" s="393"/>
      <c r="T57" s="393"/>
      <c r="U57" s="393"/>
      <c r="V57" s="393"/>
      <c r="W57" s="393"/>
      <c r="X57" s="393"/>
      <c r="Y57" s="393"/>
      <c r="Z57" s="393"/>
    </row>
    <row r="58">
      <c r="A58" s="269"/>
      <c r="B58" s="269"/>
      <c r="C58" s="269"/>
      <c r="D58" s="269"/>
      <c r="E58" s="269"/>
      <c r="F58" s="269"/>
      <c r="H58" s="269"/>
      <c r="I58" s="269"/>
      <c r="J58" s="269"/>
      <c r="K58" s="393"/>
      <c r="L58" s="393"/>
      <c r="M58" s="393"/>
      <c r="N58" s="393"/>
      <c r="O58" s="393"/>
      <c r="P58" s="393"/>
      <c r="Q58" s="393"/>
      <c r="R58" s="393"/>
      <c r="S58" s="393"/>
      <c r="T58" s="393"/>
      <c r="U58" s="393"/>
      <c r="V58" s="393"/>
      <c r="W58" s="393"/>
      <c r="X58" s="393"/>
      <c r="Y58" s="393"/>
      <c r="Z58" s="393"/>
    </row>
    <row r="59">
      <c r="A59" s="149" t="s">
        <v>4701</v>
      </c>
      <c r="I59" s="397"/>
      <c r="J59" s="397"/>
      <c r="K59" s="398"/>
      <c r="L59" s="398"/>
      <c r="M59" s="398"/>
      <c r="N59" s="398"/>
      <c r="O59" s="398"/>
      <c r="P59" s="398"/>
      <c r="Q59" s="398"/>
      <c r="R59" s="398"/>
      <c r="S59" s="398"/>
      <c r="T59" s="398"/>
      <c r="U59" s="398"/>
      <c r="V59" s="398"/>
      <c r="W59" s="398"/>
      <c r="X59" s="398"/>
      <c r="Y59" s="398"/>
      <c r="Z59" s="398"/>
    </row>
    <row r="60">
      <c r="A60" s="379" t="s">
        <v>4319</v>
      </c>
      <c r="B60" s="379" t="s">
        <v>4702</v>
      </c>
      <c r="C60" s="256" t="s">
        <v>4703</v>
      </c>
      <c r="D60" s="379" t="s">
        <v>4320</v>
      </c>
      <c r="E60" s="379" t="s">
        <v>436</v>
      </c>
      <c r="F60" s="379" t="s">
        <v>4704</v>
      </c>
      <c r="G60" s="379" t="s">
        <v>135</v>
      </c>
      <c r="H60" s="379" t="s">
        <v>128</v>
      </c>
      <c r="I60" s="397"/>
      <c r="J60" s="397"/>
      <c r="K60" s="398"/>
      <c r="L60" s="398"/>
      <c r="M60" s="398"/>
      <c r="N60" s="398"/>
      <c r="O60" s="398"/>
      <c r="P60" s="398"/>
      <c r="Q60" s="398"/>
      <c r="R60" s="398"/>
      <c r="S60" s="398"/>
      <c r="T60" s="398"/>
      <c r="U60" s="398"/>
      <c r="V60" s="398"/>
      <c r="W60" s="398"/>
      <c r="X60" s="398"/>
      <c r="Y60" s="398"/>
      <c r="Z60" s="398"/>
    </row>
    <row r="61">
      <c r="A61" s="397" t="s">
        <v>6234</v>
      </c>
      <c r="B61" s="397" t="s">
        <v>6235</v>
      </c>
      <c r="C61" s="397" t="s">
        <v>6236</v>
      </c>
      <c r="D61" s="397" t="s">
        <v>6237</v>
      </c>
      <c r="E61" s="4" t="s">
        <v>169</v>
      </c>
      <c r="F61" s="4" t="s">
        <v>6238</v>
      </c>
      <c r="G61" s="397" t="s">
        <v>6239</v>
      </c>
      <c r="H61" s="4" t="s">
        <v>6238</v>
      </c>
      <c r="I61" s="397"/>
      <c r="J61" s="397"/>
      <c r="K61" s="398"/>
      <c r="L61" s="398"/>
      <c r="M61" s="398"/>
      <c r="N61" s="398"/>
      <c r="O61" s="398"/>
      <c r="P61" s="398"/>
      <c r="Q61" s="398"/>
      <c r="R61" s="398"/>
      <c r="S61" s="398"/>
      <c r="T61" s="398"/>
      <c r="U61" s="398"/>
      <c r="V61" s="398"/>
      <c r="W61" s="398"/>
      <c r="X61" s="398"/>
      <c r="Y61" s="398"/>
      <c r="Z61" s="398"/>
    </row>
    <row r="62">
      <c r="A62" s="4" t="s">
        <v>6240</v>
      </c>
      <c r="B62" s="4" t="s">
        <v>6235</v>
      </c>
      <c r="C62" s="397" t="s">
        <v>6241</v>
      </c>
      <c r="D62" s="4" t="s">
        <v>6242</v>
      </c>
      <c r="E62" s="397" t="s">
        <v>292</v>
      </c>
      <c r="F62" s="4" t="s">
        <v>6243</v>
      </c>
      <c r="G62" s="4" t="s">
        <v>6243</v>
      </c>
      <c r="H62" s="397" t="s">
        <v>6244</v>
      </c>
      <c r="I62" s="397"/>
      <c r="J62" s="397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</row>
    <row r="63">
      <c r="A63" s="4" t="s">
        <v>6245</v>
      </c>
      <c r="B63" s="4" t="s">
        <v>6246</v>
      </c>
      <c r="C63" s="4" t="s">
        <v>6247</v>
      </c>
      <c r="D63" s="4" t="s">
        <v>6248</v>
      </c>
      <c r="E63" s="397" t="s">
        <v>173</v>
      </c>
      <c r="F63" s="4" t="s">
        <v>6249</v>
      </c>
      <c r="G63" s="4" t="s">
        <v>6250</v>
      </c>
      <c r="H63" s="4" t="s">
        <v>6249</v>
      </c>
      <c r="I63" s="397"/>
      <c r="J63" s="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</row>
    <row r="64">
      <c r="A64" s="4" t="s">
        <v>6251</v>
      </c>
      <c r="B64" s="4" t="s">
        <v>6246</v>
      </c>
      <c r="C64" s="4" t="s">
        <v>6241</v>
      </c>
      <c r="D64" s="4" t="s">
        <v>6252</v>
      </c>
      <c r="E64" s="4" t="s">
        <v>169</v>
      </c>
      <c r="F64" s="4" t="s">
        <v>6253</v>
      </c>
      <c r="G64" s="4" t="s">
        <v>6254</v>
      </c>
      <c r="H64" s="4" t="s">
        <v>6255</v>
      </c>
      <c r="I64" s="8"/>
      <c r="J64" s="398"/>
      <c r="K64" s="398"/>
      <c r="L64" s="398"/>
      <c r="M64" s="398"/>
      <c r="N64" s="398"/>
      <c r="O64" s="398"/>
      <c r="P64" s="398"/>
      <c r="Q64" s="398"/>
      <c r="R64" s="398"/>
      <c r="S64" s="398"/>
      <c r="T64" s="398"/>
      <c r="U64" s="398"/>
      <c r="V64" s="398"/>
      <c r="W64" s="398"/>
      <c r="X64" s="398"/>
      <c r="Y64" s="398"/>
      <c r="Z64" s="398"/>
    </row>
    <row r="65">
      <c r="A65" s="4" t="s">
        <v>6256</v>
      </c>
      <c r="B65" s="4" t="s">
        <v>6257</v>
      </c>
      <c r="C65" s="4" t="s">
        <v>6236</v>
      </c>
      <c r="D65" s="4" t="s">
        <v>6258</v>
      </c>
      <c r="E65" s="4" t="s">
        <v>175</v>
      </c>
      <c r="F65" s="4" t="s">
        <v>6259</v>
      </c>
      <c r="G65" s="4" t="s">
        <v>6260</v>
      </c>
      <c r="H65" s="4" t="s">
        <v>6259</v>
      </c>
      <c r="I65" s="8"/>
      <c r="J65" s="8"/>
      <c r="K65" s="398"/>
      <c r="L65" s="398"/>
      <c r="M65" s="398"/>
      <c r="N65" s="398"/>
      <c r="O65" s="398"/>
      <c r="P65" s="398"/>
      <c r="Q65" s="398"/>
      <c r="R65" s="398"/>
      <c r="S65" s="398"/>
      <c r="T65" s="398"/>
      <c r="U65" s="398"/>
      <c r="V65" s="398"/>
      <c r="W65" s="398"/>
      <c r="X65" s="398"/>
      <c r="Y65" s="398"/>
      <c r="Z65" s="398"/>
    </row>
    <row r="66">
      <c r="A66" s="4" t="s">
        <v>6261</v>
      </c>
      <c r="B66" s="4" t="s">
        <v>6257</v>
      </c>
      <c r="C66" s="4" t="s">
        <v>6241</v>
      </c>
      <c r="D66" s="4" t="s">
        <v>6237</v>
      </c>
      <c r="E66" s="4" t="s">
        <v>292</v>
      </c>
      <c r="F66" s="4" t="s">
        <v>6262</v>
      </c>
      <c r="G66" s="4" t="s">
        <v>6243</v>
      </c>
      <c r="H66" s="4" t="s">
        <v>6262</v>
      </c>
      <c r="I66" s="8"/>
      <c r="J66" s="8"/>
      <c r="K66" s="398"/>
      <c r="L66" s="398"/>
      <c r="M66" s="398"/>
      <c r="N66" s="398"/>
      <c r="O66" s="398"/>
      <c r="P66" s="398"/>
      <c r="Q66" s="398"/>
      <c r="R66" s="398"/>
      <c r="S66" s="398"/>
      <c r="T66" s="398"/>
      <c r="U66" s="398"/>
      <c r="V66" s="398"/>
      <c r="W66" s="398"/>
      <c r="X66" s="398"/>
      <c r="Y66" s="398"/>
      <c r="Z66" s="398"/>
    </row>
    <row r="67">
      <c r="A67" s="4" t="s">
        <v>6263</v>
      </c>
      <c r="B67" s="4" t="s">
        <v>6257</v>
      </c>
      <c r="C67" s="4" t="s">
        <v>6264</v>
      </c>
      <c r="D67" s="4" t="s">
        <v>6265</v>
      </c>
      <c r="E67" s="4" t="s">
        <v>6266</v>
      </c>
      <c r="F67" s="4" t="s">
        <v>6267</v>
      </c>
      <c r="G67" s="4" t="s">
        <v>6267</v>
      </c>
      <c r="H67" s="4" t="s">
        <v>6268</v>
      </c>
      <c r="I67" s="8"/>
      <c r="J67" s="8"/>
      <c r="K67" s="398"/>
      <c r="L67" s="398"/>
      <c r="M67" s="398"/>
      <c r="N67" s="398"/>
      <c r="O67" s="398"/>
      <c r="P67" s="398"/>
      <c r="Q67" s="398"/>
      <c r="R67" s="398"/>
      <c r="S67" s="398"/>
      <c r="T67" s="398"/>
      <c r="U67" s="398"/>
      <c r="V67" s="398"/>
      <c r="W67" s="398"/>
      <c r="X67" s="398"/>
      <c r="Y67" s="398"/>
      <c r="Z67" s="398"/>
    </row>
    <row r="68">
      <c r="A68" s="4" t="s">
        <v>6269</v>
      </c>
      <c r="B68" s="4" t="s">
        <v>6270</v>
      </c>
      <c r="C68" s="4" t="s">
        <v>6271</v>
      </c>
      <c r="D68" s="4" t="s">
        <v>6272</v>
      </c>
      <c r="E68" s="4" t="s">
        <v>6273</v>
      </c>
      <c r="F68" s="4" t="s">
        <v>6274</v>
      </c>
      <c r="G68" s="4" t="s">
        <v>6275</v>
      </c>
      <c r="H68" s="4" t="s">
        <v>6274</v>
      </c>
      <c r="I68" s="397"/>
      <c r="J68" s="8"/>
      <c r="K68" s="398"/>
      <c r="L68" s="398"/>
      <c r="M68" s="398"/>
      <c r="N68" s="398"/>
      <c r="O68" s="398"/>
      <c r="P68" s="398"/>
      <c r="Q68" s="398"/>
      <c r="R68" s="398"/>
      <c r="S68" s="398"/>
      <c r="T68" s="398"/>
      <c r="U68" s="398"/>
      <c r="V68" s="398"/>
      <c r="W68" s="398"/>
      <c r="X68" s="398"/>
      <c r="Y68" s="398"/>
      <c r="Z68" s="398"/>
    </row>
    <row r="69">
      <c r="A69" s="4" t="s">
        <v>6276</v>
      </c>
      <c r="B69" s="4" t="s">
        <v>6270</v>
      </c>
      <c r="C69" s="4" t="s">
        <v>6241</v>
      </c>
      <c r="D69" s="4" t="s">
        <v>6277</v>
      </c>
      <c r="E69" s="4" t="s">
        <v>268</v>
      </c>
      <c r="F69" s="4" t="s">
        <v>6278</v>
      </c>
      <c r="G69" s="4" t="s">
        <v>6279</v>
      </c>
      <c r="H69" s="4" t="s">
        <v>6278</v>
      </c>
      <c r="I69" s="8"/>
      <c r="J69" s="8"/>
      <c r="K69" s="398"/>
      <c r="L69" s="398"/>
      <c r="M69" s="398"/>
      <c r="N69" s="398"/>
      <c r="O69" s="398"/>
      <c r="P69" s="398"/>
      <c r="Q69" s="398"/>
      <c r="R69" s="398"/>
      <c r="S69" s="398"/>
      <c r="T69" s="398"/>
      <c r="U69" s="398"/>
      <c r="V69" s="398"/>
      <c r="W69" s="398"/>
      <c r="X69" s="398"/>
      <c r="Y69" s="398"/>
      <c r="Z69" s="398"/>
    </row>
    <row r="70">
      <c r="A70" s="4" t="s">
        <v>6280</v>
      </c>
      <c r="B70" s="4" t="s">
        <v>6270</v>
      </c>
      <c r="C70" s="4" t="s">
        <v>6236</v>
      </c>
      <c r="D70" s="4" t="s">
        <v>6252</v>
      </c>
      <c r="E70" s="4" t="s">
        <v>6266</v>
      </c>
      <c r="F70" s="4" t="s">
        <v>6281</v>
      </c>
      <c r="G70" s="4" t="s">
        <v>6282</v>
      </c>
      <c r="H70" s="4" t="s">
        <v>6281</v>
      </c>
      <c r="I70" s="8"/>
      <c r="J70" s="8"/>
      <c r="K70" s="398"/>
      <c r="L70" s="398"/>
      <c r="M70" s="398"/>
      <c r="N70" s="398"/>
      <c r="O70" s="398"/>
      <c r="P70" s="398"/>
      <c r="Q70" s="398"/>
      <c r="R70" s="398"/>
      <c r="S70" s="398"/>
      <c r="T70" s="398"/>
      <c r="U70" s="398"/>
      <c r="V70" s="398"/>
      <c r="W70" s="398"/>
      <c r="X70" s="398"/>
      <c r="Y70" s="398"/>
      <c r="Z70" s="398"/>
    </row>
    <row r="71">
      <c r="A71" s="4" t="s">
        <v>6283</v>
      </c>
      <c r="B71" s="4" t="s">
        <v>4828</v>
      </c>
      <c r="C71" s="4" t="s">
        <v>6241</v>
      </c>
      <c r="D71" s="4" t="s">
        <v>6277</v>
      </c>
      <c r="E71" s="4" t="s">
        <v>6284</v>
      </c>
      <c r="F71" s="4" t="s">
        <v>6279</v>
      </c>
      <c r="G71" s="4" t="s">
        <v>6279</v>
      </c>
      <c r="H71" s="4" t="s">
        <v>6285</v>
      </c>
      <c r="I71" s="8"/>
      <c r="J71" s="8"/>
      <c r="K71" s="398"/>
      <c r="L71" s="398"/>
      <c r="M71" s="398"/>
      <c r="N71" s="398"/>
      <c r="O71" s="398"/>
      <c r="P71" s="398"/>
      <c r="Q71" s="398"/>
      <c r="R71" s="398"/>
      <c r="S71" s="398"/>
      <c r="T71" s="398"/>
      <c r="U71" s="398"/>
      <c r="V71" s="398"/>
      <c r="W71" s="398"/>
      <c r="X71" s="398"/>
      <c r="Y71" s="398"/>
      <c r="Z71" s="398"/>
    </row>
    <row r="72">
      <c r="A72" s="4" t="s">
        <v>6286</v>
      </c>
      <c r="B72" s="397" t="s">
        <v>4828</v>
      </c>
      <c r="C72" s="4" t="s">
        <v>6236</v>
      </c>
      <c r="D72" s="4" t="s">
        <v>6287</v>
      </c>
      <c r="E72" s="4" t="s">
        <v>6288</v>
      </c>
      <c r="F72" s="4" t="s">
        <v>6289</v>
      </c>
      <c r="G72" s="4" t="s">
        <v>6290</v>
      </c>
      <c r="H72" s="4" t="s">
        <v>6289</v>
      </c>
      <c r="I72" s="8"/>
      <c r="J72" s="8"/>
      <c r="K72" s="398"/>
      <c r="L72" s="398"/>
      <c r="M72" s="398"/>
      <c r="N72" s="398"/>
      <c r="O72" s="398"/>
      <c r="P72" s="398"/>
      <c r="Q72" s="398"/>
      <c r="R72" s="398"/>
      <c r="S72" s="398"/>
      <c r="T72" s="398"/>
      <c r="U72" s="398"/>
      <c r="V72" s="398"/>
      <c r="W72" s="398"/>
      <c r="X72" s="398"/>
      <c r="Y72" s="398"/>
      <c r="Z72" s="398"/>
    </row>
    <row r="73">
      <c r="A73" s="399" t="s">
        <v>6291</v>
      </c>
      <c r="B73" s="397" t="s">
        <v>4828</v>
      </c>
      <c r="C73" s="4" t="s">
        <v>6247</v>
      </c>
      <c r="D73" s="4" t="s">
        <v>6272</v>
      </c>
      <c r="E73" s="4" t="s">
        <v>6266</v>
      </c>
      <c r="F73" s="4" t="s">
        <v>6274</v>
      </c>
      <c r="G73" s="4" t="s">
        <v>6292</v>
      </c>
      <c r="H73" s="4" t="s">
        <v>6274</v>
      </c>
      <c r="I73" s="8"/>
      <c r="J73" s="8"/>
      <c r="K73" s="398"/>
      <c r="L73" s="398"/>
      <c r="M73" s="398"/>
      <c r="N73" s="398"/>
      <c r="O73" s="398"/>
      <c r="P73" s="398"/>
      <c r="Q73" s="398"/>
      <c r="R73" s="398"/>
      <c r="S73" s="398"/>
      <c r="T73" s="398"/>
      <c r="U73" s="398"/>
      <c r="V73" s="398"/>
      <c r="W73" s="398"/>
      <c r="X73" s="398"/>
      <c r="Y73" s="398"/>
      <c r="Z73" s="398"/>
    </row>
    <row r="74">
      <c r="A74" s="400" t="s">
        <v>6293</v>
      </c>
      <c r="B74" s="401" t="s">
        <v>4839</v>
      </c>
      <c r="C74" s="402" t="s">
        <v>6271</v>
      </c>
      <c r="D74" s="402" t="s">
        <v>6277</v>
      </c>
      <c r="E74" s="402" t="s">
        <v>292</v>
      </c>
      <c r="F74" s="402" t="s">
        <v>6294</v>
      </c>
      <c r="G74" s="403" t="s">
        <v>6295</v>
      </c>
      <c r="H74" s="4" t="s">
        <v>6296</v>
      </c>
      <c r="I74" s="8"/>
      <c r="J74" s="8"/>
      <c r="K74" s="398"/>
      <c r="L74" s="398"/>
      <c r="M74" s="398"/>
      <c r="N74" s="398"/>
      <c r="O74" s="398"/>
      <c r="P74" s="398"/>
      <c r="Q74" s="398"/>
      <c r="R74" s="398"/>
      <c r="S74" s="398"/>
      <c r="T74" s="398"/>
      <c r="U74" s="398"/>
      <c r="V74" s="398"/>
      <c r="W74" s="398"/>
      <c r="X74" s="398"/>
      <c r="Y74" s="398"/>
      <c r="Z74" s="398"/>
    </row>
    <row r="75">
      <c r="A75" s="400" t="s">
        <v>6297</v>
      </c>
      <c r="B75" s="401" t="s">
        <v>4839</v>
      </c>
      <c r="C75" s="402" t="s">
        <v>6247</v>
      </c>
      <c r="D75" s="402" t="s">
        <v>6272</v>
      </c>
      <c r="E75" s="402" t="s">
        <v>173</v>
      </c>
      <c r="F75" s="402" t="s">
        <v>6274</v>
      </c>
      <c r="G75" s="403" t="s">
        <v>6298</v>
      </c>
      <c r="H75" s="4" t="s">
        <v>6274</v>
      </c>
      <c r="I75" s="8"/>
      <c r="J75" s="8"/>
      <c r="K75" s="398"/>
      <c r="L75" s="398"/>
      <c r="M75" s="398"/>
      <c r="N75" s="398"/>
      <c r="O75" s="398"/>
      <c r="P75" s="398"/>
      <c r="Q75" s="398"/>
      <c r="R75" s="398"/>
      <c r="S75" s="398"/>
      <c r="T75" s="398"/>
      <c r="U75" s="398"/>
      <c r="V75" s="398"/>
      <c r="W75" s="398"/>
      <c r="X75" s="398"/>
      <c r="Y75" s="398"/>
      <c r="Z75" s="398"/>
    </row>
    <row r="76">
      <c r="A76" s="400" t="s">
        <v>6299</v>
      </c>
      <c r="B76" s="401" t="s">
        <v>4839</v>
      </c>
      <c r="C76" s="402" t="s">
        <v>6264</v>
      </c>
      <c r="D76" s="402" t="s">
        <v>6265</v>
      </c>
      <c r="E76" s="402" t="s">
        <v>268</v>
      </c>
      <c r="F76" s="402" t="s">
        <v>6300</v>
      </c>
      <c r="G76" s="403" t="s">
        <v>6301</v>
      </c>
      <c r="H76" s="402" t="s">
        <v>6300</v>
      </c>
      <c r="I76" s="8"/>
      <c r="J76" s="8"/>
      <c r="K76" s="398"/>
      <c r="L76" s="398"/>
      <c r="M76" s="398"/>
      <c r="N76" s="398"/>
      <c r="O76" s="398"/>
      <c r="P76" s="398"/>
      <c r="Q76" s="398"/>
      <c r="R76" s="398"/>
      <c r="S76" s="398"/>
      <c r="T76" s="398"/>
      <c r="U76" s="398"/>
      <c r="V76" s="398"/>
      <c r="W76" s="398"/>
      <c r="X76" s="398"/>
      <c r="Y76" s="398"/>
      <c r="Z76" s="398"/>
    </row>
    <row r="77">
      <c r="A77" s="400" t="s">
        <v>6302</v>
      </c>
      <c r="B77" s="401" t="s">
        <v>4848</v>
      </c>
      <c r="C77" s="402" t="s">
        <v>6236</v>
      </c>
      <c r="D77" s="402" t="s">
        <v>6252</v>
      </c>
      <c r="E77" s="402" t="s">
        <v>6303</v>
      </c>
      <c r="F77" s="402" t="s">
        <v>6304</v>
      </c>
      <c r="G77" s="402" t="s">
        <v>6304</v>
      </c>
      <c r="H77" s="402" t="s">
        <v>6304</v>
      </c>
      <c r="I77" s="8"/>
      <c r="J77" s="8"/>
      <c r="K77" s="398"/>
      <c r="L77" s="398"/>
      <c r="M77" s="398"/>
      <c r="N77" s="398"/>
      <c r="O77" s="398"/>
      <c r="P77" s="398"/>
      <c r="Q77" s="398"/>
      <c r="R77" s="398"/>
      <c r="S77" s="398"/>
      <c r="T77" s="398"/>
      <c r="U77" s="398"/>
      <c r="V77" s="398"/>
      <c r="W77" s="398"/>
      <c r="X77" s="398"/>
      <c r="Y77" s="398"/>
      <c r="Z77" s="398"/>
    </row>
    <row r="78">
      <c r="A78" s="400" t="s">
        <v>6305</v>
      </c>
      <c r="B78" s="401" t="s">
        <v>4848</v>
      </c>
      <c r="C78" s="402" t="s">
        <v>6271</v>
      </c>
      <c r="D78" s="402" t="s">
        <v>6248</v>
      </c>
      <c r="E78" s="402" t="s">
        <v>6306</v>
      </c>
      <c r="F78" s="402" t="s">
        <v>6307</v>
      </c>
      <c r="G78" s="402" t="s">
        <v>6307</v>
      </c>
      <c r="H78" s="4" t="s">
        <v>6308</v>
      </c>
      <c r="I78" s="8"/>
      <c r="J78" s="8"/>
      <c r="K78" s="398"/>
      <c r="L78" s="398"/>
      <c r="M78" s="398"/>
      <c r="N78" s="398"/>
      <c r="O78" s="398"/>
      <c r="P78" s="398"/>
      <c r="Q78" s="398"/>
      <c r="R78" s="398"/>
      <c r="S78" s="398"/>
      <c r="T78" s="398"/>
      <c r="U78" s="398"/>
      <c r="V78" s="398"/>
      <c r="W78" s="398"/>
      <c r="X78" s="398"/>
      <c r="Y78" s="398"/>
      <c r="Z78" s="398"/>
    </row>
    <row r="79">
      <c r="A79" s="400" t="s">
        <v>6309</v>
      </c>
      <c r="B79" s="401" t="s">
        <v>4848</v>
      </c>
      <c r="C79" s="402" t="s">
        <v>6264</v>
      </c>
      <c r="D79" s="402" t="s">
        <v>6258</v>
      </c>
      <c r="E79" s="402" t="s">
        <v>6288</v>
      </c>
      <c r="F79" s="401" t="s">
        <v>6310</v>
      </c>
      <c r="G79" s="403" t="s">
        <v>6311</v>
      </c>
      <c r="H79" s="397" t="s">
        <v>6312</v>
      </c>
      <c r="I79" s="8"/>
      <c r="J79" s="8"/>
      <c r="K79" s="398"/>
      <c r="L79" s="398"/>
      <c r="M79" s="398"/>
      <c r="N79" s="398"/>
      <c r="O79" s="398"/>
      <c r="P79" s="398"/>
      <c r="Q79" s="398"/>
      <c r="R79" s="398"/>
      <c r="S79" s="398"/>
      <c r="T79" s="398"/>
      <c r="U79" s="398"/>
      <c r="V79" s="398"/>
      <c r="W79" s="398"/>
      <c r="X79" s="398"/>
      <c r="Y79" s="398"/>
      <c r="Z79" s="398"/>
    </row>
    <row r="80">
      <c r="A80" s="96" t="s">
        <v>871</v>
      </c>
      <c r="I80" s="8"/>
      <c r="J80" s="8"/>
      <c r="K80" s="398"/>
      <c r="L80" s="398"/>
      <c r="M80" s="398"/>
      <c r="N80" s="398"/>
      <c r="O80" s="398"/>
      <c r="P80" s="398"/>
      <c r="Q80" s="398"/>
      <c r="R80" s="398"/>
      <c r="S80" s="398"/>
      <c r="T80" s="398"/>
      <c r="U80" s="398"/>
      <c r="V80" s="398"/>
      <c r="W80" s="398"/>
      <c r="X80" s="398"/>
      <c r="Y80" s="398"/>
      <c r="Z80" s="398"/>
    </row>
    <row r="81">
      <c r="A81" s="404"/>
      <c r="B81" s="405"/>
      <c r="C81" s="405"/>
      <c r="D81" s="405"/>
      <c r="E81" s="405"/>
      <c r="F81" s="405"/>
      <c r="G81" s="406"/>
      <c r="H81" s="398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398"/>
      <c r="U81" s="398"/>
      <c r="V81" s="398"/>
      <c r="W81" s="398"/>
      <c r="X81" s="398"/>
      <c r="Y81" s="398"/>
      <c r="Z81" s="398"/>
    </row>
    <row r="82">
      <c r="A82" s="400"/>
      <c r="B82" s="405"/>
      <c r="C82" s="405"/>
      <c r="D82" s="405"/>
      <c r="E82" s="405"/>
      <c r="F82" s="405"/>
      <c r="G82" s="406"/>
      <c r="H82" s="398"/>
      <c r="I82" s="398"/>
      <c r="J82" s="398"/>
      <c r="K82" s="398"/>
      <c r="L82" s="398"/>
      <c r="M82" s="398"/>
      <c r="N82" s="398"/>
      <c r="O82" s="398"/>
      <c r="P82" s="398"/>
      <c r="Q82" s="398"/>
      <c r="R82" s="398"/>
      <c r="S82" s="398"/>
      <c r="T82" s="398"/>
      <c r="U82" s="398"/>
      <c r="V82" s="398"/>
      <c r="W82" s="398"/>
      <c r="X82" s="398"/>
      <c r="Y82" s="398"/>
      <c r="Z82" s="398"/>
    </row>
    <row r="83">
      <c r="A83" s="400"/>
      <c r="B83" s="405"/>
      <c r="C83" s="405"/>
      <c r="D83" s="405"/>
      <c r="E83" s="405"/>
      <c r="F83" s="405"/>
      <c r="G83" s="405"/>
      <c r="H83" s="398"/>
      <c r="I83" s="398"/>
      <c r="J83" s="398"/>
      <c r="K83" s="398"/>
      <c r="L83" s="398"/>
      <c r="M83" s="398"/>
      <c r="N83" s="398"/>
      <c r="O83" s="398"/>
      <c r="P83" s="398"/>
      <c r="Q83" s="398"/>
      <c r="R83" s="398"/>
      <c r="S83" s="398"/>
      <c r="T83" s="398"/>
      <c r="U83" s="398"/>
      <c r="V83" s="398"/>
      <c r="W83" s="398"/>
      <c r="X83" s="398"/>
      <c r="Y83" s="398"/>
      <c r="Z83" s="398"/>
    </row>
    <row r="84">
      <c r="A84" s="400"/>
      <c r="B84" s="405"/>
      <c r="C84" s="405"/>
      <c r="D84" s="405"/>
      <c r="E84" s="405"/>
      <c r="F84" s="405"/>
      <c r="G84" s="405"/>
      <c r="H84" s="398"/>
      <c r="I84" s="398"/>
      <c r="J84" s="398"/>
      <c r="K84" s="398"/>
      <c r="L84" s="398"/>
      <c r="M84" s="398"/>
      <c r="N84" s="398"/>
      <c r="O84" s="398"/>
      <c r="P84" s="398"/>
      <c r="Q84" s="398"/>
      <c r="R84" s="398"/>
      <c r="S84" s="398"/>
      <c r="T84" s="398"/>
      <c r="U84" s="398"/>
      <c r="V84" s="398"/>
      <c r="W84" s="398"/>
      <c r="X84" s="398"/>
      <c r="Y84" s="398"/>
      <c r="Z84" s="398"/>
    </row>
    <row r="85">
      <c r="A85" s="407"/>
      <c r="B85" s="405"/>
      <c r="C85" s="405"/>
      <c r="D85" s="405"/>
      <c r="E85" s="405"/>
      <c r="F85" s="405"/>
      <c r="G85" s="405"/>
      <c r="H85" s="398"/>
      <c r="I85" s="398"/>
      <c r="J85" s="398"/>
      <c r="K85" s="398"/>
      <c r="L85" s="398"/>
      <c r="M85" s="398"/>
      <c r="N85" s="398"/>
      <c r="O85" s="398"/>
      <c r="P85" s="398"/>
      <c r="Q85" s="398"/>
      <c r="R85" s="398"/>
      <c r="S85" s="398"/>
      <c r="T85" s="398"/>
      <c r="U85" s="398"/>
      <c r="V85" s="398"/>
      <c r="W85" s="398"/>
      <c r="X85" s="398"/>
      <c r="Y85" s="398"/>
      <c r="Z85" s="398"/>
    </row>
    <row r="86">
      <c r="A86" s="400"/>
      <c r="B86" s="405"/>
      <c r="C86" s="405"/>
      <c r="D86" s="405"/>
      <c r="E86" s="405"/>
      <c r="F86" s="405"/>
      <c r="G86" s="405"/>
      <c r="H86" s="398"/>
      <c r="I86" s="398"/>
      <c r="J86" s="398"/>
      <c r="K86" s="398"/>
      <c r="L86" s="398"/>
      <c r="M86" s="398"/>
      <c r="N86" s="398"/>
      <c r="O86" s="398"/>
      <c r="P86" s="398"/>
      <c r="Q86" s="398"/>
      <c r="R86" s="398"/>
      <c r="S86" s="398"/>
      <c r="T86" s="398"/>
      <c r="U86" s="398"/>
      <c r="V86" s="398"/>
      <c r="W86" s="398"/>
      <c r="X86" s="398"/>
      <c r="Y86" s="398"/>
      <c r="Z86" s="398"/>
    </row>
    <row r="87">
      <c r="A87" s="400"/>
      <c r="B87" s="405"/>
      <c r="C87" s="405"/>
      <c r="D87" s="405"/>
      <c r="E87" s="405"/>
      <c r="F87" s="405"/>
      <c r="G87" s="405"/>
      <c r="H87" s="398"/>
      <c r="I87" s="398"/>
      <c r="J87" s="398"/>
      <c r="K87" s="398"/>
      <c r="L87" s="398"/>
      <c r="M87" s="398"/>
      <c r="N87" s="398"/>
      <c r="O87" s="398"/>
      <c r="P87" s="398"/>
      <c r="Q87" s="398"/>
      <c r="R87" s="398"/>
      <c r="S87" s="398"/>
      <c r="T87" s="398"/>
      <c r="U87" s="398"/>
      <c r="V87" s="398"/>
      <c r="W87" s="398"/>
      <c r="X87" s="398"/>
      <c r="Y87" s="398"/>
      <c r="Z87" s="398"/>
    </row>
    <row r="88">
      <c r="A88" s="400"/>
      <c r="B88" s="405"/>
      <c r="C88" s="405"/>
      <c r="D88" s="405"/>
      <c r="E88" s="405"/>
      <c r="F88" s="405"/>
      <c r="G88" s="405"/>
      <c r="H88" s="398"/>
      <c r="I88" s="398"/>
      <c r="J88" s="398"/>
      <c r="K88" s="398"/>
      <c r="L88" s="398"/>
      <c r="M88" s="398"/>
      <c r="N88" s="398"/>
      <c r="O88" s="398"/>
      <c r="P88" s="398"/>
      <c r="Q88" s="398"/>
      <c r="R88" s="398"/>
      <c r="S88" s="398"/>
      <c r="T88" s="398"/>
      <c r="U88" s="398"/>
      <c r="V88" s="398"/>
      <c r="W88" s="398"/>
      <c r="X88" s="398"/>
      <c r="Y88" s="398"/>
      <c r="Z88" s="398"/>
    </row>
    <row r="89">
      <c r="A89" s="400"/>
      <c r="B89" s="405"/>
      <c r="C89" s="405"/>
      <c r="D89" s="405"/>
      <c r="E89" s="405"/>
      <c r="F89" s="405"/>
      <c r="G89" s="405"/>
      <c r="H89" s="398"/>
      <c r="I89" s="398"/>
      <c r="J89" s="398"/>
      <c r="K89" s="398"/>
      <c r="L89" s="398"/>
      <c r="M89" s="398"/>
      <c r="N89" s="398"/>
      <c r="O89" s="398"/>
      <c r="P89" s="398"/>
      <c r="Q89" s="398"/>
      <c r="R89" s="398"/>
      <c r="S89" s="398"/>
      <c r="T89" s="398"/>
      <c r="U89" s="398"/>
      <c r="V89" s="398"/>
      <c r="W89" s="398"/>
      <c r="X89" s="398"/>
      <c r="Y89" s="398"/>
      <c r="Z89" s="398"/>
    </row>
    <row r="90">
      <c r="A90" s="407"/>
      <c r="B90" s="405"/>
      <c r="C90" s="405"/>
      <c r="D90" s="405"/>
      <c r="E90" s="405"/>
      <c r="F90" s="405"/>
      <c r="G90" s="405"/>
      <c r="H90" s="398"/>
      <c r="I90" s="398"/>
      <c r="J90" s="398"/>
      <c r="K90" s="398"/>
      <c r="L90" s="398"/>
      <c r="M90" s="398"/>
      <c r="N90" s="398"/>
      <c r="O90" s="398"/>
      <c r="P90" s="398"/>
      <c r="Q90" s="398"/>
      <c r="R90" s="398"/>
      <c r="S90" s="398"/>
      <c r="T90" s="398"/>
      <c r="U90" s="398"/>
      <c r="V90" s="398"/>
      <c r="W90" s="398"/>
      <c r="X90" s="398"/>
      <c r="Y90" s="398"/>
      <c r="Z90" s="398"/>
    </row>
    <row r="91">
      <c r="A91" s="400"/>
      <c r="B91" s="398"/>
      <c r="C91" s="398"/>
      <c r="D91" s="398"/>
      <c r="E91" s="398"/>
      <c r="F91" s="398"/>
      <c r="G91" s="398"/>
      <c r="H91" s="398"/>
      <c r="I91" s="398"/>
      <c r="J91" s="398"/>
      <c r="K91" s="398"/>
      <c r="L91" s="398"/>
      <c r="M91" s="398"/>
      <c r="N91" s="398"/>
      <c r="O91" s="398"/>
      <c r="P91" s="398"/>
      <c r="Q91" s="398"/>
      <c r="R91" s="398"/>
      <c r="S91" s="398"/>
      <c r="T91" s="398"/>
      <c r="U91" s="398"/>
      <c r="V91" s="398"/>
      <c r="W91" s="398"/>
      <c r="X91" s="398"/>
      <c r="Y91" s="398"/>
      <c r="Z91" s="398"/>
    </row>
    <row r="92">
      <c r="A92" s="408"/>
      <c r="B92" s="398"/>
      <c r="C92" s="398"/>
      <c r="D92" s="398"/>
      <c r="E92" s="398"/>
      <c r="F92" s="398"/>
      <c r="G92" s="398"/>
      <c r="H92" s="398"/>
      <c r="I92" s="398"/>
      <c r="J92" s="398"/>
      <c r="K92" s="398"/>
      <c r="L92" s="398"/>
      <c r="M92" s="398"/>
      <c r="N92" s="398"/>
      <c r="O92" s="398"/>
      <c r="P92" s="398"/>
      <c r="Q92" s="398"/>
      <c r="R92" s="398"/>
      <c r="S92" s="398"/>
      <c r="T92" s="398"/>
      <c r="U92" s="398"/>
      <c r="V92" s="398"/>
      <c r="W92" s="398"/>
      <c r="X92" s="398"/>
      <c r="Y92" s="398"/>
      <c r="Z92" s="398"/>
    </row>
    <row r="93">
      <c r="A93" s="408"/>
      <c r="B93" s="398"/>
      <c r="C93" s="398"/>
      <c r="D93" s="398"/>
      <c r="E93" s="398"/>
      <c r="F93" s="398"/>
      <c r="G93" s="398"/>
      <c r="H93" s="398"/>
      <c r="I93" s="398"/>
      <c r="J93" s="398"/>
      <c r="K93" s="398"/>
      <c r="L93" s="398"/>
      <c r="M93" s="398"/>
      <c r="N93" s="398"/>
      <c r="O93" s="398"/>
      <c r="P93" s="398"/>
      <c r="Q93" s="398"/>
      <c r="R93" s="398"/>
      <c r="S93" s="398"/>
      <c r="T93" s="398"/>
      <c r="U93" s="398"/>
      <c r="V93" s="398"/>
      <c r="W93" s="398"/>
      <c r="X93" s="398"/>
      <c r="Y93" s="398"/>
      <c r="Z93" s="398"/>
    </row>
    <row r="94">
      <c r="A94" s="409"/>
      <c r="B94" s="398"/>
      <c r="C94" s="398"/>
      <c r="D94" s="398"/>
      <c r="E94" s="398"/>
      <c r="F94" s="398"/>
      <c r="G94" s="398"/>
      <c r="H94" s="398"/>
      <c r="I94" s="398"/>
      <c r="J94" s="398"/>
      <c r="K94" s="398"/>
      <c r="L94" s="398"/>
      <c r="M94" s="398"/>
      <c r="N94" s="398"/>
      <c r="O94" s="398"/>
      <c r="P94" s="398"/>
      <c r="Q94" s="398"/>
      <c r="R94" s="398"/>
      <c r="S94" s="398"/>
      <c r="T94" s="398"/>
      <c r="U94" s="398"/>
      <c r="V94" s="398"/>
      <c r="W94" s="398"/>
      <c r="X94" s="398"/>
      <c r="Y94" s="398"/>
      <c r="Z94" s="398"/>
    </row>
    <row r="95">
      <c r="A95" s="408"/>
      <c r="B95" s="398"/>
      <c r="C95" s="398"/>
      <c r="D95" s="398"/>
      <c r="E95" s="398"/>
      <c r="F95" s="398"/>
      <c r="G95" s="398"/>
      <c r="H95" s="398"/>
      <c r="I95" s="398"/>
      <c r="J95" s="398"/>
      <c r="K95" s="398"/>
      <c r="L95" s="398"/>
      <c r="M95" s="398"/>
      <c r="N95" s="398"/>
      <c r="O95" s="398"/>
      <c r="P95" s="398"/>
      <c r="Q95" s="398"/>
      <c r="R95" s="398"/>
      <c r="S95" s="398"/>
      <c r="T95" s="398"/>
      <c r="U95" s="398"/>
      <c r="V95" s="398"/>
      <c r="W95" s="398"/>
      <c r="X95" s="398"/>
      <c r="Y95" s="398"/>
      <c r="Z95" s="398"/>
    </row>
    <row r="96">
      <c r="A96" s="408"/>
      <c r="B96" s="398"/>
      <c r="C96" s="398"/>
      <c r="D96" s="398"/>
      <c r="E96" s="398"/>
      <c r="F96" s="398"/>
      <c r="G96" s="398"/>
      <c r="H96" s="398"/>
      <c r="I96" s="398"/>
      <c r="J96" s="398"/>
      <c r="K96" s="398"/>
      <c r="L96" s="398"/>
      <c r="M96" s="398"/>
      <c r="N96" s="398"/>
      <c r="O96" s="398"/>
      <c r="P96" s="398"/>
      <c r="Q96" s="398"/>
      <c r="R96" s="398"/>
      <c r="S96" s="398"/>
      <c r="T96" s="398"/>
      <c r="U96" s="398"/>
      <c r="V96" s="398"/>
      <c r="W96" s="398"/>
      <c r="X96" s="398"/>
      <c r="Y96" s="398"/>
      <c r="Z96" s="398"/>
    </row>
    <row r="97">
      <c r="A97" s="408"/>
      <c r="B97" s="398"/>
      <c r="C97" s="398"/>
      <c r="D97" s="398"/>
      <c r="E97" s="398"/>
      <c r="F97" s="398"/>
      <c r="G97" s="398"/>
      <c r="H97" s="398"/>
      <c r="I97" s="398"/>
      <c r="J97" s="398"/>
      <c r="K97" s="398"/>
      <c r="L97" s="398"/>
      <c r="M97" s="398"/>
      <c r="N97" s="398"/>
      <c r="O97" s="398"/>
      <c r="P97" s="398"/>
      <c r="Q97" s="398"/>
      <c r="R97" s="398"/>
      <c r="S97" s="398"/>
      <c r="T97" s="398"/>
      <c r="U97" s="398"/>
      <c r="V97" s="398"/>
      <c r="W97" s="398"/>
      <c r="X97" s="398"/>
      <c r="Y97" s="398"/>
      <c r="Z97" s="398"/>
    </row>
    <row r="98">
      <c r="A98" s="409"/>
      <c r="B98" s="398"/>
      <c r="C98" s="398"/>
      <c r="D98" s="398"/>
      <c r="E98" s="398"/>
      <c r="F98" s="398"/>
      <c r="G98" s="398"/>
      <c r="H98" s="398"/>
      <c r="I98" s="398"/>
      <c r="J98" s="398"/>
      <c r="K98" s="398"/>
      <c r="L98" s="398"/>
      <c r="M98" s="398"/>
      <c r="N98" s="398"/>
      <c r="O98" s="398"/>
      <c r="P98" s="398"/>
      <c r="Q98" s="398"/>
      <c r="R98" s="398"/>
      <c r="S98" s="398"/>
      <c r="T98" s="398"/>
      <c r="U98" s="398"/>
      <c r="V98" s="398"/>
      <c r="W98" s="398"/>
      <c r="X98" s="398"/>
      <c r="Y98" s="398"/>
      <c r="Z98" s="398"/>
    </row>
    <row r="99">
      <c r="A99" s="408"/>
      <c r="B99" s="398"/>
      <c r="C99" s="398"/>
      <c r="D99" s="398"/>
      <c r="E99" s="398"/>
      <c r="F99" s="398"/>
      <c r="G99" s="398"/>
      <c r="H99" s="398"/>
      <c r="I99" s="398"/>
      <c r="J99" s="398"/>
      <c r="K99" s="398"/>
      <c r="L99" s="398"/>
      <c r="M99" s="398"/>
      <c r="N99" s="398"/>
      <c r="O99" s="398"/>
      <c r="P99" s="398"/>
      <c r="Q99" s="398"/>
      <c r="R99" s="398"/>
      <c r="S99" s="398"/>
      <c r="T99" s="398"/>
      <c r="U99" s="398"/>
      <c r="V99" s="398"/>
      <c r="W99" s="398"/>
      <c r="X99" s="398"/>
      <c r="Y99" s="398"/>
      <c r="Z99" s="398"/>
    </row>
    <row r="100">
      <c r="A100" s="408"/>
      <c r="B100" s="398"/>
      <c r="C100" s="398"/>
      <c r="D100" s="398"/>
      <c r="E100" s="398"/>
      <c r="F100" s="398"/>
      <c r="G100" s="398"/>
      <c r="H100" s="398"/>
      <c r="I100" s="398"/>
      <c r="J100" s="398"/>
      <c r="K100" s="398"/>
      <c r="L100" s="398"/>
      <c r="M100" s="398"/>
      <c r="N100" s="398"/>
      <c r="O100" s="398"/>
      <c r="P100" s="398"/>
      <c r="Q100" s="398"/>
      <c r="R100" s="398"/>
      <c r="S100" s="398"/>
      <c r="T100" s="398"/>
      <c r="U100" s="398"/>
      <c r="V100" s="398"/>
      <c r="W100" s="398"/>
      <c r="X100" s="398"/>
      <c r="Y100" s="398"/>
      <c r="Z100" s="398"/>
    </row>
    <row r="101">
      <c r="A101" s="409"/>
      <c r="B101" s="398"/>
      <c r="C101" s="398"/>
      <c r="D101" s="398"/>
      <c r="E101" s="398"/>
      <c r="F101" s="398"/>
      <c r="G101" s="398"/>
      <c r="H101" s="398"/>
      <c r="I101" s="398"/>
      <c r="J101" s="398"/>
      <c r="K101" s="398"/>
      <c r="L101" s="398"/>
      <c r="M101" s="398"/>
      <c r="N101" s="398"/>
      <c r="O101" s="398"/>
      <c r="P101" s="398"/>
      <c r="Q101" s="398"/>
      <c r="R101" s="398"/>
      <c r="S101" s="398"/>
      <c r="T101" s="398"/>
      <c r="U101" s="398"/>
      <c r="V101" s="398"/>
      <c r="W101" s="398"/>
      <c r="X101" s="398"/>
      <c r="Y101" s="398"/>
      <c r="Z101" s="398"/>
    </row>
    <row r="102">
      <c r="A102" s="8"/>
      <c r="B102" s="398"/>
      <c r="C102" s="398"/>
      <c r="D102" s="398"/>
      <c r="E102" s="398"/>
      <c r="F102" s="398"/>
      <c r="G102" s="398"/>
      <c r="H102" s="398"/>
      <c r="I102" s="398"/>
      <c r="J102" s="398"/>
      <c r="K102" s="398"/>
      <c r="L102" s="398"/>
      <c r="M102" s="398"/>
      <c r="N102" s="398"/>
      <c r="O102" s="398"/>
      <c r="P102" s="398"/>
      <c r="Q102" s="398"/>
      <c r="R102" s="398"/>
      <c r="S102" s="398"/>
      <c r="T102" s="398"/>
      <c r="U102" s="398"/>
      <c r="V102" s="398"/>
      <c r="W102" s="398"/>
      <c r="X102" s="398"/>
      <c r="Y102" s="398"/>
      <c r="Z102" s="398"/>
    </row>
    <row r="103">
      <c r="A103" s="8"/>
      <c r="B103" s="398"/>
      <c r="C103" s="398"/>
      <c r="D103" s="398"/>
      <c r="E103" s="398"/>
      <c r="F103" s="398"/>
      <c r="G103" s="398"/>
      <c r="H103" s="398"/>
      <c r="I103" s="398"/>
      <c r="J103" s="398"/>
      <c r="K103" s="398"/>
      <c r="L103" s="398"/>
      <c r="M103" s="398"/>
      <c r="N103" s="398"/>
      <c r="O103" s="398"/>
      <c r="P103" s="398"/>
      <c r="Q103" s="398"/>
      <c r="R103" s="398"/>
      <c r="S103" s="398"/>
      <c r="T103" s="398"/>
      <c r="U103" s="398"/>
      <c r="V103" s="398"/>
      <c r="W103" s="398"/>
      <c r="X103" s="398"/>
      <c r="Y103" s="398"/>
      <c r="Z103" s="398"/>
    </row>
    <row r="104">
      <c r="A104" s="8"/>
      <c r="B104" s="398"/>
      <c r="C104" s="398"/>
      <c r="D104" s="398"/>
      <c r="E104" s="398"/>
      <c r="F104" s="398"/>
      <c r="G104" s="398"/>
      <c r="H104" s="398"/>
      <c r="I104" s="398"/>
      <c r="J104" s="398"/>
      <c r="K104" s="398"/>
      <c r="L104" s="398"/>
      <c r="M104" s="398"/>
      <c r="N104" s="398"/>
      <c r="O104" s="398"/>
      <c r="P104" s="398"/>
      <c r="Q104" s="398"/>
      <c r="R104" s="398"/>
      <c r="S104" s="398"/>
      <c r="T104" s="398"/>
      <c r="U104" s="398"/>
      <c r="V104" s="398"/>
      <c r="W104" s="398"/>
      <c r="X104" s="398"/>
      <c r="Y104" s="398"/>
      <c r="Z104" s="398"/>
    </row>
    <row r="105">
      <c r="A105" s="8"/>
      <c r="B105" s="398"/>
      <c r="C105" s="398"/>
      <c r="D105" s="398"/>
      <c r="E105" s="398"/>
      <c r="F105" s="398"/>
      <c r="G105" s="398"/>
      <c r="H105" s="398"/>
      <c r="I105" s="398"/>
      <c r="J105" s="398"/>
      <c r="K105" s="398"/>
      <c r="L105" s="398"/>
      <c r="M105" s="398"/>
      <c r="N105" s="398"/>
      <c r="O105" s="398"/>
      <c r="P105" s="398"/>
      <c r="Q105" s="398"/>
      <c r="R105" s="398"/>
      <c r="S105" s="398"/>
      <c r="T105" s="398"/>
      <c r="U105" s="398"/>
      <c r="V105" s="398"/>
      <c r="W105" s="398"/>
      <c r="X105" s="398"/>
      <c r="Y105" s="398"/>
      <c r="Z105" s="398"/>
    </row>
    <row r="106">
      <c r="A106" s="8"/>
      <c r="B106" s="398"/>
      <c r="C106" s="398"/>
      <c r="D106" s="398"/>
      <c r="E106" s="398"/>
      <c r="F106" s="398"/>
      <c r="G106" s="398"/>
      <c r="H106" s="398"/>
      <c r="I106" s="398"/>
      <c r="J106" s="398"/>
      <c r="K106" s="398"/>
      <c r="L106" s="398"/>
      <c r="M106" s="398"/>
      <c r="N106" s="398"/>
      <c r="O106" s="398"/>
      <c r="P106" s="398"/>
      <c r="Q106" s="398"/>
      <c r="R106" s="398"/>
      <c r="S106" s="398"/>
      <c r="T106" s="398"/>
      <c r="U106" s="398"/>
      <c r="V106" s="398"/>
      <c r="W106" s="398"/>
      <c r="X106" s="398"/>
      <c r="Y106" s="398"/>
      <c r="Z106" s="398"/>
    </row>
    <row r="107">
      <c r="A107" s="8"/>
      <c r="B107" s="398"/>
      <c r="C107" s="398"/>
      <c r="D107" s="398"/>
      <c r="E107" s="398"/>
      <c r="F107" s="398"/>
      <c r="G107" s="398"/>
      <c r="H107" s="398"/>
      <c r="I107" s="398"/>
      <c r="J107" s="398"/>
      <c r="K107" s="398"/>
      <c r="L107" s="398"/>
      <c r="M107" s="398"/>
      <c r="N107" s="398"/>
      <c r="O107" s="398"/>
      <c r="P107" s="398"/>
      <c r="Q107" s="398"/>
      <c r="R107" s="398"/>
      <c r="S107" s="398"/>
      <c r="T107" s="398"/>
      <c r="U107" s="398"/>
      <c r="V107" s="398"/>
      <c r="W107" s="398"/>
      <c r="X107" s="398"/>
      <c r="Y107" s="398"/>
      <c r="Z107" s="398"/>
    </row>
    <row r="108">
      <c r="A108" s="8"/>
      <c r="B108" s="398"/>
      <c r="C108" s="398"/>
      <c r="D108" s="398"/>
      <c r="E108" s="398"/>
      <c r="F108" s="398"/>
      <c r="G108" s="398"/>
      <c r="H108" s="398"/>
      <c r="I108" s="398"/>
      <c r="J108" s="398"/>
      <c r="K108" s="398"/>
      <c r="L108" s="398"/>
      <c r="M108" s="398"/>
      <c r="N108" s="398"/>
      <c r="O108" s="398"/>
      <c r="P108" s="398"/>
      <c r="Q108" s="398"/>
      <c r="R108" s="398"/>
      <c r="S108" s="398"/>
      <c r="T108" s="398"/>
      <c r="U108" s="398"/>
      <c r="V108" s="398"/>
      <c r="W108" s="398"/>
      <c r="X108" s="398"/>
      <c r="Y108" s="398"/>
      <c r="Z108" s="398"/>
    </row>
    <row r="109">
      <c r="A109" s="8"/>
      <c r="B109" s="398"/>
      <c r="C109" s="398"/>
      <c r="D109" s="398"/>
      <c r="E109" s="398"/>
      <c r="F109" s="398"/>
      <c r="G109" s="398"/>
      <c r="H109" s="398"/>
      <c r="I109" s="398"/>
      <c r="J109" s="398"/>
      <c r="K109" s="398"/>
      <c r="L109" s="398"/>
      <c r="M109" s="398"/>
      <c r="N109" s="398"/>
      <c r="O109" s="398"/>
      <c r="P109" s="398"/>
      <c r="Q109" s="398"/>
      <c r="R109" s="398"/>
      <c r="S109" s="398"/>
      <c r="T109" s="398"/>
      <c r="U109" s="398"/>
      <c r="V109" s="398"/>
      <c r="W109" s="398"/>
      <c r="X109" s="398"/>
      <c r="Y109" s="398"/>
      <c r="Z109" s="398"/>
    </row>
    <row r="110">
      <c r="A110" s="8"/>
      <c r="B110" s="398"/>
      <c r="C110" s="398"/>
      <c r="D110" s="398"/>
      <c r="E110" s="398"/>
      <c r="F110" s="398"/>
      <c r="G110" s="398"/>
      <c r="H110" s="398"/>
      <c r="I110" s="398"/>
      <c r="J110" s="398"/>
      <c r="K110" s="398"/>
      <c r="L110" s="398"/>
      <c r="M110" s="398"/>
      <c r="N110" s="398"/>
      <c r="O110" s="398"/>
      <c r="P110" s="398"/>
      <c r="Q110" s="398"/>
      <c r="R110" s="398"/>
      <c r="S110" s="398"/>
      <c r="T110" s="398"/>
      <c r="U110" s="398"/>
      <c r="V110" s="398"/>
      <c r="W110" s="398"/>
      <c r="X110" s="398"/>
      <c r="Y110" s="398"/>
      <c r="Z110" s="398"/>
    </row>
    <row r="111">
      <c r="A111" s="8"/>
      <c r="B111" s="398"/>
      <c r="C111" s="398"/>
      <c r="D111" s="398"/>
      <c r="E111" s="398"/>
      <c r="F111" s="398"/>
      <c r="G111" s="398"/>
      <c r="H111" s="398"/>
      <c r="I111" s="398"/>
      <c r="J111" s="398"/>
      <c r="K111" s="398"/>
      <c r="L111" s="398"/>
      <c r="M111" s="398"/>
      <c r="N111" s="398"/>
      <c r="O111" s="398"/>
      <c r="P111" s="398"/>
      <c r="Q111" s="398"/>
      <c r="R111" s="398"/>
      <c r="S111" s="398"/>
      <c r="T111" s="398"/>
      <c r="U111" s="398"/>
      <c r="V111" s="398"/>
      <c r="W111" s="398"/>
      <c r="X111" s="398"/>
      <c r="Y111" s="398"/>
      <c r="Z111" s="398"/>
    </row>
    <row r="112">
      <c r="A112" s="8"/>
      <c r="B112" s="398"/>
      <c r="C112" s="398"/>
      <c r="D112" s="398"/>
      <c r="E112" s="398"/>
      <c r="F112" s="398"/>
      <c r="G112" s="398"/>
      <c r="H112" s="398"/>
      <c r="I112" s="398"/>
      <c r="J112" s="398"/>
      <c r="K112" s="398"/>
      <c r="L112" s="398"/>
      <c r="M112" s="398"/>
      <c r="N112" s="398"/>
      <c r="O112" s="398"/>
      <c r="P112" s="398"/>
      <c r="Q112" s="398"/>
      <c r="R112" s="398"/>
      <c r="S112" s="398"/>
      <c r="T112" s="398"/>
      <c r="U112" s="398"/>
      <c r="V112" s="398"/>
      <c r="W112" s="398"/>
      <c r="X112" s="398"/>
      <c r="Y112" s="398"/>
      <c r="Z112" s="398"/>
    </row>
    <row r="113">
      <c r="A113" s="8"/>
      <c r="B113" s="398"/>
      <c r="C113" s="398"/>
      <c r="D113" s="398"/>
      <c r="E113" s="398"/>
      <c r="F113" s="398"/>
      <c r="G113" s="398"/>
      <c r="H113" s="398"/>
      <c r="I113" s="398"/>
      <c r="J113" s="398"/>
      <c r="K113" s="398"/>
      <c r="L113" s="398"/>
      <c r="M113" s="398"/>
      <c r="N113" s="398"/>
      <c r="O113" s="398"/>
      <c r="P113" s="398"/>
      <c r="Q113" s="398"/>
      <c r="R113" s="398"/>
      <c r="S113" s="398"/>
      <c r="T113" s="398"/>
      <c r="U113" s="398"/>
      <c r="V113" s="398"/>
      <c r="W113" s="398"/>
      <c r="X113" s="398"/>
      <c r="Y113" s="398"/>
      <c r="Z113" s="398"/>
    </row>
    <row r="114">
      <c r="A114" s="8"/>
      <c r="B114" s="398"/>
      <c r="C114" s="398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98"/>
      <c r="S114" s="398"/>
      <c r="T114" s="398"/>
      <c r="U114" s="398"/>
      <c r="V114" s="398"/>
      <c r="W114" s="398"/>
      <c r="X114" s="398"/>
      <c r="Y114" s="398"/>
      <c r="Z114" s="398"/>
    </row>
    <row r="115">
      <c r="A115" s="8"/>
      <c r="B115" s="398"/>
      <c r="C115" s="398"/>
      <c r="D115" s="398"/>
      <c r="E115" s="398"/>
      <c r="F115" s="398"/>
      <c r="G115" s="398"/>
      <c r="H115" s="398"/>
      <c r="I115" s="398"/>
      <c r="J115" s="398"/>
      <c r="K115" s="398"/>
      <c r="L115" s="398"/>
      <c r="M115" s="398"/>
      <c r="N115" s="398"/>
      <c r="O115" s="398"/>
      <c r="P115" s="398"/>
      <c r="Q115" s="398"/>
      <c r="R115" s="398"/>
      <c r="S115" s="398"/>
      <c r="T115" s="398"/>
      <c r="U115" s="398"/>
      <c r="V115" s="398"/>
      <c r="W115" s="398"/>
      <c r="X115" s="398"/>
      <c r="Y115" s="398"/>
      <c r="Z115" s="398"/>
    </row>
    <row r="116">
      <c r="A116" s="8"/>
      <c r="B116" s="398"/>
      <c r="C116" s="398"/>
      <c r="D116" s="398"/>
      <c r="E116" s="398"/>
      <c r="F116" s="398"/>
      <c r="G116" s="398"/>
      <c r="H116" s="398"/>
      <c r="I116" s="398"/>
      <c r="J116" s="398"/>
      <c r="K116" s="398"/>
      <c r="L116" s="398"/>
      <c r="M116" s="398"/>
      <c r="N116" s="398"/>
      <c r="O116" s="398"/>
      <c r="P116" s="398"/>
      <c r="Q116" s="398"/>
      <c r="R116" s="398"/>
      <c r="S116" s="398"/>
      <c r="T116" s="398"/>
      <c r="U116" s="398"/>
      <c r="V116" s="398"/>
      <c r="W116" s="398"/>
      <c r="X116" s="398"/>
      <c r="Y116" s="398"/>
      <c r="Z116" s="398"/>
    </row>
    <row r="117">
      <c r="A117" s="8"/>
      <c r="B117" s="398"/>
      <c r="C117" s="398"/>
      <c r="D117" s="398"/>
      <c r="E117" s="398"/>
      <c r="F117" s="398"/>
      <c r="G117" s="398"/>
      <c r="H117" s="398"/>
      <c r="I117" s="398"/>
      <c r="J117" s="398"/>
      <c r="K117" s="398"/>
      <c r="L117" s="398"/>
      <c r="M117" s="398"/>
      <c r="N117" s="398"/>
      <c r="O117" s="398"/>
      <c r="P117" s="398"/>
      <c r="Q117" s="398"/>
      <c r="R117" s="398"/>
      <c r="S117" s="398"/>
      <c r="T117" s="398"/>
      <c r="U117" s="398"/>
      <c r="V117" s="398"/>
      <c r="W117" s="398"/>
      <c r="X117" s="398"/>
      <c r="Y117" s="398"/>
      <c r="Z117" s="398"/>
    </row>
    <row r="118">
      <c r="A118" s="8"/>
      <c r="B118" s="398"/>
      <c r="C118" s="398"/>
      <c r="D118" s="398"/>
      <c r="E118" s="398"/>
      <c r="F118" s="398"/>
      <c r="G118" s="398"/>
      <c r="H118" s="398"/>
      <c r="I118" s="398"/>
      <c r="J118" s="398"/>
      <c r="K118" s="398"/>
      <c r="L118" s="398"/>
      <c r="M118" s="398"/>
      <c r="N118" s="398"/>
      <c r="O118" s="398"/>
      <c r="P118" s="398"/>
      <c r="Q118" s="398"/>
      <c r="R118" s="398"/>
      <c r="S118" s="398"/>
      <c r="T118" s="398"/>
      <c r="U118" s="398"/>
      <c r="V118" s="398"/>
      <c r="W118" s="398"/>
      <c r="X118" s="398"/>
      <c r="Y118" s="398"/>
      <c r="Z118" s="398"/>
    </row>
    <row r="119">
      <c r="A119" s="8"/>
      <c r="B119" s="398"/>
      <c r="C119" s="398"/>
      <c r="D119" s="398"/>
      <c r="E119" s="398"/>
      <c r="F119" s="398"/>
      <c r="G119" s="398"/>
      <c r="H119" s="398"/>
      <c r="I119" s="398"/>
      <c r="J119" s="398"/>
      <c r="K119" s="398"/>
      <c r="L119" s="398"/>
      <c r="M119" s="398"/>
      <c r="N119" s="398"/>
      <c r="O119" s="398"/>
      <c r="P119" s="398"/>
      <c r="Q119" s="398"/>
      <c r="R119" s="398"/>
      <c r="S119" s="398"/>
      <c r="T119" s="398"/>
      <c r="U119" s="398"/>
      <c r="V119" s="398"/>
      <c r="W119" s="398"/>
      <c r="X119" s="398"/>
      <c r="Y119" s="398"/>
      <c r="Z119" s="398"/>
    </row>
    <row r="120">
      <c r="A120" s="8"/>
      <c r="B120" s="398"/>
      <c r="C120" s="398"/>
      <c r="D120" s="398"/>
      <c r="E120" s="398"/>
      <c r="F120" s="398"/>
      <c r="G120" s="398"/>
      <c r="H120" s="398"/>
      <c r="I120" s="398"/>
      <c r="J120" s="398"/>
      <c r="K120" s="398"/>
      <c r="L120" s="398"/>
      <c r="M120" s="398"/>
      <c r="N120" s="398"/>
      <c r="O120" s="398"/>
      <c r="P120" s="398"/>
      <c r="Q120" s="398"/>
      <c r="R120" s="398"/>
      <c r="S120" s="398"/>
      <c r="T120" s="398"/>
      <c r="U120" s="398"/>
      <c r="V120" s="398"/>
      <c r="W120" s="398"/>
      <c r="X120" s="398"/>
      <c r="Y120" s="398"/>
      <c r="Z120" s="398"/>
    </row>
    <row r="121">
      <c r="B121" s="393"/>
      <c r="C121" s="393"/>
      <c r="D121" s="393"/>
      <c r="E121" s="393"/>
      <c r="F121" s="393"/>
      <c r="G121" s="393"/>
      <c r="H121" s="393"/>
      <c r="I121" s="393"/>
      <c r="J121" s="393"/>
      <c r="K121" s="393"/>
      <c r="L121" s="393"/>
      <c r="M121" s="393"/>
      <c r="N121" s="393"/>
      <c r="O121" s="393"/>
      <c r="P121" s="393"/>
      <c r="Q121" s="393"/>
      <c r="R121" s="393"/>
      <c r="S121" s="393"/>
      <c r="T121" s="393"/>
      <c r="U121" s="393"/>
      <c r="V121" s="393"/>
      <c r="W121" s="393"/>
      <c r="X121" s="393"/>
      <c r="Y121" s="393"/>
      <c r="Z121" s="393"/>
    </row>
    <row r="122">
      <c r="B122" s="393"/>
      <c r="C122" s="393"/>
      <c r="D122" s="393"/>
      <c r="E122" s="393"/>
      <c r="F122" s="393"/>
      <c r="G122" s="393"/>
      <c r="H122" s="393"/>
      <c r="I122" s="393"/>
      <c r="J122" s="393"/>
      <c r="K122" s="393"/>
      <c r="L122" s="393"/>
      <c r="M122" s="393"/>
      <c r="N122" s="393"/>
      <c r="O122" s="393"/>
      <c r="P122" s="393"/>
      <c r="Q122" s="393"/>
      <c r="R122" s="393"/>
      <c r="S122" s="393"/>
      <c r="T122" s="393"/>
      <c r="U122" s="393"/>
      <c r="V122" s="393"/>
      <c r="W122" s="393"/>
      <c r="X122" s="393"/>
      <c r="Y122" s="393"/>
      <c r="Z122" s="393"/>
    </row>
    <row r="123">
      <c r="B123" s="393"/>
      <c r="C123" s="393"/>
      <c r="D123" s="393"/>
      <c r="E123" s="393"/>
      <c r="F123" s="393"/>
      <c r="G123" s="393"/>
      <c r="H123" s="393"/>
      <c r="I123" s="393"/>
      <c r="J123" s="393"/>
      <c r="K123" s="393"/>
      <c r="L123" s="393"/>
      <c r="M123" s="393"/>
      <c r="N123" s="393"/>
      <c r="O123" s="393"/>
      <c r="P123" s="393"/>
      <c r="Q123" s="393"/>
      <c r="R123" s="393"/>
      <c r="S123" s="393"/>
      <c r="T123" s="393"/>
      <c r="U123" s="393"/>
      <c r="V123" s="393"/>
      <c r="W123" s="393"/>
      <c r="X123" s="393"/>
      <c r="Y123" s="393"/>
      <c r="Z123" s="393"/>
    </row>
    <row r="124">
      <c r="B124" s="393"/>
      <c r="C124" s="393"/>
      <c r="D124" s="393"/>
      <c r="E124" s="393"/>
      <c r="F124" s="393"/>
      <c r="G124" s="393"/>
      <c r="H124" s="393"/>
      <c r="I124" s="393"/>
      <c r="J124" s="393"/>
      <c r="K124" s="393"/>
      <c r="L124" s="393"/>
      <c r="M124" s="393"/>
      <c r="N124" s="393"/>
      <c r="O124" s="393"/>
      <c r="P124" s="393"/>
      <c r="Q124" s="393"/>
      <c r="R124" s="393"/>
      <c r="S124" s="393"/>
      <c r="T124" s="393"/>
      <c r="U124" s="393"/>
      <c r="V124" s="393"/>
      <c r="W124" s="393"/>
      <c r="X124" s="393"/>
      <c r="Y124" s="393"/>
      <c r="Z124" s="393"/>
    </row>
    <row r="125">
      <c r="B125" s="393"/>
      <c r="C125" s="393"/>
      <c r="D125" s="393"/>
      <c r="E125" s="393"/>
      <c r="F125" s="393"/>
      <c r="G125" s="393"/>
      <c r="H125" s="393"/>
      <c r="I125" s="393"/>
      <c r="J125" s="393"/>
      <c r="K125" s="393"/>
      <c r="L125" s="393"/>
      <c r="M125" s="393"/>
      <c r="N125" s="393"/>
      <c r="O125" s="393"/>
      <c r="P125" s="393"/>
      <c r="Q125" s="393"/>
      <c r="R125" s="393"/>
      <c r="S125" s="393"/>
      <c r="T125" s="393"/>
      <c r="U125" s="393"/>
      <c r="V125" s="393"/>
      <c r="W125" s="393"/>
      <c r="X125" s="393"/>
      <c r="Y125" s="393"/>
      <c r="Z125" s="393"/>
    </row>
    <row r="126">
      <c r="B126" s="393"/>
      <c r="C126" s="393"/>
      <c r="D126" s="393"/>
      <c r="E126" s="393"/>
      <c r="F126" s="393"/>
      <c r="G126" s="393"/>
      <c r="H126" s="393"/>
      <c r="I126" s="393"/>
      <c r="J126" s="393"/>
      <c r="K126" s="393"/>
      <c r="L126" s="393"/>
      <c r="M126" s="393"/>
      <c r="N126" s="393"/>
      <c r="O126" s="393"/>
      <c r="P126" s="393"/>
      <c r="Q126" s="393"/>
      <c r="R126" s="393"/>
      <c r="S126" s="393"/>
      <c r="T126" s="393"/>
      <c r="U126" s="393"/>
      <c r="V126" s="393"/>
      <c r="W126" s="393"/>
      <c r="X126" s="393"/>
      <c r="Y126" s="393"/>
      <c r="Z126" s="393"/>
    </row>
    <row r="127">
      <c r="A127" s="393"/>
      <c r="B127" s="393"/>
      <c r="C127" s="393"/>
      <c r="D127" s="393"/>
      <c r="E127" s="393"/>
      <c r="F127" s="393"/>
      <c r="G127" s="393"/>
      <c r="H127" s="393"/>
      <c r="I127" s="393"/>
      <c r="J127" s="393"/>
      <c r="K127" s="393"/>
      <c r="L127" s="393"/>
      <c r="M127" s="393"/>
      <c r="N127" s="393"/>
      <c r="O127" s="393"/>
      <c r="P127" s="393"/>
      <c r="Q127" s="393"/>
      <c r="R127" s="393"/>
      <c r="S127" s="393"/>
      <c r="T127" s="393"/>
      <c r="U127" s="393"/>
      <c r="V127" s="393"/>
      <c r="W127" s="393"/>
      <c r="X127" s="393"/>
      <c r="Y127" s="393"/>
      <c r="Z127" s="393"/>
    </row>
    <row r="128">
      <c r="B128" s="393"/>
      <c r="C128" s="393"/>
      <c r="D128" s="393"/>
      <c r="E128" s="393"/>
      <c r="F128" s="393"/>
      <c r="G128" s="393"/>
      <c r="H128" s="393"/>
      <c r="I128" s="393"/>
      <c r="J128" s="393"/>
      <c r="K128" s="393"/>
      <c r="L128" s="393"/>
      <c r="M128" s="393"/>
      <c r="N128" s="393"/>
      <c r="O128" s="393"/>
      <c r="P128" s="393"/>
      <c r="Q128" s="393"/>
      <c r="R128" s="393"/>
      <c r="S128" s="393"/>
      <c r="T128" s="393"/>
      <c r="U128" s="393"/>
      <c r="V128" s="393"/>
      <c r="W128" s="393"/>
      <c r="X128" s="393"/>
      <c r="Y128" s="393"/>
      <c r="Z128" s="393"/>
    </row>
    <row r="129">
      <c r="B129" s="393"/>
      <c r="C129" s="393"/>
      <c r="D129" s="393"/>
      <c r="E129" s="393"/>
      <c r="F129" s="393"/>
      <c r="G129" s="393"/>
      <c r="H129" s="393"/>
      <c r="I129" s="393"/>
      <c r="J129" s="393"/>
      <c r="K129" s="393"/>
      <c r="L129" s="393"/>
      <c r="M129" s="393"/>
      <c r="N129" s="393"/>
      <c r="O129" s="393"/>
      <c r="P129" s="393"/>
      <c r="Q129" s="393"/>
      <c r="R129" s="393"/>
      <c r="S129" s="393"/>
      <c r="T129" s="393"/>
      <c r="U129" s="393"/>
      <c r="V129" s="393"/>
      <c r="W129" s="393"/>
      <c r="X129" s="393"/>
      <c r="Y129" s="393"/>
      <c r="Z129" s="393"/>
    </row>
    <row r="130">
      <c r="B130" s="393"/>
      <c r="C130" s="393"/>
      <c r="D130" s="393"/>
      <c r="E130" s="393"/>
      <c r="F130" s="393"/>
      <c r="G130" s="393"/>
      <c r="H130" s="393"/>
      <c r="I130" s="393"/>
      <c r="J130" s="393"/>
      <c r="K130" s="393"/>
      <c r="L130" s="393"/>
      <c r="M130" s="393"/>
      <c r="N130" s="393"/>
      <c r="O130" s="393"/>
      <c r="P130" s="393"/>
      <c r="Q130" s="393"/>
      <c r="R130" s="393"/>
      <c r="S130" s="393"/>
      <c r="T130" s="393"/>
      <c r="U130" s="393"/>
      <c r="V130" s="393"/>
      <c r="W130" s="393"/>
      <c r="X130" s="393"/>
      <c r="Y130" s="393"/>
      <c r="Z130" s="393"/>
    </row>
    <row r="131">
      <c r="B131" s="393"/>
      <c r="C131" s="393"/>
      <c r="D131" s="393"/>
      <c r="E131" s="393"/>
      <c r="F131" s="393"/>
      <c r="G131" s="393"/>
      <c r="H131" s="393"/>
      <c r="I131" s="393"/>
      <c r="J131" s="393"/>
      <c r="K131" s="393"/>
      <c r="L131" s="393"/>
      <c r="M131" s="393"/>
      <c r="N131" s="393"/>
      <c r="O131" s="393"/>
      <c r="P131" s="393"/>
      <c r="Q131" s="393"/>
      <c r="R131" s="393"/>
      <c r="S131" s="393"/>
      <c r="T131" s="393"/>
      <c r="U131" s="393"/>
      <c r="V131" s="393"/>
      <c r="W131" s="393"/>
      <c r="X131" s="393"/>
      <c r="Y131" s="393"/>
      <c r="Z131" s="393"/>
    </row>
    <row r="132">
      <c r="B132" s="393"/>
      <c r="C132" s="393"/>
      <c r="D132" s="393"/>
      <c r="E132" s="393"/>
      <c r="F132" s="393"/>
      <c r="G132" s="393"/>
      <c r="H132" s="393"/>
      <c r="I132" s="393"/>
      <c r="J132" s="393"/>
      <c r="K132" s="393"/>
      <c r="L132" s="393"/>
      <c r="M132" s="393"/>
      <c r="N132" s="393"/>
      <c r="O132" s="393"/>
      <c r="P132" s="393"/>
      <c r="Q132" s="393"/>
      <c r="R132" s="393"/>
      <c r="S132" s="393"/>
      <c r="T132" s="393"/>
      <c r="U132" s="393"/>
      <c r="V132" s="393"/>
      <c r="W132" s="393"/>
      <c r="X132" s="393"/>
      <c r="Y132" s="393"/>
      <c r="Z132" s="393"/>
    </row>
    <row r="133">
      <c r="B133" s="393"/>
      <c r="C133" s="393"/>
      <c r="D133" s="393"/>
      <c r="E133" s="393"/>
      <c r="F133" s="393"/>
      <c r="G133" s="393"/>
      <c r="H133" s="393"/>
      <c r="I133" s="393"/>
      <c r="J133" s="393"/>
      <c r="K133" s="393"/>
      <c r="L133" s="393"/>
      <c r="M133" s="393"/>
      <c r="N133" s="393"/>
      <c r="O133" s="393"/>
      <c r="P133" s="393"/>
      <c r="Q133" s="393"/>
      <c r="R133" s="393"/>
      <c r="S133" s="393"/>
      <c r="T133" s="393"/>
      <c r="U133" s="393"/>
      <c r="V133" s="393"/>
      <c r="W133" s="393"/>
      <c r="X133" s="393"/>
      <c r="Y133" s="393"/>
      <c r="Z133" s="393"/>
    </row>
    <row r="134">
      <c r="B134" s="393"/>
      <c r="C134" s="393"/>
      <c r="D134" s="393"/>
      <c r="E134" s="393"/>
      <c r="F134" s="393"/>
      <c r="G134" s="393"/>
      <c r="H134" s="393"/>
      <c r="I134" s="393"/>
      <c r="J134" s="393"/>
      <c r="K134" s="393"/>
      <c r="L134" s="393"/>
      <c r="M134" s="393"/>
      <c r="N134" s="393"/>
      <c r="O134" s="393"/>
      <c r="P134" s="393"/>
      <c r="Q134" s="393"/>
      <c r="R134" s="393"/>
      <c r="S134" s="393"/>
      <c r="T134" s="393"/>
      <c r="U134" s="393"/>
      <c r="V134" s="393"/>
      <c r="W134" s="393"/>
      <c r="X134" s="393"/>
      <c r="Y134" s="393"/>
      <c r="Z134" s="393"/>
    </row>
    <row r="135">
      <c r="B135" s="393"/>
      <c r="C135" s="393"/>
      <c r="D135" s="393"/>
      <c r="E135" s="393"/>
      <c r="F135" s="393"/>
      <c r="G135" s="393"/>
      <c r="H135" s="393"/>
      <c r="I135" s="393"/>
      <c r="J135" s="393"/>
      <c r="K135" s="393"/>
      <c r="L135" s="393"/>
      <c r="M135" s="393"/>
      <c r="N135" s="393"/>
      <c r="O135" s="393"/>
      <c r="P135" s="393"/>
      <c r="Q135" s="393"/>
      <c r="R135" s="393"/>
      <c r="S135" s="393"/>
      <c r="T135" s="393"/>
      <c r="U135" s="393"/>
      <c r="V135" s="393"/>
      <c r="W135" s="393"/>
      <c r="X135" s="393"/>
      <c r="Y135" s="393"/>
      <c r="Z135" s="393"/>
    </row>
    <row r="136">
      <c r="B136" s="393"/>
      <c r="C136" s="393"/>
      <c r="D136" s="393"/>
      <c r="E136" s="393"/>
      <c r="F136" s="393"/>
      <c r="G136" s="393"/>
      <c r="H136" s="393"/>
      <c r="I136" s="393"/>
      <c r="J136" s="393"/>
      <c r="K136" s="393"/>
      <c r="L136" s="393"/>
      <c r="M136" s="393"/>
      <c r="N136" s="393"/>
      <c r="O136" s="393"/>
      <c r="P136" s="393"/>
      <c r="Q136" s="393"/>
      <c r="R136" s="393"/>
      <c r="S136" s="393"/>
      <c r="T136" s="393"/>
      <c r="U136" s="393"/>
      <c r="V136" s="393"/>
      <c r="W136" s="393"/>
      <c r="X136" s="393"/>
      <c r="Y136" s="393"/>
      <c r="Z136" s="393"/>
    </row>
    <row r="137">
      <c r="B137" s="393"/>
      <c r="C137" s="393"/>
      <c r="D137" s="393"/>
      <c r="E137" s="393"/>
      <c r="F137" s="393"/>
      <c r="G137" s="393"/>
      <c r="H137" s="393"/>
      <c r="I137" s="393"/>
      <c r="J137" s="393"/>
      <c r="K137" s="393"/>
      <c r="L137" s="393"/>
      <c r="M137" s="393"/>
      <c r="N137" s="393"/>
      <c r="O137" s="393"/>
      <c r="P137" s="393"/>
      <c r="Q137" s="393"/>
      <c r="R137" s="393"/>
      <c r="S137" s="393"/>
      <c r="T137" s="393"/>
      <c r="U137" s="393"/>
      <c r="V137" s="393"/>
      <c r="W137" s="393"/>
      <c r="X137" s="393"/>
      <c r="Y137" s="393"/>
      <c r="Z137" s="393"/>
    </row>
    <row r="138">
      <c r="B138" s="393"/>
      <c r="C138" s="393"/>
      <c r="D138" s="393"/>
      <c r="E138" s="393"/>
      <c r="F138" s="393"/>
      <c r="G138" s="393"/>
      <c r="H138" s="393"/>
      <c r="I138" s="393"/>
      <c r="J138" s="393"/>
      <c r="K138" s="393"/>
      <c r="L138" s="393"/>
      <c r="M138" s="393"/>
      <c r="N138" s="393"/>
      <c r="O138" s="393"/>
      <c r="P138" s="393"/>
      <c r="Q138" s="393"/>
      <c r="R138" s="393"/>
      <c r="S138" s="393"/>
      <c r="T138" s="393"/>
      <c r="U138" s="393"/>
      <c r="V138" s="393"/>
      <c r="W138" s="393"/>
      <c r="X138" s="393"/>
      <c r="Y138" s="393"/>
      <c r="Z138" s="393"/>
    </row>
    <row r="139">
      <c r="B139" s="393"/>
      <c r="C139" s="393"/>
      <c r="D139" s="393"/>
      <c r="E139" s="393"/>
      <c r="F139" s="393"/>
      <c r="G139" s="393"/>
      <c r="H139" s="393"/>
      <c r="I139" s="393"/>
      <c r="J139" s="393"/>
      <c r="K139" s="393"/>
      <c r="L139" s="393"/>
      <c r="M139" s="393"/>
      <c r="N139" s="393"/>
      <c r="O139" s="393"/>
      <c r="P139" s="393"/>
      <c r="Q139" s="393"/>
      <c r="R139" s="393"/>
      <c r="S139" s="393"/>
      <c r="T139" s="393"/>
      <c r="U139" s="393"/>
      <c r="V139" s="393"/>
      <c r="W139" s="393"/>
      <c r="X139" s="393"/>
      <c r="Y139" s="393"/>
      <c r="Z139" s="393"/>
    </row>
    <row r="140">
      <c r="B140" s="393"/>
      <c r="C140" s="393"/>
      <c r="D140" s="393"/>
      <c r="E140" s="393"/>
      <c r="F140" s="393"/>
      <c r="G140" s="393"/>
      <c r="H140" s="393"/>
      <c r="I140" s="393"/>
      <c r="J140" s="393"/>
      <c r="K140" s="393"/>
      <c r="L140" s="393"/>
      <c r="M140" s="393"/>
      <c r="N140" s="393"/>
      <c r="O140" s="393"/>
      <c r="P140" s="393"/>
      <c r="Q140" s="393"/>
      <c r="R140" s="393"/>
      <c r="S140" s="393"/>
      <c r="T140" s="393"/>
      <c r="U140" s="393"/>
      <c r="V140" s="393"/>
      <c r="W140" s="393"/>
      <c r="X140" s="393"/>
      <c r="Y140" s="393"/>
      <c r="Z140" s="393"/>
    </row>
    <row r="141">
      <c r="B141" s="393"/>
      <c r="C141" s="393"/>
      <c r="D141" s="393"/>
      <c r="E141" s="393"/>
      <c r="F141" s="393"/>
      <c r="G141" s="393"/>
      <c r="H141" s="393"/>
      <c r="I141" s="393"/>
      <c r="J141" s="393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  <c r="V141" s="393"/>
      <c r="W141" s="393"/>
      <c r="X141" s="393"/>
      <c r="Y141" s="393"/>
      <c r="Z141" s="393"/>
    </row>
    <row r="142">
      <c r="B142" s="393"/>
      <c r="C142" s="393"/>
      <c r="D142" s="393"/>
      <c r="E142" s="393"/>
      <c r="F142" s="393"/>
      <c r="G142" s="393"/>
      <c r="H142" s="393"/>
      <c r="I142" s="393"/>
      <c r="J142" s="393"/>
      <c r="K142" s="393"/>
      <c r="L142" s="393"/>
      <c r="M142" s="393"/>
      <c r="N142" s="393"/>
      <c r="O142" s="393"/>
      <c r="P142" s="393"/>
      <c r="Q142" s="393"/>
      <c r="R142" s="393"/>
      <c r="S142" s="393"/>
      <c r="T142" s="393"/>
      <c r="U142" s="393"/>
      <c r="V142" s="393"/>
      <c r="W142" s="393"/>
      <c r="X142" s="393"/>
      <c r="Y142" s="393"/>
      <c r="Z142" s="393"/>
    </row>
    <row r="143">
      <c r="B143" s="393"/>
      <c r="C143" s="393"/>
      <c r="D143" s="393"/>
      <c r="E143" s="393"/>
      <c r="F143" s="393"/>
      <c r="G143" s="393"/>
      <c r="H143" s="393"/>
      <c r="I143" s="393"/>
      <c r="J143" s="393"/>
      <c r="K143" s="393"/>
      <c r="L143" s="393"/>
      <c r="M143" s="393"/>
      <c r="N143" s="393"/>
      <c r="O143" s="393"/>
      <c r="P143" s="393"/>
      <c r="Q143" s="393"/>
      <c r="R143" s="393"/>
      <c r="S143" s="393"/>
      <c r="T143" s="393"/>
      <c r="U143" s="393"/>
      <c r="V143" s="393"/>
      <c r="W143" s="393"/>
      <c r="X143" s="393"/>
      <c r="Y143" s="393"/>
      <c r="Z143" s="393"/>
    </row>
    <row r="144">
      <c r="B144" s="393"/>
      <c r="C144" s="393"/>
      <c r="D144" s="393"/>
      <c r="E144" s="393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  <c r="Y144" s="393"/>
      <c r="Z144" s="393"/>
    </row>
    <row r="145">
      <c r="B145" s="393"/>
      <c r="C145" s="393"/>
      <c r="D145" s="393"/>
      <c r="E145" s="393"/>
      <c r="F145" s="393"/>
      <c r="G145" s="393"/>
      <c r="H145" s="393"/>
      <c r="I145" s="393"/>
      <c r="J145" s="393"/>
      <c r="K145" s="393"/>
      <c r="L145" s="393"/>
      <c r="M145" s="393"/>
      <c r="N145" s="393"/>
      <c r="O145" s="393"/>
      <c r="P145" s="393"/>
      <c r="Q145" s="393"/>
      <c r="R145" s="393"/>
      <c r="S145" s="393"/>
      <c r="T145" s="393"/>
      <c r="U145" s="393"/>
      <c r="V145" s="393"/>
      <c r="W145" s="393"/>
      <c r="X145" s="393"/>
      <c r="Y145" s="393"/>
      <c r="Z145" s="393"/>
    </row>
    <row r="146">
      <c r="B146" s="393"/>
      <c r="C146" s="393"/>
      <c r="D146" s="393"/>
      <c r="E146" s="393"/>
      <c r="F146" s="393"/>
      <c r="G146" s="393"/>
      <c r="H146" s="393"/>
      <c r="I146" s="393"/>
      <c r="J146" s="393"/>
      <c r="K146" s="393"/>
      <c r="L146" s="393"/>
      <c r="M146" s="393"/>
      <c r="N146" s="393"/>
      <c r="O146" s="393"/>
      <c r="P146" s="393"/>
      <c r="Q146" s="393"/>
      <c r="R146" s="393"/>
      <c r="S146" s="393"/>
      <c r="T146" s="393"/>
      <c r="U146" s="393"/>
      <c r="V146" s="393"/>
      <c r="W146" s="393"/>
      <c r="X146" s="393"/>
      <c r="Y146" s="393"/>
      <c r="Z146" s="393"/>
    </row>
    <row r="147">
      <c r="B147" s="393"/>
      <c r="C147" s="393"/>
      <c r="D147" s="393"/>
      <c r="E147" s="393"/>
      <c r="F147" s="393"/>
      <c r="G147" s="393"/>
      <c r="H147" s="393"/>
      <c r="I147" s="393"/>
      <c r="J147" s="393"/>
      <c r="K147" s="393"/>
      <c r="L147" s="393"/>
      <c r="M147" s="393"/>
      <c r="N147" s="393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  <c r="Y147" s="393"/>
      <c r="Z147" s="393"/>
    </row>
    <row r="148">
      <c r="B148" s="393"/>
      <c r="C148" s="393"/>
      <c r="D148" s="393"/>
      <c r="E148" s="393"/>
      <c r="F148" s="393"/>
      <c r="G148" s="393"/>
      <c r="H148" s="393"/>
      <c r="I148" s="393"/>
      <c r="J148" s="393"/>
      <c r="K148" s="393"/>
      <c r="L148" s="393"/>
      <c r="M148" s="393"/>
      <c r="N148" s="393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  <c r="Y148" s="393"/>
      <c r="Z148" s="393"/>
    </row>
    <row r="149">
      <c r="A149" s="393"/>
      <c r="B149" s="393"/>
      <c r="C149" s="393"/>
      <c r="D149" s="393"/>
      <c r="E149" s="393"/>
      <c r="F149" s="393"/>
      <c r="G149" s="393"/>
      <c r="H149" s="393"/>
      <c r="I149" s="393"/>
      <c r="J149" s="393"/>
      <c r="K149" s="393"/>
      <c r="L149" s="393"/>
      <c r="M149" s="393"/>
      <c r="N149" s="393"/>
      <c r="O149" s="393"/>
      <c r="P149" s="393"/>
      <c r="Q149" s="393"/>
      <c r="R149" s="393"/>
      <c r="S149" s="393"/>
      <c r="T149" s="393"/>
      <c r="U149" s="393"/>
      <c r="V149" s="393"/>
      <c r="W149" s="393"/>
      <c r="X149" s="393"/>
      <c r="Y149" s="393"/>
      <c r="Z149" s="393"/>
    </row>
    <row r="150">
      <c r="B150" s="393"/>
      <c r="C150" s="393"/>
      <c r="D150" s="393"/>
      <c r="E150" s="393"/>
      <c r="F150" s="393"/>
      <c r="G150" s="393"/>
      <c r="H150" s="393"/>
      <c r="I150" s="393"/>
      <c r="J150" s="393"/>
      <c r="K150" s="393"/>
      <c r="L150" s="393"/>
      <c r="M150" s="393"/>
      <c r="N150" s="393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  <c r="Y150" s="393"/>
      <c r="Z150" s="393"/>
    </row>
    <row r="151">
      <c r="B151" s="393"/>
      <c r="C151" s="393"/>
      <c r="D151" s="393"/>
      <c r="E151" s="393"/>
      <c r="F151" s="393"/>
      <c r="G151" s="393"/>
      <c r="H151" s="393"/>
      <c r="I151" s="393"/>
      <c r="J151" s="393"/>
      <c r="K151" s="393"/>
      <c r="L151" s="393"/>
      <c r="M151" s="393"/>
      <c r="N151" s="393"/>
      <c r="O151" s="393"/>
      <c r="P151" s="393"/>
      <c r="Q151" s="393"/>
      <c r="R151" s="393"/>
      <c r="S151" s="393"/>
      <c r="T151" s="393"/>
      <c r="U151" s="393"/>
      <c r="V151" s="393"/>
      <c r="W151" s="393"/>
      <c r="X151" s="393"/>
      <c r="Y151" s="393"/>
      <c r="Z151" s="393"/>
    </row>
    <row r="152">
      <c r="B152" s="393"/>
      <c r="C152" s="393"/>
      <c r="D152" s="393"/>
      <c r="E152" s="393"/>
      <c r="F152" s="393"/>
      <c r="G152" s="393"/>
      <c r="H152" s="393"/>
      <c r="I152" s="393"/>
      <c r="J152" s="393"/>
      <c r="K152" s="393"/>
      <c r="L152" s="393"/>
      <c r="M152" s="393"/>
      <c r="N152" s="393"/>
      <c r="O152" s="393"/>
      <c r="P152" s="393"/>
      <c r="Q152" s="393"/>
      <c r="R152" s="393"/>
      <c r="S152" s="393"/>
      <c r="T152" s="393"/>
      <c r="U152" s="393"/>
      <c r="V152" s="393"/>
      <c r="W152" s="393"/>
      <c r="X152" s="393"/>
      <c r="Y152" s="393"/>
      <c r="Z152" s="393"/>
    </row>
    <row r="153">
      <c r="B153" s="393"/>
      <c r="C153" s="393"/>
      <c r="D153" s="393"/>
      <c r="E153" s="393"/>
      <c r="F153" s="393"/>
      <c r="G153" s="393"/>
      <c r="H153" s="393"/>
      <c r="I153" s="393"/>
      <c r="J153" s="393"/>
      <c r="K153" s="393"/>
      <c r="L153" s="393"/>
      <c r="M153" s="393"/>
      <c r="N153" s="393"/>
      <c r="O153" s="393"/>
      <c r="P153" s="393"/>
      <c r="Q153" s="393"/>
      <c r="R153" s="393"/>
      <c r="S153" s="393"/>
      <c r="T153" s="393"/>
      <c r="U153" s="393"/>
      <c r="V153" s="393"/>
      <c r="W153" s="393"/>
      <c r="X153" s="393"/>
      <c r="Y153" s="393"/>
      <c r="Z153" s="393"/>
    </row>
    <row r="154">
      <c r="B154" s="393"/>
      <c r="C154" s="393"/>
      <c r="D154" s="393"/>
      <c r="E154" s="393"/>
      <c r="F154" s="393"/>
      <c r="G154" s="393"/>
      <c r="H154" s="393"/>
      <c r="I154" s="393"/>
      <c r="J154" s="393"/>
      <c r="K154" s="393"/>
      <c r="L154" s="393"/>
      <c r="M154" s="393"/>
      <c r="N154" s="393"/>
      <c r="O154" s="393"/>
      <c r="P154" s="393"/>
      <c r="Q154" s="393"/>
      <c r="R154" s="393"/>
      <c r="S154" s="393"/>
      <c r="T154" s="393"/>
      <c r="U154" s="393"/>
      <c r="V154" s="393"/>
      <c r="W154" s="393"/>
      <c r="X154" s="393"/>
      <c r="Y154" s="393"/>
      <c r="Z154" s="393"/>
    </row>
    <row r="155">
      <c r="B155" s="393"/>
      <c r="C155" s="393"/>
      <c r="D155" s="393"/>
      <c r="E155" s="393"/>
      <c r="F155" s="393"/>
      <c r="G155" s="393"/>
      <c r="H155" s="393"/>
      <c r="I155" s="393"/>
      <c r="J155" s="393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  <c r="Y155" s="393"/>
      <c r="Z155" s="393"/>
    </row>
    <row r="156">
      <c r="B156" s="393"/>
      <c r="C156" s="393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</row>
    <row r="157">
      <c r="B157" s="393"/>
      <c r="C157" s="393"/>
      <c r="D157" s="393"/>
      <c r="E157" s="393"/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</row>
    <row r="158">
      <c r="B158" s="393"/>
      <c r="C158" s="393"/>
      <c r="D158" s="393"/>
      <c r="E158" s="393"/>
      <c r="F158" s="393"/>
      <c r="G158" s="393"/>
      <c r="H158" s="393"/>
      <c r="I158" s="393"/>
      <c r="J158" s="393"/>
      <c r="K158" s="393"/>
      <c r="L158" s="393"/>
      <c r="M158" s="393"/>
      <c r="N158" s="393"/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  <c r="Y158" s="393"/>
      <c r="Z158" s="393"/>
    </row>
    <row r="159">
      <c r="B159" s="393"/>
      <c r="C159" s="393"/>
      <c r="D159" s="393"/>
      <c r="E159" s="393"/>
      <c r="F159" s="393"/>
      <c r="G159" s="393"/>
      <c r="H159" s="393"/>
      <c r="I159" s="393"/>
      <c r="J159" s="393"/>
      <c r="K159" s="393"/>
      <c r="L159" s="393"/>
      <c r="M159" s="393"/>
      <c r="N159" s="393"/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  <c r="Y159" s="393"/>
      <c r="Z159" s="393"/>
    </row>
    <row r="160">
      <c r="B160" s="393"/>
      <c r="C160" s="393"/>
      <c r="D160" s="393"/>
      <c r="E160" s="393"/>
      <c r="F160" s="393"/>
      <c r="G160" s="393"/>
      <c r="H160" s="393"/>
      <c r="I160" s="393"/>
      <c r="J160" s="393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  <c r="Y160" s="393"/>
      <c r="Z160" s="393"/>
    </row>
    <row r="161">
      <c r="B161" s="393"/>
      <c r="C161" s="393"/>
      <c r="D161" s="393"/>
      <c r="E161" s="393"/>
      <c r="F161" s="393"/>
      <c r="G161" s="393"/>
      <c r="H161" s="393"/>
      <c r="I161" s="393"/>
      <c r="J161" s="393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  <c r="Y161" s="393"/>
      <c r="Z161" s="393"/>
    </row>
    <row r="162">
      <c r="B162" s="393"/>
      <c r="C162" s="393"/>
      <c r="D162" s="393"/>
      <c r="E162" s="393"/>
      <c r="F162" s="393"/>
      <c r="G162" s="393"/>
      <c r="H162" s="393"/>
      <c r="I162" s="393"/>
      <c r="J162" s="393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  <c r="Y162" s="393"/>
      <c r="Z162" s="393"/>
    </row>
    <row r="163">
      <c r="B163" s="393"/>
      <c r="C163" s="393"/>
      <c r="D163" s="393"/>
      <c r="E163" s="393"/>
      <c r="F163" s="393"/>
      <c r="G163" s="393"/>
      <c r="H163" s="393"/>
      <c r="I163" s="393"/>
      <c r="J163" s="393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  <c r="Y163" s="393"/>
      <c r="Z163" s="393"/>
    </row>
    <row r="164">
      <c r="B164" s="393"/>
      <c r="C164" s="393"/>
      <c r="D164" s="393"/>
      <c r="E164" s="393"/>
      <c r="F164" s="393"/>
      <c r="G164" s="393"/>
      <c r="H164" s="393"/>
      <c r="I164" s="393"/>
      <c r="J164" s="393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  <c r="Y164" s="393"/>
      <c r="Z164" s="393"/>
    </row>
    <row r="165">
      <c r="B165" s="393"/>
      <c r="C165" s="393"/>
      <c r="D165" s="393"/>
      <c r="E165" s="393"/>
      <c r="F165" s="393"/>
      <c r="G165" s="393"/>
      <c r="H165" s="393"/>
      <c r="I165" s="393"/>
      <c r="J165" s="393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  <c r="Y165" s="393"/>
      <c r="Z165" s="393"/>
    </row>
    <row r="166">
      <c r="B166" s="393"/>
      <c r="C166" s="393"/>
      <c r="D166" s="393"/>
      <c r="E166" s="393"/>
      <c r="F166" s="393"/>
      <c r="G166" s="393"/>
      <c r="H166" s="393"/>
      <c r="I166" s="393"/>
      <c r="J166" s="393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  <c r="Y166" s="393"/>
      <c r="Z166" s="393"/>
    </row>
    <row r="167">
      <c r="B167" s="393"/>
      <c r="C167" s="393"/>
      <c r="D167" s="393"/>
      <c r="E167" s="393"/>
      <c r="F167" s="393"/>
      <c r="G167" s="393"/>
      <c r="H167" s="393"/>
      <c r="I167" s="393"/>
      <c r="J167" s="393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  <c r="Y167" s="393"/>
      <c r="Z167" s="393"/>
    </row>
    <row r="168">
      <c r="B168" s="393"/>
      <c r="C168" s="393"/>
      <c r="D168" s="393"/>
      <c r="E168" s="393"/>
      <c r="F168" s="393"/>
      <c r="G168" s="393"/>
      <c r="H168" s="393"/>
      <c r="I168" s="393"/>
      <c r="J168" s="393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  <c r="Y168" s="393"/>
      <c r="Z168" s="393"/>
    </row>
    <row r="169">
      <c r="B169" s="393"/>
      <c r="C169" s="393"/>
      <c r="D169" s="393"/>
      <c r="E169" s="393"/>
      <c r="F169" s="393"/>
      <c r="G169" s="393"/>
      <c r="H169" s="393"/>
      <c r="I169" s="393"/>
      <c r="J169" s="393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  <c r="Y169" s="393"/>
      <c r="Z169" s="393"/>
    </row>
    <row r="170">
      <c r="B170" s="393"/>
      <c r="C170" s="393"/>
      <c r="D170" s="393"/>
      <c r="E170" s="393"/>
      <c r="F170" s="393"/>
      <c r="G170" s="393"/>
      <c r="H170" s="393"/>
      <c r="I170" s="393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  <c r="Z170" s="393"/>
    </row>
    <row r="171">
      <c r="B171" s="393"/>
      <c r="C171" s="393"/>
      <c r="D171" s="393"/>
      <c r="E171" s="393"/>
      <c r="F171" s="393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93"/>
      <c r="Z171" s="393"/>
    </row>
    <row r="172">
      <c r="B172" s="393"/>
      <c r="C172" s="393"/>
      <c r="D172" s="393"/>
      <c r="E172" s="393"/>
      <c r="F172" s="393"/>
      <c r="G172" s="393"/>
      <c r="H172" s="393"/>
      <c r="I172" s="393"/>
      <c r="J172" s="393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  <c r="Y172" s="393"/>
      <c r="Z172" s="393"/>
    </row>
    <row r="173">
      <c r="A173" s="393"/>
      <c r="B173" s="393"/>
      <c r="C173" s="393"/>
      <c r="D173" s="393"/>
      <c r="E173" s="393"/>
      <c r="F173" s="393"/>
      <c r="G173" s="393"/>
      <c r="H173" s="393"/>
      <c r="I173" s="393"/>
      <c r="J173" s="393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93"/>
      <c r="Z173" s="393"/>
    </row>
    <row r="174">
      <c r="B174" s="393"/>
      <c r="C174" s="393"/>
      <c r="D174" s="393"/>
      <c r="E174" s="393"/>
      <c r="F174" s="393"/>
      <c r="G174" s="393"/>
      <c r="H174" s="393"/>
      <c r="I174" s="393"/>
      <c r="J174" s="393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  <c r="Y174" s="393"/>
      <c r="Z174" s="393"/>
    </row>
    <row r="175">
      <c r="B175" s="393"/>
      <c r="C175" s="393"/>
      <c r="D175" s="393"/>
      <c r="E175" s="393"/>
      <c r="F175" s="393"/>
      <c r="G175" s="393"/>
      <c r="H175" s="393"/>
      <c r="I175" s="393"/>
      <c r="J175" s="393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  <c r="Z175" s="393"/>
    </row>
    <row r="176">
      <c r="B176" s="393"/>
      <c r="C176" s="393"/>
      <c r="D176" s="393"/>
      <c r="E176" s="393"/>
      <c r="F176" s="393"/>
      <c r="G176" s="393"/>
      <c r="H176" s="393"/>
      <c r="I176" s="393"/>
      <c r="J176" s="393"/>
      <c r="K176" s="393"/>
      <c r="L176" s="393"/>
      <c r="M176" s="393"/>
      <c r="N176" s="393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93"/>
      <c r="Z176" s="393"/>
    </row>
    <row r="177">
      <c r="B177" s="393"/>
      <c r="C177" s="393"/>
      <c r="D177" s="393"/>
      <c r="E177" s="393"/>
      <c r="F177" s="393"/>
      <c r="G177" s="393"/>
      <c r="H177" s="393"/>
      <c r="I177" s="393"/>
      <c r="J177" s="393"/>
      <c r="K177" s="393"/>
      <c r="L177" s="393"/>
      <c r="M177" s="393"/>
      <c r="N177" s="393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93"/>
      <c r="Z177" s="393"/>
    </row>
    <row r="178">
      <c r="B178" s="393"/>
      <c r="C178" s="393"/>
      <c r="D178" s="393"/>
      <c r="E178" s="393"/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</row>
    <row r="179">
      <c r="B179" s="393"/>
      <c r="C179" s="393"/>
      <c r="D179" s="393"/>
      <c r="E179" s="393"/>
      <c r="F179" s="393"/>
      <c r="G179" s="39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93"/>
      <c r="Z179" s="393"/>
    </row>
    <row r="180">
      <c r="B180" s="393"/>
      <c r="C180" s="393"/>
      <c r="D180" s="393"/>
      <c r="E180" s="393"/>
      <c r="F180" s="393"/>
      <c r="G180" s="393"/>
      <c r="H180" s="393"/>
      <c r="I180" s="393"/>
      <c r="J180" s="393"/>
      <c r="K180" s="393"/>
      <c r="L180" s="393"/>
      <c r="M180" s="393"/>
      <c r="N180" s="393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93"/>
      <c r="Z180" s="393"/>
    </row>
    <row r="181">
      <c r="B181" s="393"/>
      <c r="C181" s="393"/>
      <c r="D181" s="393"/>
      <c r="E181" s="393"/>
      <c r="F181" s="393"/>
      <c r="G181" s="393"/>
      <c r="H181" s="393"/>
      <c r="I181" s="393"/>
      <c r="J181" s="393"/>
      <c r="K181" s="393"/>
      <c r="L181" s="393"/>
      <c r="M181" s="393"/>
      <c r="N181" s="393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93"/>
      <c r="Z181" s="393"/>
    </row>
    <row r="182">
      <c r="B182" s="393"/>
      <c r="C182" s="393"/>
      <c r="D182" s="393"/>
      <c r="E182" s="393"/>
      <c r="F182" s="393"/>
      <c r="G182" s="393"/>
      <c r="H182" s="393"/>
      <c r="I182" s="393"/>
      <c r="J182" s="393"/>
      <c r="K182" s="393"/>
      <c r="L182" s="393"/>
      <c r="M182" s="393"/>
      <c r="N182" s="393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93"/>
      <c r="Z182" s="393"/>
    </row>
    <row r="183">
      <c r="B183" s="393"/>
      <c r="C183" s="393"/>
      <c r="D183" s="393"/>
      <c r="E183" s="393"/>
      <c r="F183" s="393"/>
      <c r="G183" s="393"/>
      <c r="H183" s="393"/>
      <c r="I183" s="393"/>
      <c r="J183" s="393"/>
      <c r="K183" s="393"/>
      <c r="L183" s="393"/>
      <c r="M183" s="393"/>
      <c r="N183" s="393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93"/>
      <c r="Z183" s="393"/>
    </row>
    <row r="184">
      <c r="B184" s="393"/>
      <c r="C184" s="393"/>
      <c r="D184" s="393"/>
      <c r="E184" s="393"/>
      <c r="F184" s="393"/>
      <c r="G184" s="393"/>
      <c r="H184" s="393"/>
      <c r="I184" s="393"/>
      <c r="J184" s="393"/>
      <c r="K184" s="393"/>
      <c r="L184" s="393"/>
      <c r="M184" s="393"/>
      <c r="N184" s="393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  <c r="Y184" s="393"/>
      <c r="Z184" s="393"/>
    </row>
    <row r="185">
      <c r="B185" s="393"/>
      <c r="C185" s="393"/>
      <c r="D185" s="393"/>
      <c r="E185" s="393"/>
      <c r="F185" s="393"/>
      <c r="G185" s="393"/>
      <c r="H185" s="393"/>
      <c r="I185" s="393"/>
      <c r="J185" s="393"/>
      <c r="K185" s="393"/>
      <c r="L185" s="393"/>
      <c r="M185" s="393"/>
      <c r="N185" s="393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  <c r="Y185" s="393"/>
      <c r="Z185" s="393"/>
    </row>
    <row r="186">
      <c r="B186" s="393"/>
      <c r="C186" s="393"/>
      <c r="D186" s="393"/>
      <c r="E186" s="393"/>
      <c r="F186" s="393"/>
      <c r="G186" s="393"/>
      <c r="H186" s="393"/>
      <c r="I186" s="393"/>
      <c r="J186" s="393"/>
      <c r="K186" s="393"/>
      <c r="L186" s="393"/>
      <c r="M186" s="393"/>
      <c r="N186" s="393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  <c r="Y186" s="393"/>
      <c r="Z186" s="393"/>
    </row>
    <row r="187">
      <c r="B187" s="393"/>
      <c r="C187" s="393"/>
      <c r="D187" s="393"/>
      <c r="E187" s="393"/>
      <c r="F187" s="393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  <c r="Z187" s="393"/>
    </row>
    <row r="188">
      <c r="B188" s="393"/>
      <c r="C188" s="393"/>
      <c r="D188" s="393"/>
      <c r="E188" s="393"/>
      <c r="F188" s="393"/>
      <c r="G188" s="393"/>
      <c r="H188" s="393"/>
      <c r="I188" s="393"/>
      <c r="J188" s="393"/>
      <c r="K188" s="393"/>
      <c r="L188" s="393"/>
      <c r="M188" s="393"/>
      <c r="N188" s="393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  <c r="Y188" s="393"/>
      <c r="Z188" s="393"/>
    </row>
    <row r="189">
      <c r="B189" s="393"/>
      <c r="C189" s="393"/>
      <c r="D189" s="393"/>
      <c r="E189" s="393"/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</row>
    <row r="190">
      <c r="B190" s="393"/>
      <c r="C190" s="393"/>
      <c r="D190" s="393"/>
      <c r="E190" s="393"/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</row>
    <row r="191">
      <c r="B191" s="393"/>
      <c r="C191" s="393"/>
      <c r="D191" s="393"/>
      <c r="E191" s="393"/>
      <c r="F191" s="393"/>
      <c r="G191" s="393"/>
      <c r="H191" s="393"/>
      <c r="I191" s="393"/>
      <c r="J191" s="393"/>
      <c r="K191" s="393"/>
      <c r="L191" s="393"/>
      <c r="M191" s="393"/>
      <c r="N191" s="393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93"/>
      <c r="Z191" s="393"/>
    </row>
    <row r="192">
      <c r="B192" s="393"/>
      <c r="C192" s="393"/>
      <c r="D192" s="393"/>
      <c r="E192" s="393"/>
      <c r="F192" s="393"/>
      <c r="G192" s="393"/>
      <c r="H192" s="393"/>
      <c r="I192" s="393"/>
      <c r="J192" s="393"/>
      <c r="K192" s="393"/>
      <c r="L192" s="393"/>
      <c r="M192" s="393"/>
      <c r="N192" s="393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  <c r="Y192" s="393"/>
      <c r="Z192" s="393"/>
    </row>
    <row r="193">
      <c r="B193" s="393"/>
      <c r="C193" s="393"/>
      <c r="D193" s="393"/>
      <c r="E193" s="393"/>
      <c r="F193" s="393"/>
      <c r="G193" s="393"/>
      <c r="H193" s="393"/>
      <c r="I193" s="393"/>
      <c r="J193" s="393"/>
      <c r="K193" s="393"/>
      <c r="L193" s="393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93"/>
      <c r="Z193" s="393"/>
    </row>
    <row r="194">
      <c r="B194" s="393"/>
      <c r="C194" s="393"/>
      <c r="D194" s="393"/>
      <c r="E194" s="393"/>
      <c r="F194" s="393"/>
      <c r="G194" s="393"/>
      <c r="H194" s="393"/>
      <c r="I194" s="393"/>
      <c r="J194" s="393"/>
      <c r="K194" s="393"/>
      <c r="L194" s="393"/>
      <c r="M194" s="393"/>
      <c r="N194" s="393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  <c r="Y194" s="393"/>
      <c r="Z194" s="393"/>
    </row>
    <row r="195">
      <c r="B195" s="393"/>
      <c r="C195" s="393"/>
      <c r="D195" s="393"/>
      <c r="E195" s="393"/>
      <c r="F195" s="393"/>
      <c r="G195" s="393"/>
      <c r="H195" s="393"/>
      <c r="I195" s="393"/>
      <c r="J195" s="393"/>
      <c r="K195" s="393"/>
      <c r="L195" s="393"/>
      <c r="M195" s="393"/>
      <c r="N195" s="393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  <c r="Y195" s="393"/>
      <c r="Z195" s="393"/>
    </row>
    <row r="196">
      <c r="B196" s="393"/>
      <c r="C196" s="393"/>
      <c r="D196" s="393"/>
      <c r="E196" s="393"/>
      <c r="F196" s="393"/>
      <c r="G196" s="393"/>
      <c r="H196" s="393"/>
      <c r="I196" s="393"/>
      <c r="J196" s="393"/>
      <c r="K196" s="393"/>
      <c r="L196" s="393"/>
      <c r="M196" s="393"/>
      <c r="N196" s="393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  <c r="Y196" s="393"/>
      <c r="Z196" s="393"/>
    </row>
    <row r="197">
      <c r="B197" s="393"/>
      <c r="C197" s="393"/>
      <c r="D197" s="393"/>
      <c r="E197" s="393"/>
      <c r="F197" s="393"/>
      <c r="G197" s="393"/>
      <c r="H197" s="393"/>
      <c r="I197" s="393"/>
      <c r="J197" s="393"/>
      <c r="K197" s="393"/>
      <c r="L197" s="393"/>
      <c r="M197" s="393"/>
      <c r="N197" s="393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  <c r="Y197" s="393"/>
      <c r="Z197" s="393"/>
    </row>
    <row r="198">
      <c r="A198" s="393"/>
      <c r="B198" s="393"/>
      <c r="C198" s="393"/>
      <c r="D198" s="393"/>
      <c r="E198" s="393"/>
      <c r="F198" s="393"/>
      <c r="G198" s="393"/>
      <c r="H198" s="393"/>
      <c r="I198" s="393"/>
      <c r="J198" s="393"/>
      <c r="K198" s="393"/>
      <c r="L198" s="393"/>
      <c r="M198" s="393"/>
      <c r="N198" s="393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  <c r="Y198" s="393"/>
      <c r="Z198" s="393"/>
    </row>
    <row r="199">
      <c r="B199" s="393"/>
      <c r="C199" s="393"/>
      <c r="D199" s="393"/>
      <c r="E199" s="393"/>
      <c r="F199" s="393"/>
      <c r="G199" s="393"/>
      <c r="H199" s="393"/>
      <c r="I199" s="393"/>
      <c r="J199" s="393"/>
      <c r="K199" s="393"/>
      <c r="L199" s="393"/>
      <c r="M199" s="393"/>
      <c r="N199" s="393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  <c r="Y199" s="393"/>
      <c r="Z199" s="393"/>
    </row>
    <row r="200">
      <c r="B200" s="393"/>
      <c r="C200" s="393"/>
      <c r="D200" s="393"/>
      <c r="E200" s="393"/>
      <c r="F200" s="393"/>
      <c r="G200" s="393"/>
      <c r="H200" s="393"/>
      <c r="I200" s="393"/>
      <c r="J200" s="393"/>
      <c r="K200" s="393"/>
      <c r="L200" s="393"/>
      <c r="M200" s="393"/>
      <c r="N200" s="393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  <c r="Y200" s="393"/>
      <c r="Z200" s="393"/>
    </row>
    <row r="201">
      <c r="B201" s="393"/>
      <c r="C201" s="393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</row>
    <row r="202">
      <c r="B202" s="393"/>
      <c r="C202" s="393"/>
      <c r="D202" s="393"/>
      <c r="E202" s="393"/>
      <c r="F202" s="393"/>
      <c r="G202" s="393"/>
      <c r="H202" s="393"/>
      <c r="I202" s="393"/>
      <c r="J202" s="393"/>
      <c r="K202" s="39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  <c r="Z202" s="393"/>
    </row>
    <row r="203">
      <c r="B203" s="393"/>
      <c r="C203" s="393"/>
      <c r="D203" s="393"/>
      <c r="E203" s="393"/>
      <c r="F203" s="393"/>
      <c r="G203" s="393"/>
      <c r="H203" s="393"/>
      <c r="I203" s="393"/>
      <c r="J203" s="393"/>
      <c r="K203" s="393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  <c r="Z203" s="393"/>
    </row>
    <row r="204">
      <c r="B204" s="393"/>
      <c r="C204" s="393"/>
      <c r="D204" s="393"/>
      <c r="E204" s="393"/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  <c r="Z204" s="393"/>
    </row>
    <row r="205">
      <c r="B205" s="393"/>
      <c r="C205" s="393"/>
      <c r="D205" s="393"/>
      <c r="E205" s="393"/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  <c r="Z205" s="393"/>
    </row>
    <row r="206">
      <c r="B206" s="393"/>
      <c r="C206" s="393"/>
      <c r="D206" s="393"/>
      <c r="E206" s="393"/>
      <c r="F206" s="393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</row>
    <row r="207">
      <c r="B207" s="393"/>
      <c r="C207" s="393"/>
      <c r="D207" s="393"/>
      <c r="E207" s="393"/>
      <c r="F207" s="393"/>
      <c r="G207" s="393"/>
      <c r="H207" s="393"/>
      <c r="I207" s="393"/>
      <c r="J207" s="393"/>
      <c r="K207" s="393"/>
      <c r="L207" s="393"/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  <c r="Z207" s="393"/>
    </row>
    <row r="208">
      <c r="B208" s="393"/>
      <c r="C208" s="393"/>
      <c r="D208" s="393"/>
      <c r="E208" s="393"/>
      <c r="F208" s="393"/>
      <c r="G208" s="393"/>
      <c r="H208" s="393"/>
      <c r="I208" s="393"/>
      <c r="J208" s="393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  <c r="Z208" s="393"/>
    </row>
    <row r="209">
      <c r="B209" s="393"/>
      <c r="C209" s="393"/>
      <c r="D209" s="393"/>
      <c r="E209" s="393"/>
      <c r="F209" s="393"/>
      <c r="G209" s="393"/>
      <c r="H209" s="393"/>
      <c r="I209" s="393"/>
      <c r="J209" s="393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  <c r="Z209" s="393"/>
    </row>
    <row r="210">
      <c r="B210" s="393"/>
      <c r="C210" s="393"/>
      <c r="D210" s="393"/>
      <c r="E210" s="393"/>
      <c r="F210" s="393"/>
      <c r="G210" s="393"/>
      <c r="H210" s="393"/>
      <c r="I210" s="393"/>
      <c r="J210" s="393"/>
      <c r="K210" s="393"/>
      <c r="L210" s="393"/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  <c r="Z210" s="393"/>
    </row>
    <row r="211">
      <c r="B211" s="393"/>
      <c r="C211" s="393"/>
      <c r="D211" s="393"/>
      <c r="E211" s="393"/>
      <c r="F211" s="393"/>
      <c r="G211" s="393"/>
      <c r="H211" s="393"/>
      <c r="I211" s="393"/>
      <c r="J211" s="393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  <c r="Z211" s="393"/>
    </row>
    <row r="212">
      <c r="B212" s="393"/>
      <c r="C212" s="393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</row>
    <row r="213">
      <c r="B213" s="393"/>
      <c r="C213" s="393"/>
      <c r="D213" s="393"/>
      <c r="E213" s="393"/>
      <c r="F213" s="393"/>
      <c r="G213" s="393"/>
      <c r="H213" s="393"/>
      <c r="I213" s="393"/>
      <c r="J213" s="393"/>
      <c r="K213" s="393"/>
      <c r="L213" s="393"/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  <c r="Z213" s="393"/>
    </row>
    <row r="214">
      <c r="B214" s="393"/>
      <c r="C214" s="393"/>
      <c r="D214" s="393"/>
      <c r="E214" s="393"/>
      <c r="F214" s="393"/>
      <c r="G214" s="393"/>
      <c r="H214" s="393"/>
      <c r="I214" s="393"/>
      <c r="J214" s="393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  <c r="Z214" s="393"/>
    </row>
    <row r="215">
      <c r="B215" s="393"/>
      <c r="C215" s="393"/>
      <c r="D215" s="393"/>
      <c r="E215" s="393"/>
      <c r="F215" s="393"/>
      <c r="G215" s="393"/>
      <c r="H215" s="393"/>
      <c r="I215" s="393"/>
      <c r="J215" s="393"/>
      <c r="K215" s="393"/>
      <c r="L215" s="393"/>
      <c r="M215" s="393"/>
      <c r="N215" s="393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  <c r="Y215" s="393"/>
      <c r="Z215" s="393"/>
    </row>
    <row r="216">
      <c r="B216" s="393"/>
      <c r="C216" s="393"/>
      <c r="D216" s="393"/>
      <c r="E216" s="393"/>
      <c r="F216" s="393"/>
      <c r="G216" s="393"/>
      <c r="H216" s="393"/>
      <c r="I216" s="393"/>
      <c r="J216" s="393"/>
      <c r="K216" s="393"/>
      <c r="L216" s="393"/>
      <c r="M216" s="393"/>
      <c r="N216" s="393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  <c r="Y216" s="393"/>
      <c r="Z216" s="393"/>
    </row>
    <row r="217">
      <c r="B217" s="393"/>
      <c r="C217" s="393"/>
      <c r="D217" s="393"/>
      <c r="E217" s="393"/>
      <c r="F217" s="393"/>
      <c r="G217" s="393"/>
      <c r="H217" s="393"/>
      <c r="I217" s="393"/>
      <c r="J217" s="393"/>
      <c r="K217" s="393"/>
      <c r="L217" s="393"/>
      <c r="M217" s="393"/>
      <c r="N217" s="393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  <c r="Y217" s="393"/>
      <c r="Z217" s="393"/>
    </row>
    <row r="218">
      <c r="B218" s="393"/>
      <c r="C218" s="393"/>
      <c r="D218" s="393"/>
      <c r="E218" s="393"/>
      <c r="F218" s="393"/>
      <c r="G218" s="393"/>
      <c r="H218" s="393"/>
      <c r="I218" s="393"/>
      <c r="J218" s="393"/>
      <c r="K218" s="393"/>
      <c r="L218" s="393"/>
      <c r="M218" s="393"/>
      <c r="N218" s="393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  <c r="Y218" s="393"/>
      <c r="Z218" s="393"/>
    </row>
    <row r="219">
      <c r="B219" s="393"/>
      <c r="C219" s="393"/>
      <c r="D219" s="393"/>
      <c r="E219" s="393"/>
      <c r="F219" s="393"/>
      <c r="G219" s="393"/>
      <c r="H219" s="393"/>
      <c r="I219" s="393"/>
      <c r="J219" s="393"/>
      <c r="K219" s="393"/>
      <c r="L219" s="393"/>
      <c r="M219" s="393"/>
      <c r="N219" s="393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  <c r="Y219" s="393"/>
      <c r="Z219" s="393"/>
    </row>
    <row r="220">
      <c r="B220" s="393"/>
      <c r="C220" s="393"/>
      <c r="D220" s="393"/>
      <c r="E220" s="393"/>
      <c r="F220" s="393"/>
      <c r="G220" s="393"/>
      <c r="H220" s="393"/>
      <c r="I220" s="393"/>
      <c r="J220" s="393"/>
      <c r="K220" s="393"/>
      <c r="L220" s="393"/>
      <c r="M220" s="393"/>
      <c r="N220" s="393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  <c r="Y220" s="393"/>
      <c r="Z220" s="393"/>
    </row>
    <row r="221">
      <c r="B221" s="393"/>
      <c r="C221" s="393"/>
      <c r="D221" s="393"/>
      <c r="E221" s="393"/>
      <c r="F221" s="393"/>
      <c r="G221" s="393"/>
      <c r="H221" s="393"/>
      <c r="I221" s="393"/>
      <c r="J221" s="393"/>
      <c r="K221" s="393"/>
      <c r="L221" s="393"/>
      <c r="M221" s="393"/>
      <c r="N221" s="393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  <c r="Y221" s="393"/>
      <c r="Z221" s="393"/>
    </row>
    <row r="222">
      <c r="B222" s="393"/>
      <c r="C222" s="393"/>
      <c r="D222" s="393"/>
      <c r="E222" s="393"/>
      <c r="F222" s="393"/>
      <c r="G222" s="393"/>
      <c r="H222" s="393"/>
      <c r="I222" s="393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  <c r="Y222" s="393"/>
      <c r="Z222" s="393"/>
    </row>
    <row r="223">
      <c r="A223" s="393"/>
      <c r="B223" s="393"/>
      <c r="C223" s="393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</row>
    <row r="224">
      <c r="B224" s="393"/>
      <c r="C224" s="393"/>
      <c r="D224" s="393"/>
      <c r="E224" s="393"/>
      <c r="F224" s="393"/>
      <c r="G224" s="393"/>
      <c r="H224" s="393"/>
      <c r="I224" s="393"/>
      <c r="J224" s="393"/>
      <c r="K224" s="393"/>
      <c r="L224" s="393"/>
      <c r="M224" s="393"/>
      <c r="N224" s="393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  <c r="Y224" s="393"/>
      <c r="Z224" s="393"/>
    </row>
    <row r="225">
      <c r="B225" s="393"/>
      <c r="C225" s="393"/>
      <c r="D225" s="393"/>
      <c r="E225" s="393"/>
      <c r="F225" s="393"/>
      <c r="G225" s="393"/>
      <c r="H225" s="393"/>
      <c r="I225" s="393"/>
      <c r="J225" s="393"/>
      <c r="K225" s="393"/>
      <c r="L225" s="393"/>
      <c r="M225" s="393"/>
      <c r="N225" s="393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  <c r="Y225" s="393"/>
      <c r="Z225" s="393"/>
    </row>
    <row r="226">
      <c r="B226" s="393"/>
      <c r="C226" s="393"/>
      <c r="D226" s="393"/>
      <c r="E226" s="393"/>
      <c r="F226" s="393"/>
      <c r="G226" s="393"/>
      <c r="H226" s="393"/>
      <c r="I226" s="393"/>
      <c r="J226" s="393"/>
      <c r="K226" s="393"/>
      <c r="L226" s="393"/>
      <c r="M226" s="393"/>
      <c r="N226" s="393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  <c r="Y226" s="393"/>
      <c r="Z226" s="393"/>
    </row>
    <row r="227">
      <c r="B227" s="393"/>
      <c r="C227" s="393"/>
      <c r="D227" s="393"/>
      <c r="E227" s="393"/>
      <c r="F227" s="393"/>
      <c r="G227" s="393"/>
      <c r="H227" s="393"/>
      <c r="I227" s="393"/>
      <c r="J227" s="393"/>
      <c r="K227" s="393"/>
      <c r="L227" s="393"/>
      <c r="M227" s="393"/>
      <c r="N227" s="393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  <c r="Y227" s="393"/>
      <c r="Z227" s="393"/>
    </row>
    <row r="228">
      <c r="B228" s="393"/>
      <c r="C228" s="393"/>
      <c r="D228" s="393"/>
      <c r="E228" s="393"/>
      <c r="F228" s="393"/>
      <c r="G228" s="393"/>
      <c r="H228" s="393"/>
      <c r="I228" s="393"/>
      <c r="J228" s="393"/>
      <c r="K228" s="393"/>
      <c r="L228" s="393"/>
      <c r="M228" s="393"/>
      <c r="N228" s="393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  <c r="Y228" s="393"/>
      <c r="Z228" s="393"/>
    </row>
    <row r="229">
      <c r="B229" s="393"/>
      <c r="C229" s="393"/>
      <c r="D229" s="393"/>
      <c r="E229" s="393"/>
      <c r="F229" s="393"/>
      <c r="G229" s="393"/>
      <c r="H229" s="393"/>
      <c r="I229" s="393"/>
      <c r="J229" s="393"/>
      <c r="K229" s="393"/>
      <c r="L229" s="393"/>
      <c r="M229" s="393"/>
      <c r="N229" s="393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  <c r="Y229" s="393"/>
      <c r="Z229" s="393"/>
    </row>
    <row r="230">
      <c r="B230" s="393"/>
      <c r="C230" s="393"/>
      <c r="D230" s="393"/>
      <c r="E230" s="393"/>
      <c r="F230" s="393"/>
      <c r="G230" s="393"/>
      <c r="H230" s="393"/>
      <c r="I230" s="393"/>
      <c r="J230" s="393"/>
      <c r="K230" s="393"/>
      <c r="L230" s="393"/>
      <c r="M230" s="393"/>
      <c r="N230" s="393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  <c r="Y230" s="393"/>
      <c r="Z230" s="393"/>
    </row>
    <row r="231">
      <c r="B231" s="393"/>
      <c r="C231" s="393"/>
      <c r="D231" s="393"/>
      <c r="E231" s="393"/>
      <c r="F231" s="393"/>
      <c r="G231" s="393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393"/>
      <c r="Z231" s="393"/>
    </row>
    <row r="232">
      <c r="B232" s="393"/>
      <c r="C232" s="393"/>
      <c r="D232" s="393"/>
      <c r="E232" s="393"/>
      <c r="F232" s="393"/>
      <c r="G232" s="393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393"/>
      <c r="Z232" s="393"/>
    </row>
    <row r="233">
      <c r="B233" s="393"/>
      <c r="C233" s="393"/>
      <c r="D233" s="393"/>
      <c r="E233" s="393"/>
      <c r="F233" s="393"/>
      <c r="G233" s="393"/>
      <c r="H233" s="393"/>
      <c r="I233" s="393"/>
      <c r="J233" s="393"/>
      <c r="K233" s="393"/>
      <c r="L233" s="393"/>
      <c r="M233" s="393"/>
      <c r="N233" s="393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  <c r="Y233" s="393"/>
      <c r="Z233" s="393"/>
    </row>
    <row r="234">
      <c r="B234" s="393"/>
      <c r="C234" s="393"/>
      <c r="D234" s="393"/>
      <c r="E234" s="393"/>
      <c r="F234" s="393"/>
      <c r="G234" s="393"/>
      <c r="H234" s="393"/>
      <c r="I234" s="393"/>
      <c r="J234" s="393"/>
      <c r="K234" s="393"/>
      <c r="L234" s="393"/>
      <c r="M234" s="393"/>
      <c r="N234" s="393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  <c r="Y234" s="393"/>
      <c r="Z234" s="393"/>
    </row>
    <row r="235">
      <c r="B235" s="393"/>
      <c r="C235" s="393"/>
      <c r="D235" s="393"/>
      <c r="E235" s="393"/>
      <c r="F235" s="393"/>
      <c r="G235" s="393"/>
      <c r="H235" s="393"/>
      <c r="I235" s="393"/>
      <c r="J235" s="393"/>
      <c r="K235" s="393"/>
      <c r="L235" s="393"/>
      <c r="M235" s="393"/>
      <c r="N235" s="393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  <c r="Y235" s="393"/>
      <c r="Z235" s="393"/>
    </row>
    <row r="236">
      <c r="B236" s="393"/>
      <c r="C236" s="393"/>
      <c r="D236" s="393"/>
      <c r="E236" s="393"/>
      <c r="F236" s="393"/>
      <c r="G236" s="393"/>
      <c r="H236" s="393"/>
      <c r="I236" s="393"/>
      <c r="J236" s="393"/>
      <c r="K236" s="393"/>
      <c r="L236" s="393"/>
      <c r="M236" s="393"/>
      <c r="N236" s="393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  <c r="Y236" s="393"/>
      <c r="Z236" s="393"/>
    </row>
    <row r="237">
      <c r="B237" s="393"/>
      <c r="C237" s="393"/>
      <c r="D237" s="393"/>
      <c r="E237" s="393"/>
      <c r="F237" s="393"/>
      <c r="G237" s="393"/>
      <c r="H237" s="393"/>
      <c r="I237" s="393"/>
      <c r="J237" s="393"/>
      <c r="K237" s="393"/>
      <c r="L237" s="393"/>
      <c r="M237" s="393"/>
      <c r="N237" s="393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  <c r="Y237" s="393"/>
      <c r="Z237" s="393"/>
    </row>
    <row r="238">
      <c r="B238" s="393"/>
      <c r="C238" s="393"/>
      <c r="D238" s="393"/>
      <c r="E238" s="393"/>
      <c r="F238" s="393"/>
      <c r="G238" s="393"/>
      <c r="H238" s="393"/>
      <c r="I238" s="393"/>
      <c r="J238" s="393"/>
      <c r="K238" s="393"/>
      <c r="L238" s="393"/>
      <c r="M238" s="393"/>
      <c r="N238" s="393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  <c r="Y238" s="393"/>
      <c r="Z238" s="393"/>
    </row>
    <row r="239">
      <c r="B239" s="393"/>
      <c r="C239" s="393"/>
      <c r="D239" s="393"/>
      <c r="E239" s="393"/>
      <c r="F239" s="393"/>
      <c r="G239" s="393"/>
      <c r="H239" s="393"/>
      <c r="I239" s="393"/>
      <c r="J239" s="393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  <c r="Y239" s="393"/>
      <c r="Z239" s="393"/>
    </row>
    <row r="240">
      <c r="B240" s="393"/>
      <c r="C240" s="393"/>
      <c r="D240" s="393"/>
      <c r="E240" s="393"/>
      <c r="F240" s="393"/>
      <c r="G240" s="393"/>
      <c r="H240" s="393"/>
      <c r="I240" s="393"/>
      <c r="J240" s="393"/>
      <c r="K240" s="393"/>
      <c r="L240" s="393"/>
      <c r="M240" s="393"/>
      <c r="N240" s="393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  <c r="Y240" s="393"/>
      <c r="Z240" s="393"/>
    </row>
    <row r="241">
      <c r="B241" s="393"/>
      <c r="C241" s="393"/>
      <c r="D241" s="393"/>
      <c r="E241" s="393"/>
      <c r="F241" s="393"/>
      <c r="G241" s="393"/>
      <c r="H241" s="393"/>
      <c r="I241" s="393"/>
      <c r="J241" s="393"/>
      <c r="K241" s="393"/>
      <c r="L241" s="393"/>
      <c r="M241" s="393"/>
      <c r="N241" s="393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  <c r="Y241" s="393"/>
      <c r="Z241" s="393"/>
    </row>
    <row r="242">
      <c r="B242" s="393"/>
      <c r="C242" s="393"/>
      <c r="D242" s="393"/>
      <c r="E242" s="393"/>
      <c r="F242" s="393"/>
      <c r="G242" s="393"/>
      <c r="H242" s="393"/>
      <c r="I242" s="393"/>
      <c r="J242" s="393"/>
      <c r="K242" s="393"/>
      <c r="L242" s="393"/>
      <c r="M242" s="393"/>
      <c r="N242" s="393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  <c r="Y242" s="393"/>
      <c r="Z242" s="393"/>
    </row>
    <row r="243">
      <c r="B243" s="393"/>
      <c r="C243" s="393"/>
      <c r="D243" s="393"/>
      <c r="E243" s="393"/>
      <c r="F243" s="393"/>
      <c r="G243" s="393"/>
      <c r="H243" s="393"/>
      <c r="I243" s="393"/>
      <c r="J243" s="393"/>
      <c r="K243" s="393"/>
      <c r="L243" s="393"/>
      <c r="M243" s="393"/>
      <c r="N243" s="393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  <c r="Y243" s="393"/>
      <c r="Z243" s="393"/>
    </row>
    <row r="244">
      <c r="B244" s="393"/>
      <c r="C244" s="393"/>
      <c r="D244" s="393"/>
      <c r="E244" s="393"/>
      <c r="F244" s="393"/>
      <c r="G244" s="393"/>
      <c r="H244" s="393"/>
      <c r="I244" s="393"/>
      <c r="J244" s="393"/>
      <c r="K244" s="393"/>
      <c r="L244" s="393"/>
      <c r="M244" s="393"/>
      <c r="N244" s="393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  <c r="Y244" s="393"/>
      <c r="Z244" s="393"/>
    </row>
    <row r="245">
      <c r="B245" s="393"/>
      <c r="C245" s="393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</row>
    <row r="246">
      <c r="B246" s="393"/>
      <c r="C246" s="393"/>
      <c r="D246" s="393"/>
      <c r="E246" s="393"/>
      <c r="F246" s="393"/>
      <c r="G246" s="393"/>
      <c r="H246" s="393"/>
      <c r="I246" s="393"/>
      <c r="J246" s="393"/>
      <c r="K246" s="393"/>
      <c r="L246" s="393"/>
      <c r="M246" s="393"/>
      <c r="N246" s="393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  <c r="Y246" s="393"/>
      <c r="Z246" s="393"/>
    </row>
    <row r="247">
      <c r="A247" s="393"/>
      <c r="B247" s="393"/>
      <c r="C247" s="393"/>
      <c r="D247" s="393"/>
      <c r="E247" s="393"/>
      <c r="F247" s="393"/>
      <c r="G247" s="393"/>
      <c r="H247" s="393"/>
      <c r="I247" s="393"/>
      <c r="J247" s="393"/>
      <c r="K247" s="393"/>
      <c r="L247" s="393"/>
      <c r="M247" s="393"/>
      <c r="N247" s="393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  <c r="Y247" s="393"/>
      <c r="Z247" s="393"/>
    </row>
    <row r="248">
      <c r="B248" s="393"/>
      <c r="C248" s="393"/>
      <c r="D248" s="393"/>
      <c r="E248" s="393"/>
      <c r="F248" s="393"/>
      <c r="G248" s="393"/>
      <c r="H248" s="393"/>
      <c r="I248" s="393"/>
      <c r="J248" s="393"/>
      <c r="K248" s="393"/>
      <c r="L248" s="393"/>
      <c r="M248" s="393"/>
      <c r="N248" s="393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  <c r="Y248" s="393"/>
      <c r="Z248" s="393"/>
    </row>
    <row r="249">
      <c r="B249" s="393"/>
      <c r="C249" s="393"/>
      <c r="D249" s="393"/>
      <c r="E249" s="393"/>
      <c r="F249" s="393"/>
      <c r="G249" s="393"/>
      <c r="H249" s="393"/>
      <c r="I249" s="393"/>
      <c r="J249" s="393"/>
      <c r="K249" s="393"/>
      <c r="L249" s="393"/>
      <c r="M249" s="393"/>
      <c r="N249" s="393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  <c r="Y249" s="393"/>
      <c r="Z249" s="393"/>
    </row>
    <row r="250">
      <c r="B250" s="393"/>
      <c r="C250" s="393"/>
      <c r="D250" s="393"/>
      <c r="E250" s="393"/>
      <c r="F250" s="393"/>
      <c r="G250" s="393"/>
      <c r="H250" s="393"/>
      <c r="I250" s="393"/>
      <c r="J250" s="393"/>
      <c r="K250" s="393"/>
      <c r="L250" s="393"/>
      <c r="M250" s="393"/>
      <c r="N250" s="393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  <c r="Y250" s="393"/>
      <c r="Z250" s="393"/>
    </row>
    <row r="251">
      <c r="B251" s="393"/>
      <c r="C251" s="393"/>
      <c r="D251" s="393"/>
      <c r="E251" s="393"/>
      <c r="F251" s="393"/>
      <c r="G251" s="393"/>
      <c r="H251" s="393"/>
      <c r="I251" s="393"/>
      <c r="J251" s="393"/>
      <c r="K251" s="393"/>
      <c r="L251" s="393"/>
      <c r="M251" s="393"/>
      <c r="N251" s="393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  <c r="Y251" s="393"/>
      <c r="Z251" s="393"/>
    </row>
    <row r="252">
      <c r="B252" s="393"/>
      <c r="C252" s="393"/>
      <c r="D252" s="393"/>
      <c r="E252" s="393"/>
      <c r="F252" s="393"/>
      <c r="G252" s="393"/>
      <c r="H252" s="393"/>
      <c r="I252" s="393"/>
      <c r="J252" s="393"/>
      <c r="K252" s="393"/>
      <c r="L252" s="393"/>
      <c r="M252" s="393"/>
      <c r="N252" s="393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  <c r="Y252" s="393"/>
      <c r="Z252" s="393"/>
    </row>
    <row r="253">
      <c r="B253" s="393"/>
      <c r="C253" s="393"/>
      <c r="D253" s="393"/>
      <c r="E253" s="393"/>
      <c r="F253" s="393"/>
      <c r="G253" s="393"/>
      <c r="H253" s="393"/>
      <c r="I253" s="393"/>
      <c r="J253" s="393"/>
      <c r="K253" s="393"/>
      <c r="L253" s="393"/>
      <c r="M253" s="393"/>
      <c r="N253" s="393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  <c r="Y253" s="393"/>
      <c r="Z253" s="393"/>
    </row>
    <row r="254">
      <c r="B254" s="393"/>
      <c r="C254" s="393"/>
      <c r="D254" s="393"/>
      <c r="E254" s="393"/>
      <c r="F254" s="393"/>
      <c r="G254" s="393"/>
      <c r="H254" s="393"/>
      <c r="I254" s="393"/>
      <c r="J254" s="393"/>
      <c r="K254" s="393"/>
      <c r="L254" s="393"/>
      <c r="M254" s="393"/>
      <c r="N254" s="393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  <c r="Y254" s="393"/>
      <c r="Z254" s="393"/>
    </row>
    <row r="255">
      <c r="B255" s="393"/>
      <c r="C255" s="393"/>
      <c r="D255" s="393"/>
      <c r="E255" s="393"/>
      <c r="F255" s="393"/>
      <c r="G255" s="393"/>
      <c r="H255" s="393"/>
      <c r="I255" s="393"/>
      <c r="J255" s="393"/>
      <c r="K255" s="393"/>
      <c r="L255" s="393"/>
      <c r="M255" s="393"/>
      <c r="N255" s="393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  <c r="Y255" s="393"/>
      <c r="Z255" s="393"/>
    </row>
    <row r="256">
      <c r="B256" s="393"/>
      <c r="C256" s="393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</row>
    <row r="257">
      <c r="B257" s="393"/>
      <c r="C257" s="393"/>
      <c r="D257" s="393"/>
      <c r="E257" s="393"/>
      <c r="F257" s="393"/>
      <c r="G257" s="393"/>
      <c r="H257" s="393"/>
      <c r="I257" s="393"/>
      <c r="J257" s="393"/>
      <c r="K257" s="393"/>
      <c r="L257" s="393"/>
      <c r="M257" s="393"/>
      <c r="N257" s="393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  <c r="Y257" s="393"/>
      <c r="Z257" s="393"/>
    </row>
    <row r="258">
      <c r="B258" s="393"/>
      <c r="C258" s="393"/>
      <c r="D258" s="393"/>
      <c r="E258" s="393"/>
      <c r="F258" s="393"/>
      <c r="G258" s="393"/>
      <c r="H258" s="393"/>
      <c r="I258" s="393"/>
      <c r="J258" s="393"/>
      <c r="K258" s="393"/>
      <c r="L258" s="393"/>
      <c r="M258" s="393"/>
      <c r="N258" s="393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  <c r="Y258" s="393"/>
      <c r="Z258" s="393"/>
    </row>
    <row r="259">
      <c r="B259" s="393"/>
      <c r="C259" s="393"/>
      <c r="D259" s="393"/>
      <c r="E259" s="393"/>
      <c r="F259" s="393"/>
      <c r="G259" s="393"/>
      <c r="H259" s="393"/>
      <c r="I259" s="393"/>
      <c r="J259" s="393"/>
      <c r="K259" s="393"/>
      <c r="L259" s="393"/>
      <c r="M259" s="393"/>
      <c r="N259" s="393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  <c r="Y259" s="393"/>
      <c r="Z259" s="393"/>
    </row>
    <row r="260">
      <c r="B260" s="393"/>
      <c r="C260" s="393"/>
      <c r="D260" s="393"/>
      <c r="E260" s="393"/>
      <c r="F260" s="393"/>
      <c r="G260" s="393"/>
      <c r="H260" s="393"/>
      <c r="I260" s="393"/>
      <c r="J260" s="393"/>
      <c r="K260" s="393"/>
      <c r="L260" s="393"/>
      <c r="M260" s="393"/>
      <c r="N260" s="393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  <c r="Y260" s="393"/>
      <c r="Z260" s="393"/>
    </row>
    <row r="261">
      <c r="B261" s="393"/>
      <c r="C261" s="393"/>
      <c r="D261" s="393"/>
      <c r="E261" s="393"/>
      <c r="F261" s="393"/>
      <c r="G261" s="393"/>
      <c r="H261" s="393"/>
      <c r="I261" s="393"/>
      <c r="J261" s="393"/>
      <c r="K261" s="393"/>
      <c r="L261" s="393"/>
      <c r="M261" s="393"/>
      <c r="N261" s="393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  <c r="Y261" s="393"/>
      <c r="Z261" s="393"/>
    </row>
    <row r="262">
      <c r="B262" s="393"/>
      <c r="C262" s="393"/>
      <c r="D262" s="393"/>
      <c r="E262" s="393"/>
      <c r="F262" s="393"/>
      <c r="G262" s="393"/>
      <c r="H262" s="393"/>
      <c r="I262" s="393"/>
      <c r="J262" s="393"/>
      <c r="K262" s="393"/>
      <c r="L262" s="393"/>
      <c r="M262" s="393"/>
      <c r="N262" s="393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  <c r="Y262" s="393"/>
      <c r="Z262" s="393"/>
    </row>
    <row r="263">
      <c r="B263" s="393"/>
      <c r="C263" s="393"/>
      <c r="D263" s="393"/>
      <c r="E263" s="393"/>
      <c r="F263" s="393"/>
      <c r="G263" s="393"/>
      <c r="H263" s="393"/>
      <c r="I263" s="393"/>
      <c r="J263" s="393"/>
      <c r="K263" s="393"/>
      <c r="L263" s="393"/>
      <c r="M263" s="393"/>
      <c r="N263" s="393"/>
      <c r="O263" s="393"/>
      <c r="P263" s="393"/>
      <c r="Q263" s="393"/>
      <c r="R263" s="393"/>
      <c r="S263" s="393"/>
      <c r="T263" s="393"/>
      <c r="U263" s="393"/>
      <c r="V263" s="393"/>
      <c r="W263" s="393"/>
      <c r="X263" s="393"/>
      <c r="Y263" s="393"/>
      <c r="Z263" s="393"/>
    </row>
    <row r="264">
      <c r="B264" s="393"/>
      <c r="C264" s="393"/>
      <c r="D264" s="393"/>
      <c r="E264" s="393"/>
      <c r="F264" s="393"/>
      <c r="G264" s="393"/>
      <c r="H264" s="393"/>
      <c r="I264" s="393"/>
      <c r="J264" s="393"/>
      <c r="K264" s="393"/>
      <c r="L264" s="393"/>
      <c r="M264" s="393"/>
      <c r="N264" s="393"/>
      <c r="O264" s="393"/>
      <c r="P264" s="393"/>
      <c r="Q264" s="393"/>
      <c r="R264" s="393"/>
      <c r="S264" s="393"/>
      <c r="T264" s="393"/>
      <c r="U264" s="393"/>
      <c r="V264" s="393"/>
      <c r="W264" s="393"/>
      <c r="X264" s="393"/>
      <c r="Y264" s="393"/>
      <c r="Z264" s="393"/>
    </row>
    <row r="265">
      <c r="B265" s="393"/>
      <c r="C265" s="393"/>
      <c r="D265" s="393"/>
      <c r="E265" s="393"/>
      <c r="F265" s="393"/>
      <c r="G265" s="393"/>
      <c r="H265" s="393"/>
      <c r="I265" s="393"/>
      <c r="J265" s="393"/>
      <c r="K265" s="393"/>
      <c r="L265" s="393"/>
      <c r="M265" s="393"/>
      <c r="N265" s="393"/>
      <c r="O265" s="393"/>
      <c r="P265" s="393"/>
      <c r="Q265" s="393"/>
      <c r="R265" s="393"/>
      <c r="S265" s="393"/>
      <c r="T265" s="393"/>
      <c r="U265" s="393"/>
      <c r="V265" s="393"/>
      <c r="W265" s="393"/>
      <c r="X265" s="393"/>
      <c r="Y265" s="393"/>
      <c r="Z265" s="393"/>
    </row>
    <row r="266">
      <c r="B266" s="393"/>
      <c r="C266" s="393"/>
      <c r="D266" s="393"/>
      <c r="E266" s="393"/>
      <c r="F266" s="393"/>
      <c r="G266" s="393"/>
      <c r="H266" s="393"/>
      <c r="I266" s="393"/>
      <c r="J266" s="393"/>
      <c r="K266" s="393"/>
      <c r="L266" s="393"/>
      <c r="M266" s="393"/>
      <c r="N266" s="393"/>
      <c r="O266" s="393"/>
      <c r="P266" s="393"/>
      <c r="Q266" s="393"/>
      <c r="R266" s="393"/>
      <c r="S266" s="393"/>
      <c r="T266" s="393"/>
      <c r="U266" s="393"/>
      <c r="V266" s="393"/>
      <c r="W266" s="393"/>
      <c r="X266" s="393"/>
      <c r="Y266" s="393"/>
      <c r="Z266" s="393"/>
    </row>
    <row r="267">
      <c r="B267" s="393"/>
      <c r="C267" s="393"/>
      <c r="D267" s="393"/>
      <c r="E267" s="393"/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</row>
    <row r="268">
      <c r="B268" s="393"/>
      <c r="C268" s="393"/>
      <c r="D268" s="393"/>
      <c r="E268" s="393"/>
      <c r="F268" s="393"/>
      <c r="G268" s="393"/>
      <c r="H268" s="393"/>
      <c r="I268" s="393"/>
      <c r="J268" s="393"/>
      <c r="K268" s="393"/>
      <c r="L268" s="393"/>
      <c r="M268" s="393"/>
      <c r="N268" s="393"/>
      <c r="O268" s="393"/>
      <c r="P268" s="393"/>
      <c r="Q268" s="393"/>
      <c r="R268" s="393"/>
      <c r="S268" s="393"/>
      <c r="T268" s="393"/>
      <c r="U268" s="393"/>
      <c r="V268" s="393"/>
      <c r="W268" s="393"/>
      <c r="X268" s="393"/>
      <c r="Y268" s="393"/>
      <c r="Z268" s="393"/>
    </row>
    <row r="269">
      <c r="B269" s="393"/>
      <c r="C269" s="393"/>
      <c r="D269" s="393"/>
      <c r="E269" s="393"/>
      <c r="F269" s="393"/>
      <c r="G269" s="393"/>
      <c r="H269" s="393"/>
      <c r="I269" s="393"/>
      <c r="J269" s="393"/>
      <c r="K269" s="393"/>
      <c r="L269" s="393"/>
      <c r="M269" s="393"/>
      <c r="N269" s="393"/>
      <c r="O269" s="393"/>
      <c r="P269" s="393"/>
      <c r="Q269" s="393"/>
      <c r="R269" s="393"/>
      <c r="S269" s="393"/>
      <c r="T269" s="393"/>
      <c r="U269" s="393"/>
      <c r="V269" s="393"/>
      <c r="W269" s="393"/>
      <c r="X269" s="393"/>
      <c r="Y269" s="393"/>
      <c r="Z269" s="393"/>
    </row>
    <row r="270">
      <c r="A270" s="393"/>
      <c r="B270" s="393"/>
      <c r="C270" s="393"/>
      <c r="D270" s="393"/>
      <c r="E270" s="393"/>
      <c r="F270" s="393"/>
      <c r="G270" s="393"/>
      <c r="H270" s="393"/>
      <c r="I270" s="393"/>
      <c r="J270" s="393"/>
      <c r="K270" s="393"/>
      <c r="L270" s="393"/>
      <c r="M270" s="393"/>
      <c r="N270" s="393"/>
      <c r="O270" s="393"/>
      <c r="P270" s="393"/>
      <c r="Q270" s="393"/>
      <c r="R270" s="393"/>
      <c r="S270" s="393"/>
      <c r="T270" s="393"/>
      <c r="U270" s="393"/>
      <c r="V270" s="393"/>
      <c r="W270" s="393"/>
      <c r="X270" s="393"/>
      <c r="Y270" s="393"/>
      <c r="Z270" s="393"/>
    </row>
    <row r="271">
      <c r="B271" s="393"/>
      <c r="C271" s="393"/>
      <c r="D271" s="393"/>
      <c r="E271" s="393"/>
      <c r="F271" s="393"/>
      <c r="G271" s="393"/>
      <c r="H271" s="393"/>
      <c r="I271" s="393"/>
      <c r="J271" s="393"/>
      <c r="K271" s="393"/>
      <c r="L271" s="393"/>
      <c r="M271" s="393"/>
      <c r="N271" s="393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  <c r="Y271" s="393"/>
      <c r="Z271" s="393"/>
    </row>
    <row r="272">
      <c r="B272" s="393"/>
      <c r="C272" s="393"/>
      <c r="D272" s="393"/>
      <c r="E272" s="393"/>
      <c r="F272" s="393"/>
      <c r="G272" s="393"/>
      <c r="H272" s="393"/>
      <c r="I272" s="393"/>
      <c r="J272" s="393"/>
      <c r="K272" s="393"/>
      <c r="L272" s="393"/>
      <c r="M272" s="393"/>
      <c r="N272" s="393"/>
      <c r="O272" s="393"/>
      <c r="P272" s="393"/>
      <c r="Q272" s="393"/>
      <c r="R272" s="393"/>
      <c r="S272" s="393"/>
      <c r="T272" s="393"/>
      <c r="U272" s="393"/>
      <c r="V272" s="393"/>
      <c r="W272" s="393"/>
      <c r="X272" s="393"/>
      <c r="Y272" s="393"/>
      <c r="Z272" s="393"/>
    </row>
    <row r="273">
      <c r="B273" s="393"/>
      <c r="C273" s="393"/>
      <c r="D273" s="393"/>
      <c r="E273" s="393"/>
      <c r="F273" s="393"/>
      <c r="G273" s="393"/>
      <c r="H273" s="393"/>
      <c r="I273" s="393"/>
      <c r="J273" s="393"/>
      <c r="K273" s="393"/>
      <c r="L273" s="393"/>
      <c r="M273" s="393"/>
      <c r="N273" s="393"/>
      <c r="O273" s="393"/>
      <c r="P273" s="393"/>
      <c r="Q273" s="393"/>
      <c r="R273" s="393"/>
      <c r="S273" s="393"/>
      <c r="T273" s="393"/>
      <c r="U273" s="393"/>
      <c r="V273" s="393"/>
      <c r="W273" s="393"/>
      <c r="X273" s="393"/>
      <c r="Y273" s="393"/>
      <c r="Z273" s="393"/>
    </row>
    <row r="274">
      <c r="B274" s="393"/>
      <c r="C274" s="393"/>
      <c r="D274" s="393"/>
      <c r="E274" s="393"/>
      <c r="F274" s="393"/>
      <c r="G274" s="393"/>
      <c r="H274" s="393"/>
      <c r="I274" s="393"/>
      <c r="J274" s="393"/>
      <c r="K274" s="393"/>
      <c r="L274" s="393"/>
      <c r="M274" s="393"/>
      <c r="N274" s="393"/>
      <c r="O274" s="393"/>
      <c r="P274" s="393"/>
      <c r="Q274" s="393"/>
      <c r="R274" s="393"/>
      <c r="S274" s="393"/>
      <c r="T274" s="393"/>
      <c r="U274" s="393"/>
      <c r="V274" s="393"/>
      <c r="W274" s="393"/>
      <c r="X274" s="393"/>
      <c r="Y274" s="393"/>
      <c r="Z274" s="393"/>
    </row>
    <row r="275">
      <c r="B275" s="393"/>
      <c r="C275" s="393"/>
      <c r="D275" s="393"/>
      <c r="E275" s="393"/>
      <c r="F275" s="393"/>
      <c r="G275" s="393"/>
      <c r="H275" s="393"/>
      <c r="I275" s="393"/>
      <c r="J275" s="393"/>
      <c r="K275" s="393"/>
      <c r="L275" s="393"/>
      <c r="M275" s="393"/>
      <c r="N275" s="393"/>
      <c r="O275" s="393"/>
      <c r="P275" s="393"/>
      <c r="Q275" s="393"/>
      <c r="R275" s="393"/>
      <c r="S275" s="393"/>
      <c r="T275" s="393"/>
      <c r="U275" s="393"/>
      <c r="V275" s="393"/>
      <c r="W275" s="393"/>
      <c r="X275" s="393"/>
      <c r="Y275" s="393"/>
      <c r="Z275" s="393"/>
    </row>
    <row r="276">
      <c r="B276" s="393"/>
      <c r="C276" s="393"/>
      <c r="D276" s="393"/>
      <c r="E276" s="393"/>
      <c r="F276" s="393"/>
      <c r="G276" s="393"/>
      <c r="H276" s="393"/>
      <c r="I276" s="393"/>
      <c r="J276" s="393"/>
      <c r="K276" s="393"/>
      <c r="L276" s="393"/>
      <c r="M276" s="393"/>
      <c r="N276" s="393"/>
      <c r="O276" s="393"/>
      <c r="P276" s="393"/>
      <c r="Q276" s="393"/>
      <c r="R276" s="393"/>
      <c r="S276" s="393"/>
      <c r="T276" s="393"/>
      <c r="U276" s="393"/>
      <c r="V276" s="393"/>
      <c r="W276" s="393"/>
      <c r="X276" s="393"/>
      <c r="Y276" s="393"/>
      <c r="Z276" s="393"/>
    </row>
    <row r="277">
      <c r="B277" s="393"/>
      <c r="C277" s="393"/>
      <c r="D277" s="393"/>
      <c r="E277" s="393"/>
      <c r="F277" s="393"/>
      <c r="G277" s="393"/>
      <c r="H277" s="393"/>
      <c r="I277" s="393"/>
      <c r="J277" s="393"/>
      <c r="K277" s="393"/>
      <c r="L277" s="393"/>
      <c r="M277" s="393"/>
      <c r="N277" s="393"/>
      <c r="O277" s="393"/>
      <c r="P277" s="393"/>
      <c r="Q277" s="393"/>
      <c r="R277" s="393"/>
      <c r="S277" s="393"/>
      <c r="T277" s="393"/>
      <c r="U277" s="393"/>
      <c r="V277" s="393"/>
      <c r="W277" s="393"/>
      <c r="X277" s="393"/>
      <c r="Y277" s="393"/>
      <c r="Z277" s="393"/>
    </row>
    <row r="278">
      <c r="B278" s="393"/>
      <c r="C278" s="393"/>
      <c r="D278" s="393"/>
      <c r="E278" s="393"/>
      <c r="F278" s="393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</row>
    <row r="279">
      <c r="B279" s="393"/>
      <c r="C279" s="393"/>
      <c r="D279" s="393"/>
      <c r="E279" s="393"/>
      <c r="F279" s="393"/>
      <c r="G279" s="393"/>
      <c r="H279" s="393"/>
      <c r="I279" s="393"/>
      <c r="J279" s="393"/>
      <c r="K279" s="393"/>
      <c r="L279" s="393"/>
      <c r="M279" s="393"/>
      <c r="N279" s="393"/>
      <c r="O279" s="393"/>
      <c r="P279" s="393"/>
      <c r="Q279" s="393"/>
      <c r="R279" s="393"/>
      <c r="S279" s="393"/>
      <c r="T279" s="393"/>
      <c r="U279" s="393"/>
      <c r="V279" s="393"/>
      <c r="W279" s="393"/>
      <c r="X279" s="393"/>
      <c r="Y279" s="393"/>
      <c r="Z279" s="393"/>
    </row>
    <row r="280">
      <c r="B280" s="393"/>
      <c r="C280" s="393"/>
      <c r="D280" s="393"/>
      <c r="E280" s="393"/>
      <c r="F280" s="393"/>
      <c r="G280" s="393"/>
      <c r="H280" s="393"/>
      <c r="I280" s="393"/>
      <c r="J280" s="393"/>
      <c r="K280" s="393"/>
      <c r="L280" s="393"/>
      <c r="M280" s="393"/>
      <c r="N280" s="393"/>
      <c r="O280" s="393"/>
      <c r="P280" s="393"/>
      <c r="Q280" s="393"/>
      <c r="R280" s="393"/>
      <c r="S280" s="393"/>
      <c r="T280" s="393"/>
      <c r="U280" s="393"/>
      <c r="V280" s="393"/>
      <c r="W280" s="393"/>
      <c r="X280" s="393"/>
      <c r="Y280" s="393"/>
      <c r="Z280" s="393"/>
    </row>
    <row r="281">
      <c r="B281" s="393"/>
      <c r="C281" s="393"/>
      <c r="D281" s="393"/>
      <c r="E281" s="393"/>
      <c r="F281" s="393"/>
      <c r="G281" s="393"/>
      <c r="H281" s="393"/>
      <c r="I281" s="393"/>
      <c r="J281" s="393"/>
      <c r="K281" s="393"/>
      <c r="L281" s="393"/>
      <c r="M281" s="393"/>
      <c r="N281" s="393"/>
      <c r="O281" s="393"/>
      <c r="P281" s="393"/>
      <c r="Q281" s="393"/>
      <c r="R281" s="393"/>
      <c r="S281" s="393"/>
      <c r="T281" s="393"/>
      <c r="U281" s="393"/>
      <c r="V281" s="393"/>
      <c r="W281" s="393"/>
      <c r="X281" s="393"/>
      <c r="Y281" s="393"/>
      <c r="Z281" s="393"/>
    </row>
    <row r="282">
      <c r="B282" s="393"/>
      <c r="C282" s="393"/>
      <c r="D282" s="393"/>
      <c r="E282" s="393"/>
      <c r="F282" s="393"/>
      <c r="G282" s="393"/>
      <c r="H282" s="393"/>
      <c r="I282" s="393"/>
      <c r="J282" s="393"/>
      <c r="K282" s="393"/>
      <c r="L282" s="393"/>
      <c r="M282" s="393"/>
      <c r="N282" s="393"/>
      <c r="O282" s="393"/>
      <c r="P282" s="393"/>
      <c r="Q282" s="393"/>
      <c r="R282" s="393"/>
      <c r="S282" s="393"/>
      <c r="T282" s="393"/>
      <c r="U282" s="393"/>
      <c r="V282" s="393"/>
      <c r="W282" s="393"/>
      <c r="X282" s="393"/>
      <c r="Y282" s="393"/>
      <c r="Z282" s="393"/>
    </row>
    <row r="283">
      <c r="B283" s="393"/>
      <c r="C283" s="393"/>
      <c r="D283" s="393"/>
      <c r="E283" s="393"/>
      <c r="F283" s="393"/>
      <c r="G283" s="393"/>
      <c r="H283" s="393"/>
      <c r="I283" s="393"/>
      <c r="J283" s="393"/>
      <c r="K283" s="393"/>
      <c r="L283" s="393"/>
      <c r="M283" s="393"/>
      <c r="N283" s="393"/>
      <c r="O283" s="393"/>
      <c r="P283" s="393"/>
      <c r="Q283" s="393"/>
      <c r="R283" s="393"/>
      <c r="S283" s="393"/>
      <c r="T283" s="393"/>
      <c r="U283" s="393"/>
      <c r="V283" s="393"/>
      <c r="W283" s="393"/>
      <c r="X283" s="393"/>
      <c r="Y283" s="393"/>
      <c r="Z283" s="393"/>
    </row>
    <row r="284">
      <c r="B284" s="393"/>
      <c r="C284" s="393"/>
      <c r="D284" s="393"/>
      <c r="E284" s="393"/>
      <c r="F284" s="393"/>
      <c r="G284" s="393"/>
      <c r="H284" s="393"/>
      <c r="I284" s="393"/>
      <c r="J284" s="393"/>
      <c r="K284" s="393"/>
      <c r="L284" s="393"/>
      <c r="M284" s="393"/>
      <c r="N284" s="393"/>
      <c r="O284" s="393"/>
      <c r="P284" s="393"/>
      <c r="Q284" s="393"/>
      <c r="R284" s="393"/>
      <c r="S284" s="393"/>
      <c r="T284" s="393"/>
      <c r="U284" s="393"/>
      <c r="V284" s="393"/>
      <c r="W284" s="393"/>
      <c r="X284" s="393"/>
      <c r="Y284" s="393"/>
      <c r="Z284" s="393"/>
    </row>
    <row r="285">
      <c r="B285" s="393"/>
      <c r="C285" s="393"/>
      <c r="D285" s="393"/>
      <c r="E285" s="393"/>
      <c r="F285" s="393"/>
      <c r="G285" s="393"/>
      <c r="H285" s="393"/>
      <c r="I285" s="393"/>
      <c r="J285" s="393"/>
      <c r="K285" s="393"/>
      <c r="L285" s="393"/>
      <c r="M285" s="393"/>
      <c r="N285" s="393"/>
      <c r="O285" s="393"/>
      <c r="P285" s="393"/>
      <c r="Q285" s="393"/>
      <c r="R285" s="393"/>
      <c r="S285" s="393"/>
      <c r="T285" s="393"/>
      <c r="U285" s="393"/>
      <c r="V285" s="393"/>
      <c r="W285" s="393"/>
      <c r="X285" s="393"/>
      <c r="Y285" s="393"/>
      <c r="Z285" s="393"/>
    </row>
    <row r="286">
      <c r="B286" s="393"/>
      <c r="C286" s="393"/>
      <c r="D286" s="393"/>
      <c r="E286" s="393"/>
      <c r="F286" s="393"/>
      <c r="G286" s="393"/>
      <c r="H286" s="393"/>
      <c r="I286" s="393"/>
      <c r="J286" s="393"/>
      <c r="K286" s="393"/>
      <c r="L286" s="393"/>
      <c r="M286" s="393"/>
      <c r="N286" s="393"/>
      <c r="O286" s="393"/>
      <c r="P286" s="393"/>
      <c r="Q286" s="393"/>
      <c r="R286" s="393"/>
      <c r="S286" s="393"/>
      <c r="T286" s="393"/>
      <c r="U286" s="393"/>
      <c r="V286" s="393"/>
      <c r="W286" s="393"/>
      <c r="X286" s="393"/>
      <c r="Y286" s="393"/>
      <c r="Z286" s="393"/>
    </row>
    <row r="287">
      <c r="B287" s="393"/>
      <c r="C287" s="393"/>
      <c r="D287" s="393"/>
      <c r="E287" s="393"/>
      <c r="F287" s="393"/>
      <c r="G287" s="393"/>
      <c r="H287" s="393"/>
      <c r="I287" s="393"/>
      <c r="J287" s="393"/>
      <c r="K287" s="393"/>
      <c r="L287" s="393"/>
      <c r="M287" s="393"/>
      <c r="N287" s="393"/>
      <c r="O287" s="393"/>
      <c r="P287" s="393"/>
      <c r="Q287" s="393"/>
      <c r="R287" s="393"/>
      <c r="S287" s="393"/>
      <c r="T287" s="393"/>
      <c r="U287" s="393"/>
      <c r="V287" s="393"/>
      <c r="W287" s="393"/>
      <c r="X287" s="393"/>
      <c r="Y287" s="393"/>
      <c r="Z287" s="393"/>
    </row>
    <row r="288">
      <c r="B288" s="393"/>
      <c r="C288" s="393"/>
      <c r="D288" s="393"/>
      <c r="E288" s="393"/>
      <c r="F288" s="393"/>
      <c r="G288" s="393"/>
      <c r="H288" s="393"/>
      <c r="I288" s="393"/>
      <c r="J288" s="393"/>
      <c r="K288" s="393"/>
      <c r="L288" s="393"/>
      <c r="M288" s="393"/>
      <c r="N288" s="393"/>
      <c r="O288" s="393"/>
      <c r="P288" s="393"/>
      <c r="Q288" s="393"/>
      <c r="R288" s="393"/>
      <c r="S288" s="393"/>
      <c r="T288" s="393"/>
      <c r="U288" s="393"/>
      <c r="V288" s="393"/>
      <c r="W288" s="393"/>
      <c r="X288" s="393"/>
      <c r="Y288" s="393"/>
      <c r="Z288" s="393"/>
    </row>
    <row r="289">
      <c r="B289" s="393"/>
      <c r="C289" s="393"/>
      <c r="D289" s="393"/>
      <c r="E289" s="393"/>
      <c r="F289" s="393"/>
      <c r="G289" s="393"/>
      <c r="H289" s="393"/>
      <c r="I289" s="393"/>
      <c r="J289" s="393"/>
      <c r="K289" s="393"/>
      <c r="L289" s="393"/>
      <c r="M289" s="393"/>
      <c r="N289" s="393"/>
      <c r="O289" s="393"/>
      <c r="P289" s="393"/>
      <c r="Q289" s="393"/>
      <c r="R289" s="393"/>
      <c r="S289" s="393"/>
      <c r="T289" s="393"/>
      <c r="U289" s="393"/>
      <c r="V289" s="393"/>
      <c r="W289" s="393"/>
      <c r="X289" s="393"/>
      <c r="Y289" s="393"/>
      <c r="Z289" s="393"/>
    </row>
    <row r="290">
      <c r="B290" s="393"/>
      <c r="C290" s="393"/>
      <c r="D290" s="393"/>
      <c r="E290" s="393"/>
      <c r="F290" s="393"/>
      <c r="G290" s="393"/>
      <c r="H290" s="393"/>
      <c r="I290" s="393"/>
      <c r="J290" s="393"/>
      <c r="K290" s="393"/>
      <c r="L290" s="393"/>
      <c r="M290" s="393"/>
      <c r="N290" s="393"/>
      <c r="O290" s="393"/>
      <c r="P290" s="393"/>
      <c r="Q290" s="393"/>
      <c r="R290" s="393"/>
      <c r="S290" s="393"/>
      <c r="T290" s="393"/>
      <c r="U290" s="393"/>
      <c r="V290" s="393"/>
      <c r="W290" s="393"/>
      <c r="X290" s="393"/>
      <c r="Y290" s="393"/>
      <c r="Z290" s="393"/>
    </row>
    <row r="291">
      <c r="B291" s="393"/>
      <c r="C291" s="393"/>
      <c r="D291" s="393"/>
      <c r="E291" s="393"/>
      <c r="F291" s="393"/>
      <c r="G291" s="393"/>
      <c r="H291" s="393"/>
      <c r="I291" s="393"/>
      <c r="J291" s="393"/>
      <c r="K291" s="393"/>
      <c r="L291" s="393"/>
      <c r="M291" s="393"/>
      <c r="N291" s="393"/>
      <c r="O291" s="393"/>
      <c r="P291" s="393"/>
      <c r="Q291" s="393"/>
      <c r="R291" s="393"/>
      <c r="S291" s="393"/>
      <c r="T291" s="393"/>
      <c r="U291" s="393"/>
      <c r="V291" s="393"/>
      <c r="W291" s="393"/>
      <c r="X291" s="393"/>
      <c r="Y291" s="393"/>
      <c r="Z291" s="393"/>
    </row>
    <row r="292">
      <c r="B292" s="393"/>
      <c r="C292" s="393"/>
      <c r="D292" s="393"/>
      <c r="E292" s="393"/>
      <c r="F292" s="393"/>
      <c r="G292" s="393"/>
      <c r="H292" s="393"/>
      <c r="I292" s="393"/>
      <c r="J292" s="393"/>
      <c r="K292" s="393"/>
      <c r="L292" s="393"/>
      <c r="M292" s="393"/>
      <c r="N292" s="393"/>
      <c r="O292" s="393"/>
      <c r="P292" s="393"/>
      <c r="Q292" s="393"/>
      <c r="R292" s="393"/>
      <c r="S292" s="393"/>
      <c r="T292" s="393"/>
      <c r="U292" s="393"/>
      <c r="V292" s="393"/>
      <c r="W292" s="393"/>
      <c r="X292" s="393"/>
      <c r="Y292" s="393"/>
      <c r="Z292" s="393"/>
    </row>
    <row r="293">
      <c r="A293" s="393"/>
      <c r="B293" s="393"/>
      <c r="C293" s="393"/>
      <c r="D293" s="393"/>
      <c r="E293" s="393"/>
      <c r="F293" s="393"/>
      <c r="G293" s="393"/>
      <c r="H293" s="393"/>
      <c r="I293" s="393"/>
      <c r="J293" s="393"/>
      <c r="K293" s="393"/>
      <c r="L293" s="393"/>
      <c r="M293" s="393"/>
      <c r="N293" s="393"/>
      <c r="O293" s="393"/>
      <c r="P293" s="393"/>
      <c r="Q293" s="393"/>
      <c r="R293" s="393"/>
      <c r="S293" s="393"/>
      <c r="T293" s="393"/>
      <c r="U293" s="393"/>
      <c r="V293" s="393"/>
      <c r="W293" s="393"/>
      <c r="X293" s="393"/>
      <c r="Y293" s="393"/>
      <c r="Z293" s="393"/>
    </row>
    <row r="294">
      <c r="A294" s="393"/>
      <c r="B294" s="393"/>
      <c r="C294" s="393"/>
      <c r="D294" s="393"/>
      <c r="E294" s="393"/>
      <c r="F294" s="393"/>
      <c r="G294" s="393"/>
      <c r="H294" s="393"/>
      <c r="I294" s="393"/>
      <c r="J294" s="393"/>
      <c r="K294" s="393"/>
      <c r="L294" s="393"/>
      <c r="M294" s="393"/>
      <c r="N294" s="393"/>
      <c r="O294" s="393"/>
      <c r="P294" s="393"/>
      <c r="Q294" s="393"/>
      <c r="R294" s="393"/>
      <c r="S294" s="393"/>
      <c r="T294" s="393"/>
      <c r="U294" s="393"/>
      <c r="V294" s="393"/>
      <c r="W294" s="393"/>
      <c r="X294" s="393"/>
      <c r="Y294" s="393"/>
      <c r="Z294" s="393"/>
    </row>
    <row r="295">
      <c r="A295" s="393"/>
      <c r="B295" s="393"/>
      <c r="C295" s="393"/>
      <c r="D295" s="393"/>
      <c r="E295" s="393"/>
      <c r="F295" s="393"/>
      <c r="G295" s="393"/>
      <c r="H295" s="393"/>
      <c r="I295" s="393"/>
      <c r="J295" s="393"/>
      <c r="K295" s="393"/>
      <c r="L295" s="393"/>
      <c r="M295" s="393"/>
      <c r="N295" s="393"/>
      <c r="O295" s="393"/>
      <c r="P295" s="393"/>
      <c r="Q295" s="393"/>
      <c r="R295" s="393"/>
      <c r="S295" s="393"/>
      <c r="T295" s="393"/>
      <c r="U295" s="393"/>
      <c r="V295" s="393"/>
      <c r="W295" s="393"/>
      <c r="X295" s="393"/>
      <c r="Y295" s="393"/>
      <c r="Z295" s="393"/>
    </row>
    <row r="296">
      <c r="A296" s="393"/>
      <c r="B296" s="393"/>
      <c r="C296" s="393"/>
      <c r="D296" s="393"/>
      <c r="E296" s="393"/>
      <c r="F296" s="393"/>
      <c r="G296" s="393"/>
      <c r="H296" s="393"/>
      <c r="I296" s="393"/>
      <c r="J296" s="393"/>
      <c r="K296" s="393"/>
      <c r="L296" s="393"/>
      <c r="M296" s="393"/>
      <c r="N296" s="393"/>
      <c r="O296" s="393"/>
      <c r="P296" s="393"/>
      <c r="Q296" s="393"/>
      <c r="R296" s="393"/>
      <c r="S296" s="393"/>
      <c r="T296" s="393"/>
      <c r="U296" s="393"/>
      <c r="V296" s="393"/>
      <c r="W296" s="393"/>
      <c r="X296" s="393"/>
      <c r="Y296" s="393"/>
      <c r="Z296" s="393"/>
    </row>
    <row r="297">
      <c r="A297" s="393"/>
      <c r="B297" s="393"/>
      <c r="C297" s="393"/>
      <c r="D297" s="393"/>
      <c r="E297" s="393"/>
      <c r="F297" s="393"/>
      <c r="G297" s="393"/>
      <c r="H297" s="393"/>
      <c r="I297" s="393"/>
      <c r="J297" s="393"/>
      <c r="K297" s="393"/>
      <c r="L297" s="393"/>
      <c r="M297" s="393"/>
      <c r="N297" s="393"/>
      <c r="O297" s="393"/>
      <c r="P297" s="393"/>
      <c r="Q297" s="393"/>
      <c r="R297" s="393"/>
      <c r="S297" s="393"/>
      <c r="T297" s="393"/>
      <c r="U297" s="393"/>
      <c r="V297" s="393"/>
      <c r="W297" s="393"/>
      <c r="X297" s="393"/>
      <c r="Y297" s="393"/>
      <c r="Z297" s="393"/>
    </row>
    <row r="298">
      <c r="A298" s="393"/>
      <c r="B298" s="393"/>
      <c r="C298" s="393"/>
      <c r="D298" s="393"/>
      <c r="E298" s="393"/>
      <c r="F298" s="393"/>
      <c r="G298" s="393"/>
      <c r="H298" s="393"/>
      <c r="I298" s="393"/>
      <c r="J298" s="393"/>
      <c r="K298" s="393"/>
      <c r="L298" s="393"/>
      <c r="M298" s="393"/>
      <c r="N298" s="393"/>
      <c r="O298" s="393"/>
      <c r="P298" s="393"/>
      <c r="Q298" s="393"/>
      <c r="R298" s="393"/>
      <c r="S298" s="393"/>
      <c r="T298" s="393"/>
      <c r="U298" s="393"/>
      <c r="V298" s="393"/>
      <c r="W298" s="393"/>
      <c r="X298" s="393"/>
      <c r="Y298" s="393"/>
      <c r="Z298" s="393"/>
    </row>
    <row r="299">
      <c r="A299" s="393"/>
      <c r="B299" s="393"/>
      <c r="C299" s="393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3"/>
      <c r="W299" s="393"/>
      <c r="X299" s="393"/>
      <c r="Y299" s="393"/>
      <c r="Z299" s="393"/>
    </row>
    <row r="300">
      <c r="A300" s="393"/>
      <c r="B300" s="393"/>
      <c r="C300" s="393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3"/>
      <c r="W300" s="393"/>
      <c r="X300" s="393"/>
      <c r="Y300" s="393"/>
      <c r="Z300" s="393"/>
    </row>
    <row r="301">
      <c r="A301" s="393"/>
      <c r="B301" s="393"/>
      <c r="C301" s="393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3"/>
      <c r="W301" s="393"/>
      <c r="X301" s="393"/>
      <c r="Y301" s="393"/>
      <c r="Z301" s="393"/>
    </row>
    <row r="302">
      <c r="A302" s="393"/>
      <c r="B302" s="393"/>
      <c r="C302" s="393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3"/>
      <c r="W302" s="393"/>
      <c r="X302" s="393"/>
      <c r="Y302" s="393"/>
      <c r="Z302" s="393"/>
    </row>
    <row r="303">
      <c r="A303" s="393"/>
      <c r="B303" s="393"/>
      <c r="C303" s="393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3"/>
      <c r="W303" s="393"/>
      <c r="X303" s="393"/>
      <c r="Y303" s="393"/>
      <c r="Z303" s="393"/>
    </row>
    <row r="304">
      <c r="A304" s="393"/>
      <c r="B304" s="393"/>
      <c r="C304" s="393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3"/>
      <c r="W304" s="393"/>
      <c r="X304" s="393"/>
      <c r="Y304" s="393"/>
      <c r="Z304" s="393"/>
    </row>
    <row r="305">
      <c r="A305" s="393"/>
      <c r="B305" s="393"/>
      <c r="C305" s="393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3"/>
      <c r="W305" s="393"/>
      <c r="X305" s="393"/>
      <c r="Y305" s="393"/>
      <c r="Z305" s="393"/>
    </row>
    <row r="306">
      <c r="A306" s="393"/>
      <c r="B306" s="393"/>
      <c r="C306" s="393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3"/>
      <c r="W306" s="393"/>
      <c r="X306" s="393"/>
      <c r="Y306" s="393"/>
      <c r="Z306" s="393"/>
    </row>
    <row r="307">
      <c r="A307" s="393"/>
      <c r="B307" s="393"/>
      <c r="C307" s="393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3"/>
      <c r="W307" s="393"/>
      <c r="X307" s="393"/>
      <c r="Y307" s="393"/>
      <c r="Z307" s="393"/>
    </row>
    <row r="308">
      <c r="A308" s="393"/>
      <c r="B308" s="393"/>
      <c r="C308" s="393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3"/>
      <c r="W308" s="393"/>
      <c r="X308" s="393"/>
      <c r="Y308" s="393"/>
      <c r="Z308" s="393"/>
    </row>
    <row r="309">
      <c r="A309" s="393"/>
      <c r="B309" s="393"/>
      <c r="C309" s="393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3"/>
      <c r="W309" s="393"/>
      <c r="X309" s="393"/>
      <c r="Y309" s="393"/>
      <c r="Z309" s="393"/>
    </row>
    <row r="310">
      <c r="A310" s="393"/>
      <c r="B310" s="393"/>
      <c r="C310" s="393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3"/>
      <c r="W310" s="393"/>
      <c r="X310" s="393"/>
      <c r="Y310" s="393"/>
      <c r="Z310" s="393"/>
    </row>
    <row r="311">
      <c r="A311" s="393"/>
      <c r="B311" s="393"/>
      <c r="C311" s="393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3"/>
      <c r="W311" s="393"/>
      <c r="X311" s="393"/>
      <c r="Y311" s="393"/>
      <c r="Z311" s="393"/>
    </row>
    <row r="312">
      <c r="A312" s="393"/>
      <c r="B312" s="393"/>
      <c r="C312" s="393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3"/>
      <c r="W312" s="393"/>
      <c r="X312" s="393"/>
      <c r="Y312" s="393"/>
      <c r="Z312" s="393"/>
    </row>
    <row r="313">
      <c r="A313" s="393"/>
      <c r="B313" s="393"/>
      <c r="C313" s="393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3"/>
      <c r="W313" s="393"/>
      <c r="X313" s="393"/>
      <c r="Y313" s="393"/>
      <c r="Z313" s="393"/>
    </row>
    <row r="314">
      <c r="A314" s="393"/>
      <c r="B314" s="393"/>
      <c r="C314" s="393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3"/>
      <c r="W314" s="393"/>
      <c r="X314" s="393"/>
      <c r="Y314" s="393"/>
      <c r="Z314" s="393"/>
    </row>
    <row r="315">
      <c r="A315" s="393"/>
      <c r="B315" s="393"/>
      <c r="C315" s="393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3"/>
      <c r="W315" s="393"/>
      <c r="X315" s="393"/>
      <c r="Y315" s="393"/>
      <c r="Z315" s="393"/>
    </row>
    <row r="316">
      <c r="A316" s="393"/>
      <c r="B316" s="393"/>
      <c r="C316" s="393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3"/>
      <c r="W316" s="393"/>
      <c r="X316" s="393"/>
      <c r="Y316" s="393"/>
      <c r="Z316" s="393"/>
    </row>
    <row r="317">
      <c r="A317" s="393"/>
      <c r="B317" s="393"/>
      <c r="C317" s="393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3"/>
      <c r="W317" s="393"/>
      <c r="X317" s="393"/>
      <c r="Y317" s="393"/>
      <c r="Z317" s="393"/>
    </row>
    <row r="318">
      <c r="A318" s="393"/>
      <c r="B318" s="393"/>
      <c r="C318" s="393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3"/>
      <c r="W318" s="393"/>
      <c r="X318" s="393"/>
      <c r="Y318" s="393"/>
      <c r="Z318" s="393"/>
    </row>
    <row r="319">
      <c r="A319" s="393"/>
      <c r="B319" s="393"/>
      <c r="C319" s="393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3"/>
      <c r="W319" s="393"/>
      <c r="X319" s="393"/>
      <c r="Y319" s="393"/>
      <c r="Z319" s="393"/>
    </row>
    <row r="320">
      <c r="A320" s="393"/>
      <c r="B320" s="393"/>
      <c r="C320" s="393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3"/>
      <c r="W320" s="393"/>
      <c r="X320" s="393"/>
      <c r="Y320" s="393"/>
      <c r="Z320" s="393"/>
    </row>
    <row r="321">
      <c r="A321" s="393"/>
      <c r="B321" s="393"/>
      <c r="C321" s="393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3"/>
      <c r="W321" s="393"/>
      <c r="X321" s="393"/>
      <c r="Y321" s="393"/>
      <c r="Z321" s="393"/>
    </row>
    <row r="322">
      <c r="A322" s="393"/>
      <c r="B322" s="393"/>
      <c r="C322" s="393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3"/>
      <c r="W322" s="393"/>
      <c r="X322" s="393"/>
      <c r="Y322" s="393"/>
      <c r="Z322" s="393"/>
    </row>
    <row r="323">
      <c r="A323" s="393"/>
      <c r="B323" s="393"/>
      <c r="C323" s="393"/>
      <c r="D323" s="393"/>
      <c r="E323" s="393"/>
      <c r="F323" s="393"/>
      <c r="G323" s="393"/>
      <c r="H323" s="393"/>
      <c r="I323" s="393"/>
      <c r="J323" s="393"/>
      <c r="K323" s="393"/>
      <c r="L323" s="393"/>
      <c r="M323" s="393"/>
      <c r="N323" s="393"/>
      <c r="O323" s="393"/>
      <c r="P323" s="393"/>
      <c r="Q323" s="393"/>
      <c r="R323" s="393"/>
      <c r="S323" s="393"/>
      <c r="T323" s="393"/>
      <c r="U323" s="393"/>
      <c r="V323" s="393"/>
      <c r="W323" s="393"/>
      <c r="X323" s="393"/>
      <c r="Y323" s="393"/>
      <c r="Z323" s="393"/>
    </row>
    <row r="324">
      <c r="A324" s="393"/>
      <c r="B324" s="393"/>
      <c r="C324" s="393"/>
      <c r="D324" s="393"/>
      <c r="E324" s="393"/>
      <c r="F324" s="393"/>
      <c r="G324" s="393"/>
      <c r="H324" s="393"/>
      <c r="I324" s="393"/>
      <c r="J324" s="393"/>
      <c r="K324" s="393"/>
      <c r="L324" s="393"/>
      <c r="M324" s="393"/>
      <c r="N324" s="393"/>
      <c r="O324" s="393"/>
      <c r="P324" s="393"/>
      <c r="Q324" s="393"/>
      <c r="R324" s="393"/>
      <c r="S324" s="393"/>
      <c r="T324" s="393"/>
      <c r="U324" s="393"/>
      <c r="V324" s="393"/>
      <c r="W324" s="393"/>
      <c r="X324" s="393"/>
      <c r="Y324" s="393"/>
      <c r="Z324" s="393"/>
    </row>
    <row r="325">
      <c r="A325" s="393"/>
      <c r="B325" s="393"/>
      <c r="C325" s="393"/>
      <c r="D325" s="393"/>
      <c r="E325" s="393"/>
      <c r="F325" s="393"/>
      <c r="G325" s="393"/>
      <c r="H325" s="393"/>
      <c r="I325" s="393"/>
      <c r="J325" s="393"/>
      <c r="K325" s="393"/>
      <c r="L325" s="393"/>
      <c r="M325" s="393"/>
      <c r="N325" s="393"/>
      <c r="O325" s="393"/>
      <c r="P325" s="393"/>
      <c r="Q325" s="393"/>
      <c r="R325" s="393"/>
      <c r="S325" s="393"/>
      <c r="T325" s="393"/>
      <c r="U325" s="393"/>
      <c r="V325" s="393"/>
      <c r="W325" s="393"/>
      <c r="X325" s="393"/>
      <c r="Y325" s="393"/>
      <c r="Z325" s="393"/>
    </row>
    <row r="326">
      <c r="A326" s="393"/>
      <c r="B326" s="393"/>
      <c r="C326" s="393"/>
      <c r="D326" s="393"/>
      <c r="E326" s="393"/>
      <c r="F326" s="393"/>
      <c r="G326" s="393"/>
      <c r="H326" s="393"/>
      <c r="I326" s="393"/>
      <c r="J326" s="393"/>
      <c r="K326" s="393"/>
      <c r="L326" s="393"/>
      <c r="M326" s="393"/>
      <c r="N326" s="393"/>
      <c r="O326" s="393"/>
      <c r="P326" s="393"/>
      <c r="Q326" s="393"/>
      <c r="R326" s="393"/>
      <c r="S326" s="393"/>
      <c r="T326" s="393"/>
      <c r="U326" s="393"/>
      <c r="V326" s="393"/>
      <c r="W326" s="393"/>
      <c r="X326" s="393"/>
      <c r="Y326" s="393"/>
      <c r="Z326" s="393"/>
    </row>
    <row r="327">
      <c r="A327" s="393"/>
      <c r="B327" s="393"/>
      <c r="C327" s="393"/>
      <c r="D327" s="393"/>
      <c r="E327" s="393"/>
      <c r="F327" s="393"/>
      <c r="G327" s="393"/>
      <c r="H327" s="393"/>
      <c r="I327" s="393"/>
      <c r="J327" s="393"/>
      <c r="K327" s="393"/>
      <c r="L327" s="393"/>
      <c r="M327" s="393"/>
      <c r="N327" s="393"/>
      <c r="O327" s="393"/>
      <c r="P327" s="393"/>
      <c r="Q327" s="393"/>
      <c r="R327" s="393"/>
      <c r="S327" s="393"/>
      <c r="T327" s="393"/>
      <c r="U327" s="393"/>
      <c r="V327" s="393"/>
      <c r="W327" s="393"/>
      <c r="X327" s="393"/>
      <c r="Y327" s="393"/>
      <c r="Z327" s="393"/>
    </row>
    <row r="328">
      <c r="A328" s="393"/>
      <c r="B328" s="393"/>
      <c r="C328" s="393"/>
      <c r="D328" s="393"/>
      <c r="E328" s="393"/>
      <c r="F328" s="393"/>
      <c r="G328" s="393"/>
      <c r="H328" s="393"/>
      <c r="I328" s="393"/>
      <c r="J328" s="393"/>
      <c r="K328" s="393"/>
      <c r="L328" s="393"/>
      <c r="M328" s="393"/>
      <c r="N328" s="393"/>
      <c r="O328" s="393"/>
      <c r="P328" s="393"/>
      <c r="Q328" s="393"/>
      <c r="R328" s="393"/>
      <c r="S328" s="393"/>
      <c r="T328" s="393"/>
      <c r="U328" s="393"/>
      <c r="V328" s="393"/>
      <c r="W328" s="393"/>
      <c r="X328" s="393"/>
      <c r="Y328" s="393"/>
      <c r="Z328" s="393"/>
    </row>
    <row r="329">
      <c r="A329" s="393"/>
      <c r="B329" s="393"/>
      <c r="C329" s="393"/>
      <c r="D329" s="393"/>
      <c r="E329" s="393"/>
      <c r="F329" s="393"/>
      <c r="G329" s="393"/>
      <c r="H329" s="393"/>
      <c r="I329" s="393"/>
      <c r="J329" s="393"/>
      <c r="K329" s="393"/>
      <c r="L329" s="393"/>
      <c r="M329" s="393"/>
      <c r="N329" s="393"/>
      <c r="O329" s="393"/>
      <c r="P329" s="393"/>
      <c r="Q329" s="393"/>
      <c r="R329" s="393"/>
      <c r="S329" s="393"/>
      <c r="T329" s="393"/>
      <c r="U329" s="393"/>
      <c r="V329" s="393"/>
      <c r="W329" s="393"/>
      <c r="X329" s="393"/>
      <c r="Y329" s="393"/>
      <c r="Z329" s="393"/>
    </row>
    <row r="330">
      <c r="A330" s="393"/>
      <c r="B330" s="393"/>
      <c r="C330" s="393"/>
      <c r="D330" s="393"/>
      <c r="E330" s="393"/>
      <c r="F330" s="393"/>
      <c r="G330" s="393"/>
      <c r="H330" s="393"/>
      <c r="I330" s="393"/>
      <c r="J330" s="393"/>
      <c r="K330" s="393"/>
      <c r="L330" s="393"/>
      <c r="M330" s="393"/>
      <c r="N330" s="393"/>
      <c r="O330" s="393"/>
      <c r="P330" s="393"/>
      <c r="Q330" s="393"/>
      <c r="R330" s="393"/>
      <c r="S330" s="393"/>
      <c r="T330" s="393"/>
      <c r="U330" s="393"/>
      <c r="V330" s="393"/>
      <c r="W330" s="393"/>
      <c r="X330" s="393"/>
      <c r="Y330" s="393"/>
      <c r="Z330" s="393"/>
    </row>
    <row r="331">
      <c r="A331" s="393"/>
      <c r="B331" s="393"/>
      <c r="C331" s="393"/>
      <c r="D331" s="393"/>
      <c r="E331" s="393"/>
      <c r="F331" s="393"/>
      <c r="G331" s="393"/>
      <c r="H331" s="393"/>
      <c r="I331" s="393"/>
      <c r="J331" s="393"/>
      <c r="K331" s="393"/>
      <c r="L331" s="393"/>
      <c r="M331" s="393"/>
      <c r="N331" s="393"/>
      <c r="O331" s="393"/>
      <c r="P331" s="393"/>
      <c r="Q331" s="393"/>
      <c r="R331" s="393"/>
      <c r="S331" s="393"/>
      <c r="T331" s="393"/>
      <c r="U331" s="393"/>
      <c r="V331" s="393"/>
      <c r="W331" s="393"/>
      <c r="X331" s="393"/>
      <c r="Y331" s="393"/>
      <c r="Z331" s="393"/>
    </row>
    <row r="332">
      <c r="A332" s="393"/>
      <c r="B332" s="393"/>
      <c r="C332" s="393"/>
      <c r="D332" s="393"/>
      <c r="E332" s="393"/>
      <c r="F332" s="393"/>
      <c r="G332" s="393"/>
      <c r="H332" s="393"/>
      <c r="I332" s="393"/>
      <c r="J332" s="393"/>
      <c r="K332" s="393"/>
      <c r="L332" s="393"/>
      <c r="M332" s="393"/>
      <c r="N332" s="393"/>
      <c r="O332" s="393"/>
      <c r="P332" s="393"/>
      <c r="Q332" s="393"/>
      <c r="R332" s="393"/>
      <c r="S332" s="393"/>
      <c r="T332" s="393"/>
      <c r="U332" s="393"/>
      <c r="V332" s="393"/>
      <c r="W332" s="393"/>
      <c r="X332" s="393"/>
      <c r="Y332" s="393"/>
      <c r="Z332" s="393"/>
    </row>
    <row r="333">
      <c r="A333" s="393"/>
      <c r="B333" s="393"/>
      <c r="C333" s="393"/>
      <c r="D333" s="393"/>
      <c r="E333" s="393"/>
      <c r="F333" s="393"/>
      <c r="G333" s="393"/>
      <c r="H333" s="393"/>
      <c r="I333" s="393"/>
      <c r="J333" s="393"/>
      <c r="K333" s="393"/>
      <c r="L333" s="393"/>
      <c r="M333" s="393"/>
      <c r="N333" s="393"/>
      <c r="O333" s="393"/>
      <c r="P333" s="393"/>
      <c r="Q333" s="393"/>
      <c r="R333" s="393"/>
      <c r="S333" s="393"/>
      <c r="T333" s="393"/>
      <c r="U333" s="393"/>
      <c r="V333" s="393"/>
      <c r="W333" s="393"/>
      <c r="X333" s="393"/>
      <c r="Y333" s="393"/>
      <c r="Z333" s="393"/>
    </row>
    <row r="334">
      <c r="A334" s="393"/>
      <c r="B334" s="393"/>
      <c r="C334" s="393"/>
      <c r="D334" s="393"/>
      <c r="E334" s="393"/>
      <c r="F334" s="393"/>
      <c r="G334" s="393"/>
      <c r="H334" s="393"/>
      <c r="I334" s="393"/>
      <c r="J334" s="393"/>
      <c r="K334" s="393"/>
      <c r="L334" s="393"/>
      <c r="M334" s="393"/>
      <c r="N334" s="393"/>
      <c r="O334" s="393"/>
      <c r="P334" s="393"/>
      <c r="Q334" s="393"/>
      <c r="R334" s="393"/>
      <c r="S334" s="393"/>
      <c r="T334" s="393"/>
      <c r="U334" s="393"/>
      <c r="V334" s="393"/>
      <c r="W334" s="393"/>
      <c r="X334" s="393"/>
      <c r="Y334" s="393"/>
      <c r="Z334" s="393"/>
    </row>
    <row r="335">
      <c r="A335" s="393"/>
      <c r="B335" s="393"/>
      <c r="C335" s="393"/>
      <c r="D335" s="393"/>
      <c r="E335" s="393"/>
      <c r="F335" s="393"/>
      <c r="G335" s="393"/>
      <c r="H335" s="393"/>
      <c r="I335" s="393"/>
      <c r="J335" s="393"/>
      <c r="K335" s="393"/>
      <c r="L335" s="393"/>
      <c r="M335" s="393"/>
      <c r="N335" s="393"/>
      <c r="O335" s="393"/>
      <c r="P335" s="393"/>
      <c r="Q335" s="393"/>
      <c r="R335" s="393"/>
      <c r="S335" s="393"/>
      <c r="T335" s="393"/>
      <c r="U335" s="393"/>
      <c r="V335" s="393"/>
      <c r="W335" s="393"/>
      <c r="X335" s="393"/>
      <c r="Y335" s="393"/>
      <c r="Z335" s="393"/>
    </row>
    <row r="336">
      <c r="A336" s="393"/>
      <c r="B336" s="393"/>
      <c r="C336" s="393"/>
      <c r="D336" s="393"/>
      <c r="E336" s="393"/>
      <c r="F336" s="393"/>
      <c r="G336" s="393"/>
      <c r="H336" s="393"/>
      <c r="I336" s="393"/>
      <c r="J336" s="393"/>
      <c r="K336" s="393"/>
      <c r="L336" s="393"/>
      <c r="M336" s="393"/>
      <c r="N336" s="393"/>
      <c r="O336" s="393"/>
      <c r="P336" s="393"/>
      <c r="Q336" s="393"/>
      <c r="R336" s="393"/>
      <c r="S336" s="393"/>
      <c r="T336" s="393"/>
      <c r="U336" s="393"/>
      <c r="V336" s="393"/>
      <c r="W336" s="393"/>
      <c r="X336" s="393"/>
      <c r="Y336" s="393"/>
      <c r="Z336" s="393"/>
    </row>
    <row r="337">
      <c r="A337" s="393"/>
      <c r="B337" s="393"/>
      <c r="C337" s="393"/>
      <c r="D337" s="393"/>
      <c r="E337" s="393"/>
      <c r="F337" s="393"/>
      <c r="G337" s="393"/>
      <c r="H337" s="393"/>
      <c r="I337" s="393"/>
      <c r="J337" s="393"/>
      <c r="K337" s="393"/>
      <c r="L337" s="393"/>
      <c r="M337" s="393"/>
      <c r="N337" s="393"/>
      <c r="O337" s="393"/>
      <c r="P337" s="393"/>
      <c r="Q337" s="393"/>
      <c r="R337" s="393"/>
      <c r="S337" s="393"/>
      <c r="T337" s="393"/>
      <c r="U337" s="393"/>
      <c r="V337" s="393"/>
      <c r="W337" s="393"/>
      <c r="X337" s="393"/>
      <c r="Y337" s="393"/>
      <c r="Z337" s="393"/>
    </row>
    <row r="338">
      <c r="A338" s="393"/>
      <c r="B338" s="393"/>
      <c r="C338" s="393"/>
      <c r="D338" s="393"/>
      <c r="E338" s="393"/>
      <c r="F338" s="393"/>
      <c r="G338" s="393"/>
      <c r="H338" s="393"/>
      <c r="I338" s="393"/>
      <c r="J338" s="393"/>
      <c r="K338" s="393"/>
      <c r="L338" s="393"/>
      <c r="M338" s="393"/>
      <c r="N338" s="393"/>
      <c r="O338" s="393"/>
      <c r="P338" s="393"/>
      <c r="Q338" s="393"/>
      <c r="R338" s="393"/>
      <c r="S338" s="393"/>
      <c r="T338" s="393"/>
      <c r="U338" s="393"/>
      <c r="V338" s="393"/>
      <c r="W338" s="393"/>
      <c r="X338" s="393"/>
      <c r="Y338" s="393"/>
      <c r="Z338" s="393"/>
    </row>
    <row r="339">
      <c r="A339" s="393"/>
      <c r="B339" s="393"/>
      <c r="C339" s="393"/>
      <c r="D339" s="393"/>
      <c r="E339" s="393"/>
      <c r="F339" s="393"/>
      <c r="G339" s="393"/>
      <c r="H339" s="393"/>
      <c r="I339" s="393"/>
      <c r="J339" s="393"/>
      <c r="K339" s="393"/>
      <c r="L339" s="393"/>
      <c r="M339" s="393"/>
      <c r="N339" s="393"/>
      <c r="O339" s="393"/>
      <c r="P339" s="393"/>
      <c r="Q339" s="393"/>
      <c r="R339" s="393"/>
      <c r="S339" s="393"/>
      <c r="T339" s="393"/>
      <c r="U339" s="393"/>
      <c r="V339" s="393"/>
      <c r="W339" s="393"/>
      <c r="X339" s="393"/>
      <c r="Y339" s="393"/>
      <c r="Z339" s="393"/>
    </row>
    <row r="340">
      <c r="A340" s="393"/>
      <c r="B340" s="393"/>
      <c r="C340" s="393"/>
      <c r="D340" s="393"/>
      <c r="E340" s="393"/>
      <c r="F340" s="393"/>
      <c r="G340" s="393"/>
      <c r="H340" s="393"/>
      <c r="I340" s="393"/>
      <c r="J340" s="393"/>
      <c r="K340" s="393"/>
      <c r="L340" s="393"/>
      <c r="M340" s="393"/>
      <c r="N340" s="393"/>
      <c r="O340" s="393"/>
      <c r="P340" s="393"/>
      <c r="Q340" s="393"/>
      <c r="R340" s="393"/>
      <c r="S340" s="393"/>
      <c r="T340" s="393"/>
      <c r="U340" s="393"/>
      <c r="V340" s="393"/>
      <c r="W340" s="393"/>
      <c r="X340" s="393"/>
      <c r="Y340" s="393"/>
      <c r="Z340" s="393"/>
    </row>
    <row r="341">
      <c r="A341" s="393"/>
      <c r="B341" s="393"/>
      <c r="C341" s="393"/>
      <c r="D341" s="393"/>
      <c r="E341" s="393"/>
      <c r="F341" s="393"/>
      <c r="G341" s="393"/>
      <c r="H341" s="393"/>
      <c r="I341" s="393"/>
      <c r="J341" s="393"/>
      <c r="K341" s="393"/>
      <c r="L341" s="393"/>
      <c r="M341" s="393"/>
      <c r="N341" s="393"/>
      <c r="O341" s="393"/>
      <c r="P341" s="393"/>
      <c r="Q341" s="393"/>
      <c r="R341" s="393"/>
      <c r="S341" s="393"/>
      <c r="T341" s="393"/>
      <c r="U341" s="393"/>
      <c r="V341" s="393"/>
      <c r="W341" s="393"/>
      <c r="X341" s="393"/>
      <c r="Y341" s="393"/>
      <c r="Z341" s="393"/>
    </row>
    <row r="342">
      <c r="A342" s="393"/>
      <c r="B342" s="393"/>
      <c r="C342" s="393"/>
      <c r="D342" s="393"/>
      <c r="E342" s="393"/>
      <c r="F342" s="393"/>
      <c r="G342" s="393"/>
      <c r="H342" s="393"/>
      <c r="I342" s="393"/>
      <c r="J342" s="393"/>
      <c r="K342" s="393"/>
      <c r="L342" s="393"/>
      <c r="M342" s="393"/>
      <c r="N342" s="393"/>
      <c r="O342" s="393"/>
      <c r="P342" s="393"/>
      <c r="Q342" s="393"/>
      <c r="R342" s="393"/>
      <c r="S342" s="393"/>
      <c r="T342" s="393"/>
      <c r="U342" s="393"/>
      <c r="V342" s="393"/>
      <c r="W342" s="393"/>
      <c r="X342" s="393"/>
      <c r="Y342" s="393"/>
      <c r="Z342" s="393"/>
    </row>
    <row r="343">
      <c r="A343" s="393"/>
      <c r="B343" s="393"/>
      <c r="C343" s="393"/>
      <c r="D343" s="393"/>
      <c r="E343" s="393"/>
      <c r="F343" s="393"/>
      <c r="G343" s="393"/>
      <c r="H343" s="393"/>
      <c r="I343" s="393"/>
      <c r="J343" s="393"/>
      <c r="K343" s="393"/>
      <c r="L343" s="393"/>
      <c r="M343" s="393"/>
      <c r="N343" s="393"/>
      <c r="O343" s="393"/>
      <c r="P343" s="393"/>
      <c r="Q343" s="393"/>
      <c r="R343" s="393"/>
      <c r="S343" s="393"/>
      <c r="T343" s="393"/>
      <c r="U343" s="393"/>
      <c r="V343" s="393"/>
      <c r="W343" s="393"/>
      <c r="X343" s="393"/>
      <c r="Y343" s="393"/>
      <c r="Z343" s="393"/>
    </row>
    <row r="344">
      <c r="A344" s="393"/>
      <c r="B344" s="393"/>
      <c r="C344" s="393"/>
      <c r="D344" s="393"/>
      <c r="E344" s="393"/>
      <c r="F344" s="393"/>
      <c r="G344" s="393"/>
      <c r="H344" s="393"/>
      <c r="I344" s="393"/>
      <c r="J344" s="393"/>
      <c r="K344" s="393"/>
      <c r="L344" s="393"/>
      <c r="M344" s="393"/>
      <c r="N344" s="393"/>
      <c r="O344" s="393"/>
      <c r="P344" s="393"/>
      <c r="Q344" s="393"/>
      <c r="R344" s="393"/>
      <c r="S344" s="393"/>
      <c r="T344" s="393"/>
      <c r="U344" s="393"/>
      <c r="V344" s="393"/>
      <c r="W344" s="393"/>
      <c r="X344" s="393"/>
      <c r="Y344" s="393"/>
      <c r="Z344" s="393"/>
    </row>
    <row r="345">
      <c r="A345" s="393"/>
      <c r="B345" s="393"/>
      <c r="C345" s="393"/>
      <c r="D345" s="393"/>
      <c r="E345" s="393"/>
      <c r="F345" s="393"/>
      <c r="G345" s="393"/>
      <c r="H345" s="393"/>
      <c r="I345" s="393"/>
      <c r="J345" s="393"/>
      <c r="K345" s="393"/>
      <c r="L345" s="393"/>
      <c r="M345" s="393"/>
      <c r="N345" s="393"/>
      <c r="O345" s="393"/>
      <c r="P345" s="393"/>
      <c r="Q345" s="393"/>
      <c r="R345" s="393"/>
      <c r="S345" s="393"/>
      <c r="T345" s="393"/>
      <c r="U345" s="393"/>
      <c r="V345" s="393"/>
      <c r="W345" s="393"/>
      <c r="X345" s="393"/>
      <c r="Y345" s="393"/>
      <c r="Z345" s="393"/>
    </row>
    <row r="346">
      <c r="A346" s="393"/>
      <c r="B346" s="393"/>
      <c r="C346" s="393"/>
      <c r="D346" s="393"/>
      <c r="E346" s="393"/>
      <c r="F346" s="393"/>
      <c r="G346" s="393"/>
      <c r="H346" s="393"/>
      <c r="I346" s="393"/>
      <c r="J346" s="393"/>
      <c r="K346" s="393"/>
      <c r="L346" s="393"/>
      <c r="M346" s="393"/>
      <c r="N346" s="393"/>
      <c r="O346" s="393"/>
      <c r="P346" s="393"/>
      <c r="Q346" s="393"/>
      <c r="R346" s="393"/>
      <c r="S346" s="393"/>
      <c r="T346" s="393"/>
      <c r="U346" s="393"/>
      <c r="V346" s="393"/>
      <c r="W346" s="393"/>
      <c r="X346" s="393"/>
      <c r="Y346" s="393"/>
      <c r="Z346" s="393"/>
    </row>
    <row r="347">
      <c r="A347" s="393"/>
      <c r="B347" s="393"/>
      <c r="C347" s="393"/>
      <c r="D347" s="393"/>
      <c r="E347" s="393"/>
      <c r="F347" s="393"/>
      <c r="G347" s="393"/>
      <c r="H347" s="393"/>
      <c r="I347" s="393"/>
      <c r="J347" s="393"/>
      <c r="K347" s="393"/>
      <c r="L347" s="393"/>
      <c r="M347" s="393"/>
      <c r="N347" s="393"/>
      <c r="O347" s="393"/>
      <c r="P347" s="393"/>
      <c r="Q347" s="393"/>
      <c r="R347" s="393"/>
      <c r="S347" s="393"/>
      <c r="T347" s="393"/>
      <c r="U347" s="393"/>
      <c r="V347" s="393"/>
      <c r="W347" s="393"/>
      <c r="X347" s="393"/>
      <c r="Y347" s="393"/>
      <c r="Z347" s="393"/>
    </row>
    <row r="348">
      <c r="A348" s="393"/>
      <c r="B348" s="393"/>
      <c r="C348" s="393"/>
      <c r="D348" s="393"/>
      <c r="E348" s="393"/>
      <c r="F348" s="393"/>
      <c r="G348" s="393"/>
      <c r="H348" s="393"/>
      <c r="I348" s="393"/>
      <c r="J348" s="393"/>
      <c r="K348" s="393"/>
      <c r="L348" s="393"/>
      <c r="M348" s="393"/>
      <c r="N348" s="393"/>
      <c r="O348" s="393"/>
      <c r="P348" s="393"/>
      <c r="Q348" s="393"/>
      <c r="R348" s="393"/>
      <c r="S348" s="393"/>
      <c r="T348" s="393"/>
      <c r="U348" s="393"/>
      <c r="V348" s="393"/>
      <c r="W348" s="393"/>
      <c r="X348" s="393"/>
      <c r="Y348" s="393"/>
      <c r="Z348" s="393"/>
    </row>
    <row r="349">
      <c r="A349" s="393"/>
      <c r="B349" s="393"/>
      <c r="C349" s="393"/>
      <c r="D349" s="393"/>
      <c r="E349" s="393"/>
      <c r="F349" s="393"/>
      <c r="G349" s="393"/>
      <c r="H349" s="393"/>
      <c r="I349" s="393"/>
      <c r="J349" s="393"/>
      <c r="K349" s="393"/>
      <c r="L349" s="393"/>
      <c r="M349" s="393"/>
      <c r="N349" s="393"/>
      <c r="O349" s="393"/>
      <c r="P349" s="393"/>
      <c r="Q349" s="393"/>
      <c r="R349" s="393"/>
      <c r="S349" s="393"/>
      <c r="T349" s="393"/>
      <c r="U349" s="393"/>
      <c r="V349" s="393"/>
      <c r="W349" s="393"/>
      <c r="X349" s="393"/>
      <c r="Y349" s="393"/>
      <c r="Z349" s="393"/>
    </row>
    <row r="350">
      <c r="A350" s="393"/>
      <c r="B350" s="393"/>
      <c r="C350" s="393"/>
      <c r="D350" s="393"/>
      <c r="E350" s="393"/>
      <c r="F350" s="393"/>
      <c r="G350" s="393"/>
      <c r="H350" s="393"/>
      <c r="I350" s="393"/>
      <c r="J350" s="393"/>
      <c r="K350" s="393"/>
      <c r="L350" s="393"/>
      <c r="M350" s="393"/>
      <c r="N350" s="393"/>
      <c r="O350" s="393"/>
      <c r="P350" s="393"/>
      <c r="Q350" s="393"/>
      <c r="R350" s="393"/>
      <c r="S350" s="393"/>
      <c r="T350" s="393"/>
      <c r="U350" s="393"/>
      <c r="V350" s="393"/>
      <c r="W350" s="393"/>
      <c r="X350" s="393"/>
      <c r="Y350" s="393"/>
      <c r="Z350" s="393"/>
    </row>
    <row r="351">
      <c r="A351" s="393"/>
      <c r="B351" s="393"/>
      <c r="C351" s="393"/>
      <c r="D351" s="393"/>
      <c r="E351" s="393"/>
      <c r="F351" s="393"/>
      <c r="G351" s="393"/>
      <c r="H351" s="393"/>
      <c r="I351" s="393"/>
      <c r="J351" s="393"/>
      <c r="K351" s="393"/>
      <c r="L351" s="393"/>
      <c r="M351" s="393"/>
      <c r="N351" s="393"/>
      <c r="O351" s="393"/>
      <c r="P351" s="393"/>
      <c r="Q351" s="393"/>
      <c r="R351" s="393"/>
      <c r="S351" s="393"/>
      <c r="T351" s="393"/>
      <c r="U351" s="393"/>
      <c r="V351" s="393"/>
      <c r="W351" s="393"/>
      <c r="X351" s="393"/>
      <c r="Y351" s="393"/>
      <c r="Z351" s="393"/>
    </row>
    <row r="352">
      <c r="A352" s="393"/>
      <c r="B352" s="393"/>
      <c r="C352" s="393"/>
      <c r="D352" s="393"/>
      <c r="E352" s="393"/>
      <c r="F352" s="393"/>
      <c r="G352" s="393"/>
      <c r="H352" s="393"/>
      <c r="I352" s="393"/>
      <c r="J352" s="393"/>
      <c r="K352" s="393"/>
      <c r="L352" s="393"/>
      <c r="M352" s="393"/>
      <c r="N352" s="393"/>
      <c r="O352" s="393"/>
      <c r="P352" s="393"/>
      <c r="Q352" s="393"/>
      <c r="R352" s="393"/>
      <c r="S352" s="393"/>
      <c r="T352" s="393"/>
      <c r="U352" s="393"/>
      <c r="V352" s="393"/>
      <c r="W352" s="393"/>
      <c r="X352" s="393"/>
      <c r="Y352" s="393"/>
      <c r="Z352" s="393"/>
    </row>
    <row r="353">
      <c r="A353" s="393"/>
      <c r="B353" s="393"/>
      <c r="C353" s="393"/>
      <c r="D353" s="393"/>
      <c r="E353" s="393"/>
      <c r="F353" s="393"/>
      <c r="G353" s="393"/>
      <c r="H353" s="393"/>
      <c r="I353" s="393"/>
      <c r="J353" s="393"/>
      <c r="K353" s="393"/>
      <c r="L353" s="393"/>
      <c r="M353" s="393"/>
      <c r="N353" s="393"/>
      <c r="O353" s="393"/>
      <c r="P353" s="393"/>
      <c r="Q353" s="393"/>
      <c r="R353" s="393"/>
      <c r="S353" s="393"/>
      <c r="T353" s="393"/>
      <c r="U353" s="393"/>
      <c r="V353" s="393"/>
      <c r="W353" s="393"/>
      <c r="X353" s="393"/>
      <c r="Y353" s="393"/>
      <c r="Z353" s="393"/>
    </row>
    <row r="354">
      <c r="A354" s="393"/>
      <c r="B354" s="393"/>
      <c r="C354" s="393"/>
      <c r="D354" s="393"/>
      <c r="E354" s="393"/>
      <c r="F354" s="393"/>
      <c r="G354" s="393"/>
      <c r="H354" s="393"/>
      <c r="I354" s="393"/>
      <c r="J354" s="393"/>
      <c r="K354" s="393"/>
      <c r="L354" s="393"/>
      <c r="M354" s="393"/>
      <c r="N354" s="393"/>
      <c r="O354" s="393"/>
      <c r="P354" s="393"/>
      <c r="Q354" s="393"/>
      <c r="R354" s="393"/>
      <c r="S354" s="393"/>
      <c r="T354" s="393"/>
      <c r="U354" s="393"/>
      <c r="V354" s="393"/>
      <c r="W354" s="393"/>
      <c r="X354" s="393"/>
      <c r="Y354" s="393"/>
      <c r="Z354" s="393"/>
    </row>
    <row r="355">
      <c r="A355" s="393"/>
      <c r="B355" s="393"/>
      <c r="C355" s="393"/>
      <c r="D355" s="393"/>
      <c r="E355" s="393"/>
      <c r="F355" s="393"/>
      <c r="G355" s="393"/>
      <c r="H355" s="393"/>
      <c r="I355" s="393"/>
      <c r="J355" s="393"/>
      <c r="K355" s="393"/>
      <c r="L355" s="393"/>
      <c r="M355" s="393"/>
      <c r="N355" s="393"/>
      <c r="O355" s="393"/>
      <c r="P355" s="393"/>
      <c r="Q355" s="393"/>
      <c r="R355" s="393"/>
      <c r="S355" s="393"/>
      <c r="T355" s="393"/>
      <c r="U355" s="393"/>
      <c r="V355" s="393"/>
      <c r="W355" s="393"/>
      <c r="X355" s="393"/>
      <c r="Y355" s="393"/>
      <c r="Z355" s="393"/>
    </row>
    <row r="356">
      <c r="A356" s="393"/>
      <c r="B356" s="393"/>
      <c r="C356" s="393"/>
      <c r="D356" s="393"/>
      <c r="E356" s="393"/>
      <c r="F356" s="393"/>
      <c r="G356" s="393"/>
      <c r="H356" s="393"/>
      <c r="I356" s="393"/>
      <c r="J356" s="393"/>
      <c r="K356" s="393"/>
      <c r="L356" s="393"/>
      <c r="M356" s="393"/>
      <c r="N356" s="393"/>
      <c r="O356" s="393"/>
      <c r="P356" s="393"/>
      <c r="Q356" s="393"/>
      <c r="R356" s="393"/>
      <c r="S356" s="393"/>
      <c r="T356" s="393"/>
      <c r="U356" s="393"/>
      <c r="V356" s="393"/>
      <c r="W356" s="393"/>
      <c r="X356" s="393"/>
      <c r="Y356" s="393"/>
      <c r="Z356" s="393"/>
    </row>
    <row r="357">
      <c r="A357" s="393"/>
      <c r="B357" s="393"/>
      <c r="C357" s="393"/>
      <c r="D357" s="393"/>
      <c r="E357" s="393"/>
      <c r="F357" s="393"/>
      <c r="G357" s="393"/>
      <c r="H357" s="393"/>
      <c r="I357" s="393"/>
      <c r="J357" s="393"/>
      <c r="K357" s="393"/>
      <c r="L357" s="393"/>
      <c r="M357" s="393"/>
      <c r="N357" s="393"/>
      <c r="O357" s="393"/>
      <c r="P357" s="393"/>
      <c r="Q357" s="393"/>
      <c r="R357" s="393"/>
      <c r="S357" s="393"/>
      <c r="T357" s="393"/>
      <c r="U357" s="393"/>
      <c r="V357" s="393"/>
      <c r="W357" s="393"/>
      <c r="X357" s="393"/>
      <c r="Y357" s="393"/>
      <c r="Z357" s="393"/>
    </row>
    <row r="358">
      <c r="A358" s="393"/>
      <c r="B358" s="393"/>
      <c r="C358" s="393"/>
      <c r="D358" s="393"/>
      <c r="E358" s="393"/>
      <c r="F358" s="393"/>
      <c r="G358" s="393"/>
      <c r="H358" s="393"/>
      <c r="I358" s="393"/>
      <c r="J358" s="393"/>
      <c r="K358" s="393"/>
      <c r="L358" s="393"/>
      <c r="M358" s="393"/>
      <c r="N358" s="393"/>
      <c r="O358" s="393"/>
      <c r="P358" s="393"/>
      <c r="Q358" s="393"/>
      <c r="R358" s="393"/>
      <c r="S358" s="393"/>
      <c r="T358" s="393"/>
      <c r="U358" s="393"/>
      <c r="V358" s="393"/>
      <c r="W358" s="393"/>
      <c r="X358" s="393"/>
      <c r="Y358" s="393"/>
      <c r="Z358" s="393"/>
    </row>
    <row r="359">
      <c r="A359" s="393"/>
      <c r="B359" s="393"/>
      <c r="C359" s="393"/>
      <c r="D359" s="393"/>
      <c r="E359" s="393"/>
      <c r="F359" s="393"/>
      <c r="G359" s="393"/>
      <c r="H359" s="393"/>
      <c r="I359" s="393"/>
      <c r="J359" s="393"/>
      <c r="K359" s="393"/>
      <c r="L359" s="393"/>
      <c r="M359" s="393"/>
      <c r="N359" s="393"/>
      <c r="O359" s="393"/>
      <c r="P359" s="393"/>
      <c r="Q359" s="393"/>
      <c r="R359" s="393"/>
      <c r="S359" s="393"/>
      <c r="T359" s="393"/>
      <c r="U359" s="393"/>
      <c r="V359" s="393"/>
      <c r="W359" s="393"/>
      <c r="X359" s="393"/>
      <c r="Y359" s="393"/>
      <c r="Z359" s="393"/>
    </row>
    <row r="360">
      <c r="A360" s="393"/>
      <c r="B360" s="393"/>
      <c r="C360" s="393"/>
      <c r="D360" s="393"/>
      <c r="E360" s="393"/>
      <c r="F360" s="393"/>
      <c r="G360" s="393"/>
      <c r="H360" s="393"/>
      <c r="I360" s="393"/>
      <c r="J360" s="393"/>
      <c r="K360" s="393"/>
      <c r="L360" s="393"/>
      <c r="M360" s="393"/>
      <c r="N360" s="393"/>
      <c r="O360" s="393"/>
      <c r="P360" s="393"/>
      <c r="Q360" s="393"/>
      <c r="R360" s="393"/>
      <c r="S360" s="393"/>
      <c r="T360" s="393"/>
      <c r="U360" s="393"/>
      <c r="V360" s="393"/>
      <c r="W360" s="393"/>
      <c r="X360" s="393"/>
      <c r="Y360" s="393"/>
      <c r="Z360" s="393"/>
    </row>
    <row r="361">
      <c r="A361" s="393"/>
      <c r="B361" s="393"/>
      <c r="C361" s="393"/>
      <c r="D361" s="393"/>
      <c r="E361" s="393"/>
      <c r="F361" s="393"/>
      <c r="G361" s="393"/>
      <c r="H361" s="393"/>
      <c r="I361" s="393"/>
      <c r="J361" s="393"/>
      <c r="K361" s="393"/>
      <c r="L361" s="393"/>
      <c r="M361" s="393"/>
      <c r="N361" s="393"/>
      <c r="O361" s="393"/>
      <c r="P361" s="393"/>
      <c r="Q361" s="393"/>
      <c r="R361" s="393"/>
      <c r="S361" s="393"/>
      <c r="T361" s="393"/>
      <c r="U361" s="393"/>
      <c r="V361" s="393"/>
      <c r="W361" s="393"/>
      <c r="X361" s="393"/>
      <c r="Y361" s="393"/>
      <c r="Z361" s="393"/>
    </row>
    <row r="362">
      <c r="A362" s="393"/>
      <c r="B362" s="393"/>
      <c r="C362" s="393"/>
      <c r="D362" s="393"/>
      <c r="E362" s="393"/>
      <c r="F362" s="393"/>
      <c r="G362" s="393"/>
      <c r="H362" s="393"/>
      <c r="I362" s="393"/>
      <c r="J362" s="393"/>
      <c r="K362" s="393"/>
      <c r="L362" s="393"/>
      <c r="M362" s="393"/>
      <c r="N362" s="393"/>
      <c r="O362" s="393"/>
      <c r="P362" s="393"/>
      <c r="Q362" s="393"/>
      <c r="R362" s="393"/>
      <c r="S362" s="393"/>
      <c r="T362" s="393"/>
      <c r="U362" s="393"/>
      <c r="V362" s="393"/>
      <c r="W362" s="393"/>
      <c r="X362" s="393"/>
      <c r="Y362" s="393"/>
      <c r="Z362" s="393"/>
    </row>
    <row r="363">
      <c r="A363" s="393"/>
      <c r="B363" s="393"/>
      <c r="C363" s="393"/>
      <c r="D363" s="393"/>
      <c r="E363" s="393"/>
      <c r="F363" s="393"/>
      <c r="G363" s="393"/>
      <c r="H363" s="393"/>
      <c r="I363" s="393"/>
      <c r="J363" s="393"/>
      <c r="K363" s="393"/>
      <c r="L363" s="393"/>
      <c r="M363" s="393"/>
      <c r="N363" s="393"/>
      <c r="O363" s="393"/>
      <c r="P363" s="393"/>
      <c r="Q363" s="393"/>
      <c r="R363" s="393"/>
      <c r="S363" s="393"/>
      <c r="T363" s="393"/>
      <c r="U363" s="393"/>
      <c r="V363" s="393"/>
      <c r="W363" s="393"/>
      <c r="X363" s="393"/>
      <c r="Y363" s="393"/>
      <c r="Z363" s="393"/>
    </row>
    <row r="364">
      <c r="A364" s="393"/>
      <c r="B364" s="393"/>
      <c r="C364" s="393"/>
      <c r="D364" s="393"/>
      <c r="E364" s="393"/>
      <c r="F364" s="393"/>
      <c r="G364" s="393"/>
      <c r="H364" s="393"/>
      <c r="I364" s="393"/>
      <c r="J364" s="393"/>
      <c r="K364" s="393"/>
      <c r="L364" s="393"/>
      <c r="M364" s="393"/>
      <c r="N364" s="393"/>
      <c r="O364" s="393"/>
      <c r="P364" s="393"/>
      <c r="Q364" s="393"/>
      <c r="R364" s="393"/>
      <c r="S364" s="393"/>
      <c r="T364" s="393"/>
      <c r="U364" s="393"/>
      <c r="V364" s="393"/>
      <c r="W364" s="393"/>
      <c r="X364" s="393"/>
      <c r="Y364" s="393"/>
      <c r="Z364" s="393"/>
    </row>
    <row r="365">
      <c r="A365" s="393"/>
      <c r="B365" s="393"/>
      <c r="C365" s="393"/>
      <c r="D365" s="393"/>
      <c r="E365" s="393"/>
      <c r="F365" s="393"/>
      <c r="G365" s="393"/>
      <c r="H365" s="393"/>
      <c r="I365" s="393"/>
      <c r="J365" s="393"/>
      <c r="K365" s="393"/>
      <c r="L365" s="393"/>
      <c r="M365" s="393"/>
      <c r="N365" s="393"/>
      <c r="O365" s="393"/>
      <c r="P365" s="393"/>
      <c r="Q365" s="393"/>
      <c r="R365" s="393"/>
      <c r="S365" s="393"/>
      <c r="T365" s="393"/>
      <c r="U365" s="393"/>
      <c r="V365" s="393"/>
      <c r="W365" s="393"/>
      <c r="X365" s="393"/>
      <c r="Y365" s="393"/>
      <c r="Z365" s="393"/>
    </row>
    <row r="366">
      <c r="A366" s="393"/>
      <c r="B366" s="393"/>
      <c r="C366" s="393"/>
      <c r="D366" s="393"/>
      <c r="E366" s="393"/>
      <c r="F366" s="393"/>
      <c r="G366" s="393"/>
      <c r="H366" s="393"/>
      <c r="I366" s="393"/>
      <c r="J366" s="393"/>
      <c r="K366" s="393"/>
      <c r="L366" s="393"/>
      <c r="M366" s="393"/>
      <c r="N366" s="393"/>
      <c r="O366" s="393"/>
      <c r="P366" s="393"/>
      <c r="Q366" s="393"/>
      <c r="R366" s="393"/>
      <c r="S366" s="393"/>
      <c r="T366" s="393"/>
      <c r="U366" s="393"/>
      <c r="V366" s="393"/>
      <c r="W366" s="393"/>
      <c r="X366" s="393"/>
      <c r="Y366" s="393"/>
      <c r="Z366" s="393"/>
    </row>
    <row r="367">
      <c r="A367" s="393"/>
      <c r="B367" s="393"/>
      <c r="C367" s="393"/>
      <c r="D367" s="393"/>
      <c r="E367" s="393"/>
      <c r="F367" s="393"/>
      <c r="G367" s="393"/>
      <c r="H367" s="393"/>
      <c r="I367" s="393"/>
      <c r="J367" s="393"/>
      <c r="K367" s="393"/>
      <c r="L367" s="393"/>
      <c r="M367" s="393"/>
      <c r="N367" s="393"/>
      <c r="O367" s="393"/>
      <c r="P367" s="393"/>
      <c r="Q367" s="393"/>
      <c r="R367" s="393"/>
      <c r="S367" s="393"/>
      <c r="T367" s="393"/>
      <c r="U367" s="393"/>
      <c r="V367" s="393"/>
      <c r="W367" s="393"/>
      <c r="X367" s="393"/>
      <c r="Y367" s="393"/>
      <c r="Z367" s="393"/>
    </row>
    <row r="368">
      <c r="A368" s="393"/>
      <c r="B368" s="393"/>
      <c r="C368" s="393"/>
      <c r="D368" s="393"/>
      <c r="E368" s="393"/>
      <c r="F368" s="393"/>
      <c r="G368" s="393"/>
      <c r="H368" s="393"/>
      <c r="I368" s="393"/>
      <c r="J368" s="393"/>
      <c r="K368" s="393"/>
      <c r="L368" s="393"/>
      <c r="M368" s="393"/>
      <c r="N368" s="393"/>
      <c r="O368" s="393"/>
      <c r="P368" s="393"/>
      <c r="Q368" s="393"/>
      <c r="R368" s="393"/>
      <c r="S368" s="393"/>
      <c r="T368" s="393"/>
      <c r="U368" s="393"/>
      <c r="V368" s="393"/>
      <c r="W368" s="393"/>
      <c r="X368" s="393"/>
      <c r="Y368" s="393"/>
      <c r="Z368" s="393"/>
    </row>
    <row r="369">
      <c r="A369" s="393"/>
      <c r="B369" s="393"/>
      <c r="C369" s="393"/>
      <c r="D369" s="393"/>
      <c r="E369" s="393"/>
      <c r="F369" s="393"/>
      <c r="G369" s="393"/>
      <c r="H369" s="393"/>
      <c r="I369" s="393"/>
      <c r="J369" s="393"/>
      <c r="K369" s="393"/>
      <c r="L369" s="393"/>
      <c r="M369" s="393"/>
      <c r="N369" s="393"/>
      <c r="O369" s="393"/>
      <c r="P369" s="393"/>
      <c r="Q369" s="393"/>
      <c r="R369" s="393"/>
      <c r="S369" s="393"/>
      <c r="T369" s="393"/>
      <c r="U369" s="393"/>
      <c r="V369" s="393"/>
      <c r="W369" s="393"/>
      <c r="X369" s="393"/>
      <c r="Y369" s="393"/>
      <c r="Z369" s="393"/>
    </row>
    <row r="370">
      <c r="A370" s="393"/>
      <c r="B370" s="393"/>
      <c r="C370" s="393"/>
      <c r="D370" s="393"/>
      <c r="E370" s="393"/>
      <c r="F370" s="393"/>
      <c r="G370" s="393"/>
      <c r="H370" s="393"/>
      <c r="I370" s="393"/>
      <c r="J370" s="393"/>
      <c r="K370" s="393"/>
      <c r="L370" s="393"/>
      <c r="M370" s="393"/>
      <c r="N370" s="393"/>
      <c r="O370" s="393"/>
      <c r="P370" s="393"/>
      <c r="Q370" s="393"/>
      <c r="R370" s="393"/>
      <c r="S370" s="393"/>
      <c r="T370" s="393"/>
      <c r="U370" s="393"/>
      <c r="V370" s="393"/>
      <c r="W370" s="393"/>
      <c r="X370" s="393"/>
      <c r="Y370" s="393"/>
      <c r="Z370" s="393"/>
    </row>
    <row r="371">
      <c r="A371" s="393"/>
      <c r="B371" s="393"/>
      <c r="C371" s="393"/>
      <c r="D371" s="393"/>
      <c r="E371" s="393"/>
      <c r="F371" s="393"/>
      <c r="G371" s="393"/>
      <c r="H371" s="393"/>
      <c r="I371" s="393"/>
      <c r="J371" s="393"/>
      <c r="K371" s="393"/>
      <c r="L371" s="393"/>
      <c r="M371" s="393"/>
      <c r="N371" s="393"/>
      <c r="O371" s="393"/>
      <c r="P371" s="393"/>
      <c r="Q371" s="393"/>
      <c r="R371" s="393"/>
      <c r="S371" s="393"/>
      <c r="T371" s="393"/>
      <c r="U371" s="393"/>
      <c r="V371" s="393"/>
      <c r="W371" s="393"/>
      <c r="X371" s="393"/>
      <c r="Y371" s="393"/>
      <c r="Z371" s="393"/>
    </row>
    <row r="372">
      <c r="A372" s="393"/>
      <c r="B372" s="393"/>
      <c r="C372" s="393"/>
      <c r="D372" s="393"/>
      <c r="E372" s="393"/>
      <c r="F372" s="393"/>
      <c r="G372" s="393"/>
      <c r="H372" s="393"/>
      <c r="I372" s="393"/>
      <c r="J372" s="393"/>
      <c r="K372" s="393"/>
      <c r="L372" s="393"/>
      <c r="M372" s="393"/>
      <c r="N372" s="393"/>
      <c r="O372" s="393"/>
      <c r="P372" s="393"/>
      <c r="Q372" s="393"/>
      <c r="R372" s="393"/>
      <c r="S372" s="393"/>
      <c r="T372" s="393"/>
      <c r="U372" s="393"/>
      <c r="V372" s="393"/>
      <c r="W372" s="393"/>
      <c r="X372" s="393"/>
      <c r="Y372" s="393"/>
      <c r="Z372" s="393"/>
    </row>
    <row r="373">
      <c r="A373" s="393"/>
      <c r="B373" s="393"/>
      <c r="C373" s="393"/>
      <c r="D373" s="393"/>
      <c r="E373" s="393"/>
      <c r="F373" s="393"/>
      <c r="G373" s="393"/>
      <c r="H373" s="393"/>
      <c r="I373" s="393"/>
      <c r="J373" s="393"/>
      <c r="K373" s="393"/>
      <c r="L373" s="393"/>
      <c r="M373" s="393"/>
      <c r="N373" s="393"/>
      <c r="O373" s="393"/>
      <c r="P373" s="393"/>
      <c r="Q373" s="393"/>
      <c r="R373" s="393"/>
      <c r="S373" s="393"/>
      <c r="T373" s="393"/>
      <c r="U373" s="393"/>
      <c r="V373" s="393"/>
      <c r="W373" s="393"/>
      <c r="X373" s="393"/>
      <c r="Y373" s="393"/>
      <c r="Z373" s="393"/>
    </row>
    <row r="374">
      <c r="A374" s="393"/>
      <c r="B374" s="393"/>
      <c r="C374" s="393"/>
      <c r="D374" s="393"/>
      <c r="E374" s="393"/>
      <c r="F374" s="393"/>
      <c r="G374" s="393"/>
      <c r="H374" s="393"/>
      <c r="I374" s="393"/>
      <c r="J374" s="393"/>
      <c r="K374" s="393"/>
      <c r="L374" s="393"/>
      <c r="M374" s="393"/>
      <c r="N374" s="393"/>
      <c r="O374" s="393"/>
      <c r="P374" s="393"/>
      <c r="Q374" s="393"/>
      <c r="R374" s="393"/>
      <c r="S374" s="393"/>
      <c r="T374" s="393"/>
      <c r="U374" s="393"/>
      <c r="V374" s="393"/>
      <c r="W374" s="393"/>
      <c r="X374" s="393"/>
      <c r="Y374" s="393"/>
      <c r="Z374" s="393"/>
    </row>
    <row r="375">
      <c r="A375" s="393"/>
      <c r="B375" s="393"/>
      <c r="C375" s="393"/>
      <c r="D375" s="393"/>
      <c r="E375" s="393"/>
      <c r="F375" s="393"/>
      <c r="G375" s="393"/>
      <c r="H375" s="393"/>
      <c r="I375" s="393"/>
      <c r="J375" s="393"/>
      <c r="K375" s="393"/>
      <c r="L375" s="393"/>
      <c r="M375" s="393"/>
      <c r="N375" s="393"/>
      <c r="O375" s="393"/>
      <c r="P375" s="393"/>
      <c r="Q375" s="393"/>
      <c r="R375" s="393"/>
      <c r="S375" s="393"/>
      <c r="T375" s="393"/>
      <c r="U375" s="393"/>
      <c r="V375" s="393"/>
      <c r="W375" s="393"/>
      <c r="X375" s="393"/>
      <c r="Y375" s="393"/>
      <c r="Z375" s="393"/>
    </row>
    <row r="376">
      <c r="A376" s="393"/>
      <c r="B376" s="393"/>
      <c r="C376" s="393"/>
      <c r="D376" s="393"/>
      <c r="E376" s="393"/>
      <c r="F376" s="393"/>
      <c r="G376" s="393"/>
      <c r="H376" s="393"/>
      <c r="I376" s="393"/>
      <c r="J376" s="393"/>
      <c r="K376" s="393"/>
      <c r="L376" s="393"/>
      <c r="M376" s="393"/>
      <c r="N376" s="393"/>
      <c r="O376" s="393"/>
      <c r="P376" s="393"/>
      <c r="Q376" s="393"/>
      <c r="R376" s="393"/>
      <c r="S376" s="393"/>
      <c r="T376" s="393"/>
      <c r="U376" s="393"/>
      <c r="V376" s="393"/>
      <c r="W376" s="393"/>
      <c r="X376" s="393"/>
      <c r="Y376" s="393"/>
      <c r="Z376" s="393"/>
    </row>
    <row r="377">
      <c r="A377" s="393"/>
      <c r="B377" s="393"/>
      <c r="C377" s="393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</row>
    <row r="378">
      <c r="A378" s="393"/>
      <c r="B378" s="393"/>
      <c r="C378" s="393"/>
      <c r="D378" s="393"/>
      <c r="E378" s="393"/>
      <c r="F378" s="393"/>
      <c r="G378" s="393"/>
      <c r="H378" s="393"/>
      <c r="I378" s="393"/>
      <c r="J378" s="393"/>
      <c r="K378" s="393"/>
      <c r="L378" s="393"/>
      <c r="M378" s="393"/>
      <c r="N378" s="393"/>
      <c r="O378" s="393"/>
      <c r="P378" s="393"/>
      <c r="Q378" s="393"/>
      <c r="R378" s="393"/>
      <c r="S378" s="393"/>
      <c r="T378" s="393"/>
      <c r="U378" s="393"/>
      <c r="V378" s="393"/>
      <c r="W378" s="393"/>
      <c r="X378" s="393"/>
      <c r="Y378" s="393"/>
      <c r="Z378" s="393"/>
    </row>
    <row r="379">
      <c r="A379" s="393"/>
      <c r="B379" s="393"/>
      <c r="C379" s="393"/>
      <c r="D379" s="393"/>
      <c r="E379" s="393"/>
      <c r="F379" s="393"/>
      <c r="G379" s="393"/>
      <c r="H379" s="393"/>
      <c r="I379" s="393"/>
      <c r="J379" s="393"/>
      <c r="K379" s="393"/>
      <c r="L379" s="393"/>
      <c r="M379" s="393"/>
      <c r="N379" s="393"/>
      <c r="O379" s="393"/>
      <c r="P379" s="393"/>
      <c r="Q379" s="393"/>
      <c r="R379" s="393"/>
      <c r="S379" s="393"/>
      <c r="T379" s="393"/>
      <c r="U379" s="393"/>
      <c r="V379" s="393"/>
      <c r="W379" s="393"/>
      <c r="X379" s="393"/>
      <c r="Y379" s="393"/>
      <c r="Z379" s="393"/>
    </row>
    <row r="380">
      <c r="A380" s="393"/>
      <c r="B380" s="393"/>
      <c r="C380" s="393"/>
      <c r="D380" s="393"/>
      <c r="E380" s="393"/>
      <c r="F380" s="393"/>
      <c r="G380" s="393"/>
      <c r="H380" s="393"/>
      <c r="I380" s="393"/>
      <c r="J380" s="393"/>
      <c r="K380" s="393"/>
      <c r="L380" s="393"/>
      <c r="M380" s="393"/>
      <c r="N380" s="393"/>
      <c r="O380" s="393"/>
      <c r="P380" s="393"/>
      <c r="Q380" s="393"/>
      <c r="R380" s="393"/>
      <c r="S380" s="393"/>
      <c r="T380" s="393"/>
      <c r="U380" s="393"/>
      <c r="V380" s="393"/>
      <c r="W380" s="393"/>
      <c r="X380" s="393"/>
      <c r="Y380" s="393"/>
      <c r="Z380" s="393"/>
    </row>
    <row r="381">
      <c r="A381" s="393"/>
      <c r="B381" s="393"/>
      <c r="C381" s="393"/>
      <c r="D381" s="393"/>
      <c r="E381" s="393"/>
      <c r="F381" s="393"/>
      <c r="G381" s="393"/>
      <c r="H381" s="393"/>
      <c r="I381" s="393"/>
      <c r="J381" s="393"/>
      <c r="K381" s="393"/>
      <c r="L381" s="393"/>
      <c r="M381" s="393"/>
      <c r="N381" s="393"/>
      <c r="O381" s="393"/>
      <c r="P381" s="393"/>
      <c r="Q381" s="393"/>
      <c r="R381" s="393"/>
      <c r="S381" s="393"/>
      <c r="T381" s="393"/>
      <c r="U381" s="393"/>
      <c r="V381" s="393"/>
      <c r="W381" s="393"/>
      <c r="X381" s="393"/>
      <c r="Y381" s="393"/>
      <c r="Z381" s="393"/>
    </row>
    <row r="382">
      <c r="A382" s="393"/>
      <c r="B382" s="393"/>
      <c r="C382" s="393"/>
      <c r="D382" s="393"/>
      <c r="E382" s="393"/>
      <c r="F382" s="393"/>
      <c r="G382" s="393"/>
      <c r="H382" s="393"/>
      <c r="I382" s="393"/>
      <c r="J382" s="393"/>
      <c r="K382" s="393"/>
      <c r="L382" s="393"/>
      <c r="M382" s="393"/>
      <c r="N382" s="393"/>
      <c r="O382" s="393"/>
      <c r="P382" s="393"/>
      <c r="Q382" s="393"/>
      <c r="R382" s="393"/>
      <c r="S382" s="393"/>
      <c r="T382" s="393"/>
      <c r="U382" s="393"/>
      <c r="V382" s="393"/>
      <c r="W382" s="393"/>
      <c r="X382" s="393"/>
      <c r="Y382" s="393"/>
      <c r="Z382" s="393"/>
    </row>
    <row r="383">
      <c r="A383" s="393"/>
      <c r="B383" s="393"/>
      <c r="C383" s="393"/>
      <c r="D383" s="393"/>
      <c r="E383" s="393"/>
      <c r="F383" s="393"/>
      <c r="G383" s="393"/>
      <c r="H383" s="393"/>
      <c r="I383" s="393"/>
      <c r="J383" s="393"/>
      <c r="K383" s="393"/>
      <c r="L383" s="393"/>
      <c r="M383" s="393"/>
      <c r="N383" s="393"/>
      <c r="O383" s="393"/>
      <c r="P383" s="393"/>
      <c r="Q383" s="393"/>
      <c r="R383" s="393"/>
      <c r="S383" s="393"/>
      <c r="T383" s="393"/>
      <c r="U383" s="393"/>
      <c r="V383" s="393"/>
      <c r="W383" s="393"/>
      <c r="X383" s="393"/>
      <c r="Y383" s="393"/>
      <c r="Z383" s="393"/>
    </row>
    <row r="384">
      <c r="A384" s="393"/>
      <c r="B384" s="393"/>
      <c r="C384" s="393"/>
      <c r="D384" s="393"/>
      <c r="E384" s="393"/>
      <c r="F384" s="393"/>
      <c r="G384" s="393"/>
      <c r="H384" s="393"/>
      <c r="I384" s="393"/>
      <c r="J384" s="393"/>
      <c r="K384" s="393"/>
      <c r="L384" s="393"/>
      <c r="M384" s="393"/>
      <c r="N384" s="393"/>
      <c r="O384" s="393"/>
      <c r="P384" s="393"/>
      <c r="Q384" s="393"/>
      <c r="R384" s="393"/>
      <c r="S384" s="393"/>
      <c r="T384" s="393"/>
      <c r="U384" s="393"/>
      <c r="V384" s="393"/>
      <c r="W384" s="393"/>
      <c r="X384" s="393"/>
      <c r="Y384" s="393"/>
      <c r="Z384" s="393"/>
    </row>
    <row r="385">
      <c r="A385" s="393"/>
      <c r="B385" s="393"/>
      <c r="C385" s="393"/>
      <c r="D385" s="393"/>
      <c r="E385" s="393"/>
      <c r="F385" s="393"/>
      <c r="G385" s="393"/>
      <c r="H385" s="393"/>
      <c r="I385" s="393"/>
      <c r="J385" s="393"/>
      <c r="K385" s="393"/>
      <c r="L385" s="393"/>
      <c r="M385" s="393"/>
      <c r="N385" s="393"/>
      <c r="O385" s="393"/>
      <c r="P385" s="393"/>
      <c r="Q385" s="393"/>
      <c r="R385" s="393"/>
      <c r="S385" s="393"/>
      <c r="T385" s="393"/>
      <c r="U385" s="393"/>
      <c r="V385" s="393"/>
      <c r="W385" s="393"/>
      <c r="X385" s="393"/>
      <c r="Y385" s="393"/>
      <c r="Z385" s="393"/>
    </row>
    <row r="386">
      <c r="A386" s="393"/>
      <c r="B386" s="393"/>
      <c r="C386" s="393"/>
      <c r="D386" s="393"/>
      <c r="E386" s="393"/>
      <c r="F386" s="393"/>
      <c r="G386" s="393"/>
      <c r="H386" s="393"/>
      <c r="I386" s="393"/>
      <c r="J386" s="393"/>
      <c r="K386" s="393"/>
      <c r="L386" s="393"/>
      <c r="M386" s="393"/>
      <c r="N386" s="393"/>
      <c r="O386" s="393"/>
      <c r="P386" s="393"/>
      <c r="Q386" s="393"/>
      <c r="R386" s="393"/>
      <c r="S386" s="393"/>
      <c r="T386" s="393"/>
      <c r="U386" s="393"/>
      <c r="V386" s="393"/>
      <c r="W386" s="393"/>
      <c r="X386" s="393"/>
      <c r="Y386" s="393"/>
      <c r="Z386" s="393"/>
    </row>
    <row r="387">
      <c r="A387" s="393"/>
      <c r="B387" s="393"/>
      <c r="C387" s="393"/>
      <c r="D387" s="393"/>
      <c r="E387" s="393"/>
      <c r="F387" s="393"/>
      <c r="G387" s="393"/>
      <c r="H387" s="393"/>
      <c r="I387" s="393"/>
      <c r="J387" s="393"/>
      <c r="K387" s="393"/>
      <c r="L387" s="393"/>
      <c r="M387" s="393"/>
      <c r="N387" s="393"/>
      <c r="O387" s="393"/>
      <c r="P387" s="393"/>
      <c r="Q387" s="393"/>
      <c r="R387" s="393"/>
      <c r="S387" s="393"/>
      <c r="T387" s="393"/>
      <c r="U387" s="393"/>
      <c r="V387" s="393"/>
      <c r="W387" s="393"/>
      <c r="X387" s="393"/>
      <c r="Y387" s="393"/>
      <c r="Z387" s="393"/>
    </row>
    <row r="388">
      <c r="A388" s="393"/>
      <c r="B388" s="393"/>
      <c r="C388" s="393"/>
      <c r="D388" s="393"/>
      <c r="E388" s="393"/>
      <c r="F388" s="393"/>
      <c r="G388" s="393"/>
      <c r="H388" s="393"/>
      <c r="I388" s="393"/>
      <c r="J388" s="393"/>
      <c r="K388" s="393"/>
      <c r="L388" s="393"/>
      <c r="M388" s="393"/>
      <c r="N388" s="393"/>
      <c r="O388" s="393"/>
      <c r="P388" s="393"/>
      <c r="Q388" s="393"/>
      <c r="R388" s="393"/>
      <c r="S388" s="393"/>
      <c r="T388" s="393"/>
      <c r="U388" s="393"/>
      <c r="V388" s="393"/>
      <c r="W388" s="393"/>
      <c r="X388" s="393"/>
      <c r="Y388" s="393"/>
      <c r="Z388" s="393"/>
    </row>
    <row r="389">
      <c r="A389" s="393"/>
      <c r="B389" s="393"/>
      <c r="C389" s="393"/>
      <c r="D389" s="393"/>
      <c r="E389" s="393"/>
      <c r="F389" s="393"/>
      <c r="G389" s="393"/>
      <c r="H389" s="393"/>
      <c r="I389" s="393"/>
      <c r="J389" s="393"/>
      <c r="K389" s="393"/>
      <c r="L389" s="393"/>
      <c r="M389" s="393"/>
      <c r="N389" s="393"/>
      <c r="O389" s="393"/>
      <c r="P389" s="393"/>
      <c r="Q389" s="393"/>
      <c r="R389" s="393"/>
      <c r="S389" s="393"/>
      <c r="T389" s="393"/>
      <c r="U389" s="393"/>
      <c r="V389" s="393"/>
      <c r="W389" s="393"/>
      <c r="X389" s="393"/>
      <c r="Y389" s="393"/>
      <c r="Z389" s="393"/>
    </row>
    <row r="390">
      <c r="A390" s="393"/>
      <c r="B390" s="393"/>
      <c r="C390" s="393"/>
      <c r="D390" s="393"/>
      <c r="E390" s="393"/>
      <c r="F390" s="393"/>
      <c r="G390" s="393"/>
      <c r="H390" s="393"/>
      <c r="I390" s="393"/>
      <c r="J390" s="393"/>
      <c r="K390" s="393"/>
      <c r="L390" s="393"/>
      <c r="M390" s="393"/>
      <c r="N390" s="393"/>
      <c r="O390" s="393"/>
      <c r="P390" s="393"/>
      <c r="Q390" s="393"/>
      <c r="R390" s="393"/>
      <c r="S390" s="393"/>
      <c r="T390" s="393"/>
      <c r="U390" s="393"/>
      <c r="V390" s="393"/>
      <c r="W390" s="393"/>
      <c r="X390" s="393"/>
      <c r="Y390" s="393"/>
      <c r="Z390" s="393"/>
    </row>
    <row r="391">
      <c r="A391" s="393"/>
      <c r="B391" s="393"/>
      <c r="C391" s="393"/>
      <c r="D391" s="393"/>
      <c r="E391" s="393"/>
      <c r="F391" s="393"/>
      <c r="G391" s="393"/>
      <c r="H391" s="393"/>
      <c r="I391" s="393"/>
      <c r="J391" s="393"/>
      <c r="K391" s="393"/>
      <c r="L391" s="393"/>
      <c r="M391" s="393"/>
      <c r="N391" s="393"/>
      <c r="O391" s="393"/>
      <c r="P391" s="393"/>
      <c r="Q391" s="393"/>
      <c r="R391" s="393"/>
      <c r="S391" s="393"/>
      <c r="T391" s="393"/>
      <c r="U391" s="393"/>
      <c r="V391" s="393"/>
      <c r="W391" s="393"/>
      <c r="X391" s="393"/>
      <c r="Y391" s="393"/>
      <c r="Z391" s="393"/>
    </row>
    <row r="392">
      <c r="A392" s="393"/>
      <c r="B392" s="393"/>
      <c r="C392" s="393"/>
      <c r="D392" s="393"/>
      <c r="E392" s="393"/>
      <c r="F392" s="393"/>
      <c r="G392" s="393"/>
      <c r="H392" s="393"/>
      <c r="I392" s="393"/>
      <c r="J392" s="393"/>
      <c r="K392" s="393"/>
      <c r="L392" s="393"/>
      <c r="M392" s="393"/>
      <c r="N392" s="393"/>
      <c r="O392" s="393"/>
      <c r="P392" s="393"/>
      <c r="Q392" s="393"/>
      <c r="R392" s="393"/>
      <c r="S392" s="393"/>
      <c r="T392" s="393"/>
      <c r="U392" s="393"/>
      <c r="V392" s="393"/>
      <c r="W392" s="393"/>
      <c r="X392" s="393"/>
      <c r="Y392" s="393"/>
      <c r="Z392" s="393"/>
    </row>
    <row r="393">
      <c r="A393" s="393"/>
      <c r="B393" s="393"/>
      <c r="C393" s="393"/>
      <c r="D393" s="393"/>
      <c r="E393" s="393"/>
      <c r="F393" s="393"/>
      <c r="G393" s="393"/>
      <c r="H393" s="393"/>
      <c r="I393" s="393"/>
      <c r="J393" s="393"/>
      <c r="K393" s="393"/>
      <c r="L393" s="393"/>
      <c r="M393" s="393"/>
      <c r="N393" s="393"/>
      <c r="O393" s="393"/>
      <c r="P393" s="393"/>
      <c r="Q393" s="393"/>
      <c r="R393" s="393"/>
      <c r="S393" s="393"/>
      <c r="T393" s="393"/>
      <c r="U393" s="393"/>
      <c r="V393" s="393"/>
      <c r="W393" s="393"/>
      <c r="X393" s="393"/>
      <c r="Y393" s="393"/>
      <c r="Z393" s="393"/>
    </row>
    <row r="394">
      <c r="A394" s="393"/>
      <c r="B394" s="393"/>
      <c r="C394" s="393"/>
      <c r="D394" s="393"/>
      <c r="E394" s="393"/>
      <c r="F394" s="393"/>
      <c r="G394" s="393"/>
      <c r="H394" s="393"/>
      <c r="I394" s="393"/>
      <c r="J394" s="393"/>
      <c r="K394" s="393"/>
      <c r="L394" s="393"/>
      <c r="M394" s="393"/>
      <c r="N394" s="393"/>
      <c r="O394" s="393"/>
      <c r="P394" s="393"/>
      <c r="Q394" s="393"/>
      <c r="R394" s="393"/>
      <c r="S394" s="393"/>
      <c r="T394" s="393"/>
      <c r="U394" s="393"/>
      <c r="V394" s="393"/>
      <c r="W394" s="393"/>
      <c r="X394" s="393"/>
      <c r="Y394" s="393"/>
      <c r="Z394" s="393"/>
    </row>
    <row r="395">
      <c r="A395" s="393"/>
      <c r="B395" s="393"/>
      <c r="C395" s="393"/>
      <c r="D395" s="393"/>
      <c r="E395" s="393"/>
      <c r="F395" s="393"/>
      <c r="G395" s="393"/>
      <c r="H395" s="393"/>
      <c r="I395" s="393"/>
      <c r="J395" s="393"/>
      <c r="K395" s="393"/>
      <c r="L395" s="393"/>
      <c r="M395" s="393"/>
      <c r="N395" s="393"/>
      <c r="O395" s="393"/>
      <c r="P395" s="393"/>
      <c r="Q395" s="393"/>
      <c r="R395" s="393"/>
      <c r="S395" s="393"/>
      <c r="T395" s="393"/>
      <c r="U395" s="393"/>
      <c r="V395" s="393"/>
      <c r="W395" s="393"/>
      <c r="X395" s="393"/>
      <c r="Y395" s="393"/>
      <c r="Z395" s="393"/>
    </row>
    <row r="396">
      <c r="A396" s="393"/>
      <c r="B396" s="393"/>
      <c r="C396" s="393"/>
      <c r="D396" s="393"/>
      <c r="E396" s="393"/>
      <c r="F396" s="393"/>
      <c r="G396" s="393"/>
      <c r="H396" s="393"/>
      <c r="I396" s="393"/>
      <c r="J396" s="393"/>
      <c r="K396" s="393"/>
      <c r="L396" s="393"/>
      <c r="M396" s="393"/>
      <c r="N396" s="393"/>
      <c r="O396" s="393"/>
      <c r="P396" s="393"/>
      <c r="Q396" s="393"/>
      <c r="R396" s="393"/>
      <c r="S396" s="393"/>
      <c r="T396" s="393"/>
      <c r="U396" s="393"/>
      <c r="V396" s="393"/>
      <c r="W396" s="393"/>
      <c r="X396" s="393"/>
      <c r="Y396" s="393"/>
      <c r="Z396" s="393"/>
    </row>
    <row r="397">
      <c r="A397" s="393"/>
      <c r="B397" s="393"/>
      <c r="C397" s="393"/>
      <c r="D397" s="393"/>
      <c r="E397" s="393"/>
      <c r="F397" s="393"/>
      <c r="G397" s="393"/>
      <c r="H397" s="393"/>
      <c r="I397" s="393"/>
      <c r="J397" s="393"/>
      <c r="K397" s="393"/>
      <c r="L397" s="393"/>
      <c r="M397" s="393"/>
      <c r="N397" s="393"/>
      <c r="O397" s="393"/>
      <c r="P397" s="393"/>
      <c r="Q397" s="393"/>
      <c r="R397" s="393"/>
      <c r="S397" s="393"/>
      <c r="T397" s="393"/>
      <c r="U397" s="393"/>
      <c r="V397" s="393"/>
      <c r="W397" s="393"/>
      <c r="X397" s="393"/>
      <c r="Y397" s="393"/>
      <c r="Z397" s="393"/>
    </row>
    <row r="398">
      <c r="A398" s="393"/>
      <c r="B398" s="393"/>
      <c r="C398" s="393"/>
      <c r="D398" s="393"/>
      <c r="E398" s="393"/>
      <c r="F398" s="393"/>
      <c r="G398" s="393"/>
      <c r="H398" s="393"/>
      <c r="I398" s="393"/>
      <c r="J398" s="393"/>
      <c r="K398" s="393"/>
      <c r="L398" s="393"/>
      <c r="M398" s="393"/>
      <c r="N398" s="393"/>
      <c r="O398" s="393"/>
      <c r="P398" s="393"/>
      <c r="Q398" s="393"/>
      <c r="R398" s="393"/>
      <c r="S398" s="393"/>
      <c r="T398" s="393"/>
      <c r="U398" s="393"/>
      <c r="V398" s="393"/>
      <c r="W398" s="393"/>
      <c r="X398" s="393"/>
      <c r="Y398" s="393"/>
      <c r="Z398" s="393"/>
    </row>
    <row r="399">
      <c r="A399" s="393"/>
      <c r="B399" s="393"/>
      <c r="C399" s="393"/>
      <c r="D399" s="393"/>
      <c r="E399" s="393"/>
      <c r="F399" s="393"/>
      <c r="G399" s="393"/>
      <c r="H399" s="393"/>
      <c r="I399" s="393"/>
      <c r="J399" s="393"/>
      <c r="K399" s="393"/>
      <c r="L399" s="393"/>
      <c r="M399" s="393"/>
      <c r="N399" s="393"/>
      <c r="O399" s="393"/>
      <c r="P399" s="393"/>
      <c r="Q399" s="393"/>
      <c r="R399" s="393"/>
      <c r="S399" s="393"/>
      <c r="T399" s="393"/>
      <c r="U399" s="393"/>
      <c r="V399" s="393"/>
      <c r="W399" s="393"/>
      <c r="X399" s="393"/>
      <c r="Y399" s="393"/>
      <c r="Z399" s="393"/>
    </row>
    <row r="400">
      <c r="A400" s="393"/>
      <c r="B400" s="393"/>
      <c r="C400" s="393"/>
      <c r="D400" s="393"/>
      <c r="E400" s="393"/>
      <c r="F400" s="393"/>
      <c r="G400" s="393"/>
      <c r="H400" s="393"/>
      <c r="I400" s="393"/>
      <c r="J400" s="393"/>
      <c r="K400" s="393"/>
      <c r="L400" s="393"/>
      <c r="M400" s="393"/>
      <c r="N400" s="393"/>
      <c r="O400" s="393"/>
      <c r="P400" s="393"/>
      <c r="Q400" s="393"/>
      <c r="R400" s="393"/>
      <c r="S400" s="393"/>
      <c r="T400" s="393"/>
      <c r="U400" s="393"/>
      <c r="V400" s="393"/>
      <c r="W400" s="393"/>
      <c r="X400" s="393"/>
      <c r="Y400" s="393"/>
      <c r="Z400" s="393"/>
    </row>
    <row r="401">
      <c r="A401" s="393"/>
      <c r="B401" s="393"/>
      <c r="C401" s="393"/>
      <c r="D401" s="393"/>
      <c r="E401" s="393"/>
      <c r="F401" s="393"/>
      <c r="G401" s="393"/>
      <c r="H401" s="393"/>
      <c r="I401" s="393"/>
      <c r="J401" s="393"/>
      <c r="K401" s="393"/>
      <c r="L401" s="393"/>
      <c r="M401" s="393"/>
      <c r="N401" s="393"/>
      <c r="O401" s="393"/>
      <c r="P401" s="393"/>
      <c r="Q401" s="393"/>
      <c r="R401" s="393"/>
      <c r="S401" s="393"/>
      <c r="T401" s="393"/>
      <c r="U401" s="393"/>
      <c r="V401" s="393"/>
      <c r="W401" s="393"/>
      <c r="X401" s="393"/>
      <c r="Y401" s="393"/>
      <c r="Z401" s="393"/>
    </row>
    <row r="402">
      <c r="A402" s="393"/>
      <c r="B402" s="393"/>
      <c r="C402" s="393"/>
      <c r="D402" s="393"/>
      <c r="E402" s="393"/>
      <c r="F402" s="393"/>
      <c r="G402" s="393"/>
      <c r="H402" s="393"/>
      <c r="I402" s="393"/>
      <c r="J402" s="393"/>
      <c r="K402" s="393"/>
      <c r="L402" s="393"/>
      <c r="M402" s="393"/>
      <c r="N402" s="393"/>
      <c r="O402" s="393"/>
      <c r="P402" s="393"/>
      <c r="Q402" s="393"/>
      <c r="R402" s="393"/>
      <c r="S402" s="393"/>
      <c r="T402" s="393"/>
      <c r="U402" s="393"/>
      <c r="V402" s="393"/>
      <c r="W402" s="393"/>
      <c r="X402" s="393"/>
      <c r="Y402" s="393"/>
      <c r="Z402" s="393"/>
    </row>
    <row r="403">
      <c r="A403" s="393"/>
      <c r="B403" s="393"/>
      <c r="C403" s="393"/>
      <c r="D403" s="393"/>
      <c r="E403" s="393"/>
      <c r="F403" s="393"/>
      <c r="G403" s="393"/>
      <c r="H403" s="393"/>
      <c r="I403" s="393"/>
      <c r="J403" s="393"/>
      <c r="K403" s="393"/>
      <c r="L403" s="393"/>
      <c r="M403" s="393"/>
      <c r="N403" s="393"/>
      <c r="O403" s="393"/>
      <c r="P403" s="393"/>
      <c r="Q403" s="393"/>
      <c r="R403" s="393"/>
      <c r="S403" s="393"/>
      <c r="T403" s="393"/>
      <c r="U403" s="393"/>
      <c r="V403" s="393"/>
      <c r="W403" s="393"/>
      <c r="X403" s="393"/>
      <c r="Y403" s="393"/>
      <c r="Z403" s="393"/>
    </row>
    <row r="404">
      <c r="A404" s="393"/>
      <c r="B404" s="393"/>
      <c r="C404" s="393"/>
      <c r="D404" s="393"/>
      <c r="E404" s="393"/>
      <c r="F404" s="393"/>
      <c r="G404" s="393"/>
      <c r="H404" s="393"/>
      <c r="I404" s="393"/>
      <c r="J404" s="393"/>
      <c r="K404" s="393"/>
      <c r="L404" s="393"/>
      <c r="M404" s="393"/>
      <c r="N404" s="393"/>
      <c r="O404" s="393"/>
      <c r="P404" s="393"/>
      <c r="Q404" s="393"/>
      <c r="R404" s="393"/>
      <c r="S404" s="393"/>
      <c r="T404" s="393"/>
      <c r="U404" s="393"/>
      <c r="V404" s="393"/>
      <c r="W404" s="393"/>
      <c r="X404" s="393"/>
      <c r="Y404" s="393"/>
      <c r="Z404" s="393"/>
    </row>
    <row r="405">
      <c r="A405" s="393"/>
      <c r="B405" s="393"/>
      <c r="C405" s="393"/>
      <c r="D405" s="393"/>
      <c r="E405" s="393"/>
      <c r="F405" s="393"/>
      <c r="G405" s="393"/>
      <c r="H405" s="393"/>
      <c r="I405" s="393"/>
      <c r="J405" s="393"/>
      <c r="K405" s="393"/>
      <c r="L405" s="393"/>
      <c r="M405" s="393"/>
      <c r="N405" s="393"/>
      <c r="O405" s="393"/>
      <c r="P405" s="393"/>
      <c r="Q405" s="393"/>
      <c r="R405" s="393"/>
      <c r="S405" s="393"/>
      <c r="T405" s="393"/>
      <c r="U405" s="393"/>
      <c r="V405" s="393"/>
      <c r="W405" s="393"/>
      <c r="X405" s="393"/>
      <c r="Y405" s="393"/>
      <c r="Z405" s="393"/>
    </row>
    <row r="406">
      <c r="A406" s="393"/>
      <c r="B406" s="393"/>
      <c r="C406" s="393"/>
      <c r="D406" s="393"/>
      <c r="E406" s="393"/>
      <c r="F406" s="393"/>
      <c r="G406" s="393"/>
      <c r="H406" s="393"/>
      <c r="I406" s="393"/>
      <c r="J406" s="393"/>
      <c r="K406" s="393"/>
      <c r="L406" s="393"/>
      <c r="M406" s="393"/>
      <c r="N406" s="393"/>
      <c r="O406" s="393"/>
      <c r="P406" s="393"/>
      <c r="Q406" s="393"/>
      <c r="R406" s="393"/>
      <c r="S406" s="393"/>
      <c r="T406" s="393"/>
      <c r="U406" s="393"/>
      <c r="V406" s="393"/>
      <c r="W406" s="393"/>
      <c r="X406" s="393"/>
      <c r="Y406" s="393"/>
      <c r="Z406" s="393"/>
    </row>
    <row r="407">
      <c r="A407" s="393"/>
      <c r="B407" s="393"/>
      <c r="C407" s="393"/>
      <c r="D407" s="393"/>
      <c r="E407" s="393"/>
      <c r="F407" s="393"/>
      <c r="G407" s="393"/>
      <c r="H407" s="393"/>
      <c r="I407" s="393"/>
      <c r="J407" s="393"/>
      <c r="K407" s="393"/>
      <c r="L407" s="393"/>
      <c r="M407" s="393"/>
      <c r="N407" s="393"/>
      <c r="O407" s="393"/>
      <c r="P407" s="393"/>
      <c r="Q407" s="393"/>
      <c r="R407" s="393"/>
      <c r="S407" s="393"/>
      <c r="T407" s="393"/>
      <c r="U407" s="393"/>
      <c r="V407" s="393"/>
      <c r="W407" s="393"/>
      <c r="X407" s="393"/>
      <c r="Y407" s="393"/>
      <c r="Z407" s="393"/>
    </row>
    <row r="408">
      <c r="A408" s="393"/>
      <c r="B408" s="393"/>
      <c r="C408" s="393"/>
      <c r="D408" s="393"/>
      <c r="E408" s="393"/>
      <c r="F408" s="393"/>
      <c r="G408" s="393"/>
      <c r="H408" s="393"/>
      <c r="I408" s="393"/>
      <c r="J408" s="393"/>
      <c r="K408" s="393"/>
      <c r="L408" s="393"/>
      <c r="M408" s="393"/>
      <c r="N408" s="393"/>
      <c r="O408" s="393"/>
      <c r="P408" s="393"/>
      <c r="Q408" s="393"/>
      <c r="R408" s="393"/>
      <c r="S408" s="393"/>
      <c r="T408" s="393"/>
      <c r="U408" s="393"/>
      <c r="V408" s="393"/>
      <c r="W408" s="393"/>
      <c r="X408" s="393"/>
      <c r="Y408" s="393"/>
      <c r="Z408" s="393"/>
    </row>
    <row r="409">
      <c r="A409" s="393"/>
      <c r="B409" s="393"/>
      <c r="C409" s="393"/>
      <c r="D409" s="393"/>
      <c r="E409" s="393"/>
      <c r="F409" s="393"/>
      <c r="G409" s="393"/>
      <c r="H409" s="393"/>
      <c r="I409" s="393"/>
      <c r="J409" s="393"/>
      <c r="K409" s="393"/>
      <c r="L409" s="393"/>
      <c r="M409" s="393"/>
      <c r="N409" s="393"/>
      <c r="O409" s="393"/>
      <c r="P409" s="393"/>
      <c r="Q409" s="393"/>
      <c r="R409" s="393"/>
      <c r="S409" s="393"/>
      <c r="T409" s="393"/>
      <c r="U409" s="393"/>
      <c r="V409" s="393"/>
      <c r="W409" s="393"/>
      <c r="X409" s="393"/>
      <c r="Y409" s="393"/>
      <c r="Z409" s="393"/>
    </row>
    <row r="410">
      <c r="A410" s="393"/>
      <c r="B410" s="393"/>
      <c r="C410" s="393"/>
      <c r="D410" s="393"/>
      <c r="E410" s="393"/>
      <c r="F410" s="393"/>
      <c r="G410" s="393"/>
      <c r="H410" s="393"/>
      <c r="I410" s="393"/>
      <c r="J410" s="393"/>
      <c r="K410" s="393"/>
      <c r="L410" s="393"/>
      <c r="M410" s="393"/>
      <c r="N410" s="393"/>
      <c r="O410" s="393"/>
      <c r="P410" s="393"/>
      <c r="Q410" s="393"/>
      <c r="R410" s="393"/>
      <c r="S410" s="393"/>
      <c r="T410" s="393"/>
      <c r="U410" s="393"/>
      <c r="V410" s="393"/>
      <c r="W410" s="393"/>
      <c r="X410" s="393"/>
      <c r="Y410" s="393"/>
      <c r="Z410" s="393"/>
    </row>
    <row r="411">
      <c r="A411" s="393"/>
      <c r="B411" s="393"/>
      <c r="C411" s="393"/>
      <c r="D411" s="393"/>
      <c r="E411" s="393"/>
      <c r="F411" s="393"/>
      <c r="G411" s="393"/>
      <c r="H411" s="393"/>
      <c r="I411" s="393"/>
      <c r="J411" s="393"/>
      <c r="K411" s="393"/>
      <c r="L411" s="393"/>
      <c r="M411" s="393"/>
      <c r="N411" s="393"/>
      <c r="O411" s="393"/>
      <c r="P411" s="393"/>
      <c r="Q411" s="393"/>
      <c r="R411" s="393"/>
      <c r="S411" s="393"/>
      <c r="T411" s="393"/>
      <c r="U411" s="393"/>
      <c r="V411" s="393"/>
      <c r="W411" s="393"/>
      <c r="X411" s="393"/>
      <c r="Y411" s="393"/>
      <c r="Z411" s="393"/>
    </row>
    <row r="412">
      <c r="A412" s="393"/>
      <c r="B412" s="393"/>
      <c r="C412" s="393"/>
      <c r="D412" s="393"/>
      <c r="E412" s="393"/>
      <c r="F412" s="393"/>
      <c r="G412" s="393"/>
      <c r="H412" s="393"/>
      <c r="I412" s="393"/>
      <c r="J412" s="393"/>
      <c r="K412" s="393"/>
      <c r="L412" s="393"/>
      <c r="M412" s="393"/>
      <c r="N412" s="393"/>
      <c r="O412" s="393"/>
      <c r="P412" s="393"/>
      <c r="Q412" s="393"/>
      <c r="R412" s="393"/>
      <c r="S412" s="393"/>
      <c r="T412" s="393"/>
      <c r="U412" s="393"/>
      <c r="V412" s="393"/>
      <c r="W412" s="393"/>
      <c r="X412" s="393"/>
      <c r="Y412" s="393"/>
      <c r="Z412" s="393"/>
    </row>
    <row r="413">
      <c r="A413" s="393"/>
      <c r="B413" s="393"/>
      <c r="C413" s="393"/>
      <c r="D413" s="393"/>
      <c r="E413" s="393"/>
      <c r="F413" s="393"/>
      <c r="G413" s="393"/>
      <c r="H413" s="393"/>
      <c r="I413" s="393"/>
      <c r="J413" s="393"/>
      <c r="K413" s="393"/>
      <c r="L413" s="393"/>
      <c r="M413" s="393"/>
      <c r="N413" s="393"/>
      <c r="O413" s="393"/>
      <c r="P413" s="393"/>
      <c r="Q413" s="393"/>
      <c r="R413" s="393"/>
      <c r="S413" s="393"/>
      <c r="T413" s="393"/>
      <c r="U413" s="393"/>
      <c r="V413" s="393"/>
      <c r="W413" s="393"/>
      <c r="X413" s="393"/>
      <c r="Y413" s="393"/>
      <c r="Z413" s="393"/>
    </row>
    <row r="414">
      <c r="A414" s="393"/>
      <c r="B414" s="393"/>
      <c r="C414" s="393"/>
      <c r="D414" s="393"/>
      <c r="E414" s="393"/>
      <c r="F414" s="393"/>
      <c r="G414" s="393"/>
      <c r="H414" s="393"/>
      <c r="I414" s="393"/>
      <c r="J414" s="393"/>
      <c r="K414" s="393"/>
      <c r="L414" s="393"/>
      <c r="M414" s="393"/>
      <c r="N414" s="393"/>
      <c r="O414" s="393"/>
      <c r="P414" s="393"/>
      <c r="Q414" s="393"/>
      <c r="R414" s="393"/>
      <c r="S414" s="393"/>
      <c r="T414" s="393"/>
      <c r="U414" s="393"/>
      <c r="V414" s="393"/>
      <c r="W414" s="393"/>
      <c r="X414" s="393"/>
      <c r="Y414" s="393"/>
      <c r="Z414" s="393"/>
    </row>
    <row r="415">
      <c r="A415" s="393"/>
      <c r="B415" s="393"/>
      <c r="C415" s="393"/>
      <c r="D415" s="393"/>
      <c r="E415" s="393"/>
      <c r="F415" s="393"/>
      <c r="G415" s="393"/>
      <c r="H415" s="393"/>
      <c r="I415" s="393"/>
      <c r="J415" s="393"/>
      <c r="K415" s="393"/>
      <c r="L415" s="393"/>
      <c r="M415" s="393"/>
      <c r="N415" s="393"/>
      <c r="O415" s="393"/>
      <c r="P415" s="393"/>
      <c r="Q415" s="393"/>
      <c r="R415" s="393"/>
      <c r="S415" s="393"/>
      <c r="T415" s="393"/>
      <c r="U415" s="393"/>
      <c r="V415" s="393"/>
      <c r="W415" s="393"/>
      <c r="X415" s="393"/>
      <c r="Y415" s="393"/>
      <c r="Z415" s="393"/>
    </row>
    <row r="416">
      <c r="A416" s="393"/>
      <c r="B416" s="393"/>
      <c r="C416" s="393"/>
      <c r="D416" s="393"/>
      <c r="E416" s="393"/>
      <c r="F416" s="393"/>
      <c r="G416" s="393"/>
      <c r="H416" s="393"/>
      <c r="I416" s="393"/>
      <c r="J416" s="393"/>
      <c r="K416" s="393"/>
      <c r="L416" s="393"/>
      <c r="M416" s="393"/>
      <c r="N416" s="393"/>
      <c r="O416" s="393"/>
      <c r="P416" s="393"/>
      <c r="Q416" s="393"/>
      <c r="R416" s="393"/>
      <c r="S416" s="393"/>
      <c r="T416" s="393"/>
      <c r="U416" s="393"/>
      <c r="V416" s="393"/>
      <c r="W416" s="393"/>
      <c r="X416" s="393"/>
      <c r="Y416" s="393"/>
      <c r="Z416" s="393"/>
    </row>
    <row r="417">
      <c r="A417" s="393"/>
      <c r="B417" s="393"/>
      <c r="C417" s="393"/>
      <c r="D417" s="393"/>
      <c r="E417" s="393"/>
      <c r="F417" s="393"/>
      <c r="G417" s="393"/>
      <c r="H417" s="393"/>
      <c r="I417" s="393"/>
      <c r="J417" s="393"/>
      <c r="K417" s="393"/>
      <c r="L417" s="393"/>
      <c r="M417" s="393"/>
      <c r="N417" s="393"/>
      <c r="O417" s="393"/>
      <c r="P417" s="393"/>
      <c r="Q417" s="393"/>
      <c r="R417" s="393"/>
      <c r="S417" s="393"/>
      <c r="T417" s="393"/>
      <c r="U417" s="393"/>
      <c r="V417" s="393"/>
      <c r="W417" s="393"/>
      <c r="X417" s="393"/>
      <c r="Y417" s="393"/>
      <c r="Z417" s="393"/>
    </row>
    <row r="418">
      <c r="A418" s="393"/>
      <c r="B418" s="393"/>
      <c r="C418" s="393"/>
      <c r="D418" s="393"/>
      <c r="E418" s="393"/>
      <c r="F418" s="393"/>
      <c r="G418" s="393"/>
      <c r="H418" s="393"/>
      <c r="I418" s="393"/>
      <c r="J418" s="393"/>
      <c r="K418" s="393"/>
      <c r="L418" s="393"/>
      <c r="M418" s="393"/>
      <c r="N418" s="393"/>
      <c r="O418" s="393"/>
      <c r="P418" s="393"/>
      <c r="Q418" s="393"/>
      <c r="R418" s="393"/>
      <c r="S418" s="393"/>
      <c r="T418" s="393"/>
      <c r="U418" s="393"/>
      <c r="V418" s="393"/>
      <c r="W418" s="393"/>
      <c r="X418" s="393"/>
      <c r="Y418" s="393"/>
      <c r="Z418" s="393"/>
    </row>
    <row r="419">
      <c r="A419" s="393"/>
      <c r="B419" s="393"/>
      <c r="C419" s="393"/>
      <c r="D419" s="393"/>
      <c r="E419" s="393"/>
      <c r="F419" s="393"/>
      <c r="G419" s="393"/>
      <c r="H419" s="393"/>
      <c r="I419" s="393"/>
      <c r="J419" s="393"/>
      <c r="K419" s="393"/>
      <c r="L419" s="393"/>
      <c r="M419" s="393"/>
      <c r="N419" s="393"/>
      <c r="O419" s="393"/>
      <c r="P419" s="393"/>
      <c r="Q419" s="393"/>
      <c r="R419" s="393"/>
      <c r="S419" s="393"/>
      <c r="T419" s="393"/>
      <c r="U419" s="393"/>
      <c r="V419" s="393"/>
      <c r="W419" s="393"/>
      <c r="X419" s="393"/>
      <c r="Y419" s="393"/>
      <c r="Z419" s="393"/>
    </row>
    <row r="420">
      <c r="A420" s="393"/>
      <c r="B420" s="393"/>
      <c r="C420" s="393"/>
      <c r="D420" s="393"/>
      <c r="E420" s="393"/>
      <c r="F420" s="393"/>
      <c r="G420" s="393"/>
      <c r="H420" s="393"/>
      <c r="I420" s="393"/>
      <c r="J420" s="393"/>
      <c r="K420" s="393"/>
      <c r="L420" s="393"/>
      <c r="M420" s="393"/>
      <c r="N420" s="393"/>
      <c r="O420" s="393"/>
      <c r="P420" s="393"/>
      <c r="Q420" s="393"/>
      <c r="R420" s="393"/>
      <c r="S420" s="393"/>
      <c r="T420" s="393"/>
      <c r="U420" s="393"/>
      <c r="V420" s="393"/>
      <c r="W420" s="393"/>
      <c r="X420" s="393"/>
      <c r="Y420" s="393"/>
      <c r="Z420" s="393"/>
    </row>
    <row r="421">
      <c r="A421" s="393"/>
      <c r="B421" s="393"/>
      <c r="C421" s="393"/>
      <c r="D421" s="393"/>
      <c r="E421" s="393"/>
      <c r="F421" s="393"/>
      <c r="G421" s="393"/>
      <c r="H421" s="393"/>
      <c r="I421" s="393"/>
      <c r="J421" s="393"/>
      <c r="K421" s="393"/>
      <c r="L421" s="393"/>
      <c r="M421" s="393"/>
      <c r="N421" s="393"/>
      <c r="O421" s="393"/>
      <c r="P421" s="393"/>
      <c r="Q421" s="393"/>
      <c r="R421" s="393"/>
      <c r="S421" s="393"/>
      <c r="T421" s="393"/>
      <c r="U421" s="393"/>
      <c r="V421" s="393"/>
      <c r="W421" s="393"/>
      <c r="X421" s="393"/>
      <c r="Y421" s="393"/>
      <c r="Z421" s="393"/>
    </row>
    <row r="422">
      <c r="A422" s="393"/>
      <c r="B422" s="393"/>
      <c r="C422" s="393"/>
      <c r="D422" s="393"/>
      <c r="E422" s="393"/>
      <c r="F422" s="393"/>
      <c r="G422" s="393"/>
      <c r="H422" s="393"/>
      <c r="I422" s="393"/>
      <c r="J422" s="393"/>
      <c r="K422" s="393"/>
      <c r="L422" s="393"/>
      <c r="M422" s="393"/>
      <c r="N422" s="393"/>
      <c r="O422" s="393"/>
      <c r="P422" s="393"/>
      <c r="Q422" s="393"/>
      <c r="R422" s="393"/>
      <c r="S422" s="393"/>
      <c r="T422" s="393"/>
      <c r="U422" s="393"/>
      <c r="V422" s="393"/>
      <c r="W422" s="393"/>
      <c r="X422" s="393"/>
      <c r="Y422" s="393"/>
      <c r="Z422" s="393"/>
    </row>
    <row r="423">
      <c r="A423" s="393"/>
      <c r="B423" s="393"/>
      <c r="C423" s="393"/>
      <c r="D423" s="393"/>
      <c r="E423" s="393"/>
      <c r="F423" s="393"/>
      <c r="G423" s="393"/>
      <c r="H423" s="393"/>
      <c r="I423" s="393"/>
      <c r="J423" s="393"/>
      <c r="K423" s="393"/>
      <c r="L423" s="393"/>
      <c r="M423" s="393"/>
      <c r="N423" s="393"/>
      <c r="O423" s="393"/>
      <c r="P423" s="393"/>
      <c r="Q423" s="393"/>
      <c r="R423" s="393"/>
      <c r="S423" s="393"/>
      <c r="T423" s="393"/>
      <c r="U423" s="393"/>
      <c r="V423" s="393"/>
      <c r="W423" s="393"/>
      <c r="X423" s="393"/>
      <c r="Y423" s="393"/>
      <c r="Z423" s="393"/>
    </row>
    <row r="424">
      <c r="A424" s="393"/>
      <c r="B424" s="393"/>
      <c r="C424" s="393"/>
      <c r="D424" s="393"/>
      <c r="E424" s="393"/>
      <c r="F424" s="393"/>
      <c r="G424" s="393"/>
      <c r="H424" s="393"/>
      <c r="I424" s="393"/>
      <c r="J424" s="393"/>
      <c r="K424" s="393"/>
      <c r="L424" s="393"/>
      <c r="M424" s="393"/>
      <c r="N424" s="393"/>
      <c r="O424" s="393"/>
      <c r="P424" s="393"/>
      <c r="Q424" s="393"/>
      <c r="R424" s="393"/>
      <c r="S424" s="393"/>
      <c r="T424" s="393"/>
      <c r="U424" s="393"/>
      <c r="V424" s="393"/>
      <c r="W424" s="393"/>
      <c r="X424" s="393"/>
      <c r="Y424" s="393"/>
      <c r="Z424" s="393"/>
    </row>
    <row r="425">
      <c r="A425" s="393"/>
      <c r="B425" s="393"/>
      <c r="C425" s="393"/>
      <c r="D425" s="393"/>
      <c r="E425" s="393"/>
      <c r="F425" s="393"/>
      <c r="G425" s="393"/>
      <c r="H425" s="393"/>
      <c r="I425" s="393"/>
      <c r="J425" s="393"/>
      <c r="K425" s="393"/>
      <c r="L425" s="393"/>
      <c r="M425" s="393"/>
      <c r="N425" s="393"/>
      <c r="O425" s="393"/>
      <c r="P425" s="393"/>
      <c r="Q425" s="393"/>
      <c r="R425" s="393"/>
      <c r="S425" s="393"/>
      <c r="T425" s="393"/>
      <c r="U425" s="393"/>
      <c r="V425" s="393"/>
      <c r="W425" s="393"/>
      <c r="X425" s="393"/>
      <c r="Y425" s="393"/>
      <c r="Z425" s="393"/>
    </row>
    <row r="426">
      <c r="A426" s="393"/>
      <c r="B426" s="393"/>
      <c r="C426" s="393"/>
      <c r="D426" s="393"/>
      <c r="E426" s="393"/>
      <c r="F426" s="393"/>
      <c r="G426" s="393"/>
      <c r="H426" s="393"/>
      <c r="I426" s="393"/>
      <c r="J426" s="393"/>
      <c r="K426" s="393"/>
      <c r="L426" s="393"/>
      <c r="M426" s="393"/>
      <c r="N426" s="393"/>
      <c r="O426" s="393"/>
      <c r="P426" s="393"/>
      <c r="Q426" s="393"/>
      <c r="R426" s="393"/>
      <c r="S426" s="393"/>
      <c r="T426" s="393"/>
      <c r="U426" s="393"/>
      <c r="V426" s="393"/>
      <c r="W426" s="393"/>
      <c r="X426" s="393"/>
      <c r="Y426" s="393"/>
      <c r="Z426" s="393"/>
    </row>
    <row r="427">
      <c r="A427" s="393"/>
      <c r="B427" s="393"/>
      <c r="C427" s="393"/>
      <c r="D427" s="393"/>
      <c r="E427" s="393"/>
      <c r="F427" s="393"/>
      <c r="G427" s="393"/>
      <c r="H427" s="393"/>
      <c r="I427" s="393"/>
      <c r="J427" s="393"/>
      <c r="K427" s="393"/>
      <c r="L427" s="393"/>
      <c r="M427" s="393"/>
      <c r="N427" s="393"/>
      <c r="O427" s="393"/>
      <c r="P427" s="393"/>
      <c r="Q427" s="393"/>
      <c r="R427" s="393"/>
      <c r="S427" s="393"/>
      <c r="T427" s="393"/>
      <c r="U427" s="393"/>
      <c r="V427" s="393"/>
      <c r="W427" s="393"/>
      <c r="X427" s="393"/>
      <c r="Y427" s="393"/>
      <c r="Z427" s="393"/>
    </row>
    <row r="428">
      <c r="A428" s="393"/>
      <c r="B428" s="393"/>
      <c r="C428" s="393"/>
      <c r="D428" s="393"/>
      <c r="E428" s="393"/>
      <c r="F428" s="393"/>
      <c r="G428" s="393"/>
      <c r="H428" s="393"/>
      <c r="I428" s="393"/>
      <c r="J428" s="393"/>
      <c r="K428" s="393"/>
      <c r="L428" s="393"/>
      <c r="M428" s="393"/>
      <c r="N428" s="393"/>
      <c r="O428" s="393"/>
      <c r="P428" s="393"/>
      <c r="Q428" s="393"/>
      <c r="R428" s="393"/>
      <c r="S428" s="393"/>
      <c r="T428" s="393"/>
      <c r="U428" s="393"/>
      <c r="V428" s="393"/>
      <c r="W428" s="393"/>
      <c r="X428" s="393"/>
      <c r="Y428" s="393"/>
      <c r="Z428" s="393"/>
    </row>
    <row r="429">
      <c r="A429" s="393"/>
      <c r="B429" s="393"/>
      <c r="C429" s="393"/>
      <c r="D429" s="393"/>
      <c r="E429" s="393"/>
      <c r="F429" s="393"/>
      <c r="G429" s="393"/>
      <c r="H429" s="393"/>
      <c r="I429" s="393"/>
      <c r="J429" s="393"/>
      <c r="K429" s="393"/>
      <c r="L429" s="393"/>
      <c r="M429" s="393"/>
      <c r="N429" s="393"/>
      <c r="O429" s="393"/>
      <c r="P429" s="393"/>
      <c r="Q429" s="393"/>
      <c r="R429" s="393"/>
      <c r="S429" s="393"/>
      <c r="T429" s="393"/>
      <c r="U429" s="393"/>
      <c r="V429" s="393"/>
      <c r="W429" s="393"/>
      <c r="X429" s="393"/>
      <c r="Y429" s="393"/>
      <c r="Z429" s="393"/>
    </row>
    <row r="430">
      <c r="A430" s="393"/>
      <c r="B430" s="393"/>
      <c r="C430" s="393"/>
      <c r="D430" s="393"/>
      <c r="E430" s="393"/>
      <c r="F430" s="393"/>
      <c r="G430" s="393"/>
      <c r="H430" s="393"/>
      <c r="I430" s="393"/>
      <c r="J430" s="393"/>
      <c r="K430" s="393"/>
      <c r="L430" s="393"/>
      <c r="M430" s="393"/>
      <c r="N430" s="393"/>
      <c r="O430" s="393"/>
      <c r="P430" s="393"/>
      <c r="Q430" s="393"/>
      <c r="R430" s="393"/>
      <c r="S430" s="393"/>
      <c r="T430" s="393"/>
      <c r="U430" s="393"/>
      <c r="V430" s="393"/>
      <c r="W430" s="393"/>
      <c r="X430" s="393"/>
      <c r="Y430" s="393"/>
      <c r="Z430" s="393"/>
    </row>
    <row r="431">
      <c r="A431" s="393"/>
      <c r="B431" s="393"/>
      <c r="C431" s="393"/>
      <c r="D431" s="393"/>
      <c r="E431" s="393"/>
      <c r="F431" s="393"/>
      <c r="G431" s="393"/>
      <c r="H431" s="393"/>
      <c r="I431" s="393"/>
      <c r="J431" s="393"/>
      <c r="K431" s="393"/>
      <c r="L431" s="393"/>
      <c r="M431" s="393"/>
      <c r="N431" s="393"/>
      <c r="O431" s="393"/>
      <c r="P431" s="393"/>
      <c r="Q431" s="393"/>
      <c r="R431" s="393"/>
      <c r="S431" s="393"/>
      <c r="T431" s="393"/>
      <c r="U431" s="393"/>
      <c r="V431" s="393"/>
      <c r="W431" s="393"/>
      <c r="X431" s="393"/>
      <c r="Y431" s="393"/>
      <c r="Z431" s="393"/>
    </row>
    <row r="432">
      <c r="A432" s="393"/>
      <c r="B432" s="393"/>
      <c r="C432" s="393"/>
      <c r="D432" s="393"/>
      <c r="E432" s="393"/>
      <c r="F432" s="393"/>
      <c r="G432" s="393"/>
      <c r="H432" s="393"/>
      <c r="I432" s="393"/>
      <c r="J432" s="393"/>
      <c r="K432" s="393"/>
      <c r="L432" s="393"/>
      <c r="M432" s="393"/>
      <c r="N432" s="393"/>
      <c r="O432" s="393"/>
      <c r="P432" s="393"/>
      <c r="Q432" s="393"/>
      <c r="R432" s="393"/>
      <c r="S432" s="393"/>
      <c r="T432" s="393"/>
      <c r="U432" s="393"/>
      <c r="V432" s="393"/>
      <c r="W432" s="393"/>
      <c r="X432" s="393"/>
      <c r="Y432" s="393"/>
      <c r="Z432" s="393"/>
    </row>
    <row r="433">
      <c r="A433" s="393"/>
      <c r="B433" s="393"/>
      <c r="C433" s="393"/>
      <c r="D433" s="393"/>
      <c r="E433" s="393"/>
      <c r="F433" s="393"/>
      <c r="G433" s="393"/>
      <c r="H433" s="393"/>
      <c r="I433" s="393"/>
      <c r="J433" s="393"/>
      <c r="K433" s="393"/>
      <c r="L433" s="393"/>
      <c r="M433" s="393"/>
      <c r="N433" s="393"/>
      <c r="O433" s="393"/>
      <c r="P433" s="393"/>
      <c r="Q433" s="393"/>
      <c r="R433" s="393"/>
      <c r="S433" s="393"/>
      <c r="T433" s="393"/>
      <c r="U433" s="393"/>
      <c r="V433" s="393"/>
      <c r="W433" s="393"/>
      <c r="X433" s="393"/>
      <c r="Y433" s="393"/>
      <c r="Z433" s="393"/>
    </row>
    <row r="434">
      <c r="A434" s="393"/>
      <c r="B434" s="393"/>
      <c r="C434" s="393"/>
      <c r="D434" s="393"/>
      <c r="E434" s="393"/>
      <c r="F434" s="393"/>
      <c r="G434" s="393"/>
      <c r="H434" s="393"/>
      <c r="I434" s="393"/>
      <c r="J434" s="393"/>
      <c r="K434" s="393"/>
      <c r="L434" s="393"/>
      <c r="M434" s="393"/>
      <c r="N434" s="393"/>
      <c r="O434" s="393"/>
      <c r="P434" s="393"/>
      <c r="Q434" s="393"/>
      <c r="R434" s="393"/>
      <c r="S434" s="393"/>
      <c r="T434" s="393"/>
      <c r="U434" s="393"/>
      <c r="V434" s="393"/>
      <c r="W434" s="393"/>
      <c r="X434" s="393"/>
      <c r="Y434" s="393"/>
      <c r="Z434" s="393"/>
    </row>
    <row r="435">
      <c r="A435" s="393"/>
      <c r="B435" s="393"/>
      <c r="C435" s="393"/>
      <c r="D435" s="393"/>
      <c r="E435" s="393"/>
      <c r="F435" s="393"/>
      <c r="G435" s="393"/>
      <c r="H435" s="393"/>
      <c r="I435" s="393"/>
      <c r="J435" s="393"/>
      <c r="K435" s="393"/>
      <c r="L435" s="393"/>
      <c r="M435" s="393"/>
      <c r="N435" s="393"/>
      <c r="O435" s="393"/>
      <c r="P435" s="393"/>
      <c r="Q435" s="393"/>
      <c r="R435" s="393"/>
      <c r="S435" s="393"/>
      <c r="T435" s="393"/>
      <c r="U435" s="393"/>
      <c r="V435" s="393"/>
      <c r="W435" s="393"/>
      <c r="X435" s="393"/>
      <c r="Y435" s="393"/>
      <c r="Z435" s="393"/>
    </row>
    <row r="436">
      <c r="A436" s="393"/>
      <c r="B436" s="393"/>
      <c r="C436" s="393"/>
      <c r="D436" s="393"/>
      <c r="E436" s="393"/>
      <c r="F436" s="393"/>
      <c r="G436" s="393"/>
      <c r="H436" s="393"/>
      <c r="I436" s="393"/>
      <c r="J436" s="393"/>
      <c r="K436" s="393"/>
      <c r="L436" s="393"/>
      <c r="M436" s="393"/>
      <c r="N436" s="393"/>
      <c r="O436" s="393"/>
      <c r="P436" s="393"/>
      <c r="Q436" s="393"/>
      <c r="R436" s="393"/>
      <c r="S436" s="393"/>
      <c r="T436" s="393"/>
      <c r="U436" s="393"/>
      <c r="V436" s="393"/>
      <c r="W436" s="393"/>
      <c r="X436" s="393"/>
      <c r="Y436" s="393"/>
      <c r="Z436" s="393"/>
    </row>
    <row r="437">
      <c r="A437" s="393"/>
      <c r="B437" s="393"/>
      <c r="C437" s="393"/>
      <c r="D437" s="393"/>
      <c r="E437" s="393"/>
      <c r="F437" s="393"/>
      <c r="G437" s="393"/>
      <c r="H437" s="393"/>
      <c r="I437" s="393"/>
      <c r="J437" s="393"/>
      <c r="K437" s="393"/>
      <c r="L437" s="393"/>
      <c r="M437" s="393"/>
      <c r="N437" s="393"/>
      <c r="O437" s="393"/>
      <c r="P437" s="393"/>
      <c r="Q437" s="393"/>
      <c r="R437" s="393"/>
      <c r="S437" s="393"/>
      <c r="T437" s="393"/>
      <c r="U437" s="393"/>
      <c r="V437" s="393"/>
      <c r="W437" s="393"/>
      <c r="X437" s="393"/>
      <c r="Y437" s="393"/>
      <c r="Z437" s="393"/>
    </row>
    <row r="438">
      <c r="A438" s="393"/>
      <c r="B438" s="393"/>
      <c r="C438" s="393"/>
      <c r="D438" s="393"/>
      <c r="E438" s="393"/>
      <c r="F438" s="393"/>
      <c r="G438" s="393"/>
      <c r="H438" s="393"/>
      <c r="I438" s="393"/>
      <c r="J438" s="393"/>
      <c r="K438" s="393"/>
      <c r="L438" s="393"/>
      <c r="M438" s="393"/>
      <c r="N438" s="393"/>
      <c r="O438" s="393"/>
      <c r="P438" s="393"/>
      <c r="Q438" s="393"/>
      <c r="R438" s="393"/>
      <c r="S438" s="393"/>
      <c r="T438" s="393"/>
      <c r="U438" s="393"/>
      <c r="V438" s="393"/>
      <c r="W438" s="393"/>
      <c r="X438" s="393"/>
      <c r="Y438" s="393"/>
      <c r="Z438" s="393"/>
    </row>
    <row r="439">
      <c r="A439" s="393"/>
      <c r="B439" s="393"/>
      <c r="C439" s="393"/>
      <c r="D439" s="393"/>
      <c r="E439" s="393"/>
      <c r="F439" s="393"/>
      <c r="G439" s="393"/>
      <c r="H439" s="393"/>
      <c r="I439" s="393"/>
      <c r="J439" s="393"/>
      <c r="K439" s="393"/>
      <c r="L439" s="393"/>
      <c r="M439" s="393"/>
      <c r="N439" s="393"/>
      <c r="O439" s="393"/>
      <c r="P439" s="393"/>
      <c r="Q439" s="393"/>
      <c r="R439" s="393"/>
      <c r="S439" s="393"/>
      <c r="T439" s="393"/>
      <c r="U439" s="393"/>
      <c r="V439" s="393"/>
      <c r="W439" s="393"/>
      <c r="X439" s="393"/>
      <c r="Y439" s="393"/>
      <c r="Z439" s="393"/>
    </row>
    <row r="440">
      <c r="A440" s="393"/>
      <c r="B440" s="393"/>
      <c r="C440" s="393"/>
      <c r="D440" s="393"/>
      <c r="E440" s="393"/>
      <c r="F440" s="393"/>
      <c r="G440" s="393"/>
      <c r="H440" s="393"/>
      <c r="I440" s="393"/>
      <c r="J440" s="393"/>
      <c r="K440" s="393"/>
      <c r="L440" s="393"/>
      <c r="M440" s="393"/>
      <c r="N440" s="393"/>
      <c r="O440" s="393"/>
      <c r="P440" s="393"/>
      <c r="Q440" s="393"/>
      <c r="R440" s="393"/>
      <c r="S440" s="393"/>
      <c r="T440" s="393"/>
      <c r="U440" s="393"/>
      <c r="V440" s="393"/>
      <c r="W440" s="393"/>
      <c r="X440" s="393"/>
      <c r="Y440" s="393"/>
      <c r="Z440" s="393"/>
    </row>
    <row r="441">
      <c r="A441" s="393"/>
      <c r="B441" s="393"/>
      <c r="C441" s="393"/>
      <c r="D441" s="393"/>
      <c r="E441" s="393"/>
      <c r="F441" s="393"/>
      <c r="G441" s="393"/>
      <c r="H441" s="393"/>
      <c r="I441" s="393"/>
      <c r="J441" s="393"/>
      <c r="K441" s="393"/>
      <c r="L441" s="393"/>
      <c r="M441" s="393"/>
      <c r="N441" s="393"/>
      <c r="O441" s="393"/>
      <c r="P441" s="393"/>
      <c r="Q441" s="393"/>
      <c r="R441" s="393"/>
      <c r="S441" s="393"/>
      <c r="T441" s="393"/>
      <c r="U441" s="393"/>
      <c r="V441" s="393"/>
      <c r="W441" s="393"/>
      <c r="X441" s="393"/>
      <c r="Y441" s="393"/>
      <c r="Z441" s="393"/>
    </row>
    <row r="442">
      <c r="A442" s="393"/>
      <c r="B442" s="393"/>
      <c r="C442" s="393"/>
      <c r="D442" s="393"/>
      <c r="E442" s="393"/>
      <c r="F442" s="393"/>
      <c r="G442" s="393"/>
      <c r="H442" s="393"/>
      <c r="I442" s="393"/>
      <c r="J442" s="393"/>
      <c r="K442" s="393"/>
      <c r="L442" s="393"/>
      <c r="M442" s="393"/>
      <c r="N442" s="393"/>
      <c r="O442" s="393"/>
      <c r="P442" s="393"/>
      <c r="Q442" s="393"/>
      <c r="R442" s="393"/>
      <c r="S442" s="393"/>
      <c r="T442" s="393"/>
      <c r="U442" s="393"/>
      <c r="V442" s="393"/>
      <c r="W442" s="393"/>
      <c r="X442" s="393"/>
      <c r="Y442" s="393"/>
      <c r="Z442" s="393"/>
    </row>
    <row r="443">
      <c r="A443" s="393"/>
      <c r="B443" s="393"/>
      <c r="C443" s="393"/>
      <c r="D443" s="393"/>
      <c r="E443" s="393"/>
      <c r="F443" s="393"/>
      <c r="G443" s="393"/>
      <c r="H443" s="393"/>
      <c r="I443" s="393"/>
      <c r="J443" s="393"/>
      <c r="K443" s="393"/>
      <c r="L443" s="393"/>
      <c r="M443" s="393"/>
      <c r="N443" s="393"/>
      <c r="O443" s="393"/>
      <c r="P443" s="393"/>
      <c r="Q443" s="393"/>
      <c r="R443" s="393"/>
      <c r="S443" s="393"/>
      <c r="T443" s="393"/>
      <c r="U443" s="393"/>
      <c r="V443" s="393"/>
      <c r="W443" s="393"/>
      <c r="X443" s="393"/>
      <c r="Y443" s="393"/>
      <c r="Z443" s="393"/>
    </row>
    <row r="444">
      <c r="A444" s="393"/>
      <c r="B444" s="393"/>
      <c r="C444" s="393"/>
      <c r="D444" s="393"/>
      <c r="E444" s="393"/>
      <c r="F444" s="393"/>
      <c r="G444" s="393"/>
      <c r="H444" s="393"/>
      <c r="I444" s="393"/>
      <c r="J444" s="393"/>
      <c r="K444" s="393"/>
      <c r="L444" s="393"/>
      <c r="M444" s="393"/>
      <c r="N444" s="393"/>
      <c r="O444" s="393"/>
      <c r="P444" s="393"/>
      <c r="Q444" s="393"/>
      <c r="R444" s="393"/>
      <c r="S444" s="393"/>
      <c r="T444" s="393"/>
      <c r="U444" s="393"/>
      <c r="V444" s="393"/>
      <c r="W444" s="393"/>
      <c r="X444" s="393"/>
      <c r="Y444" s="393"/>
      <c r="Z444" s="393"/>
    </row>
    <row r="445">
      <c r="A445" s="393"/>
      <c r="B445" s="393"/>
      <c r="C445" s="393"/>
      <c r="D445" s="393"/>
      <c r="E445" s="393"/>
      <c r="F445" s="393"/>
      <c r="G445" s="393"/>
      <c r="H445" s="393"/>
      <c r="I445" s="393"/>
      <c r="J445" s="393"/>
      <c r="K445" s="393"/>
      <c r="L445" s="393"/>
      <c r="M445" s="393"/>
      <c r="N445" s="393"/>
      <c r="O445" s="393"/>
      <c r="P445" s="393"/>
      <c r="Q445" s="393"/>
      <c r="R445" s="393"/>
      <c r="S445" s="393"/>
      <c r="T445" s="393"/>
      <c r="U445" s="393"/>
      <c r="V445" s="393"/>
      <c r="W445" s="393"/>
      <c r="X445" s="393"/>
      <c r="Y445" s="393"/>
      <c r="Z445" s="393"/>
    </row>
    <row r="446">
      <c r="A446" s="393"/>
      <c r="B446" s="393"/>
      <c r="C446" s="393"/>
      <c r="D446" s="393"/>
      <c r="E446" s="393"/>
      <c r="F446" s="393"/>
      <c r="G446" s="393"/>
      <c r="H446" s="393"/>
      <c r="I446" s="393"/>
      <c r="J446" s="393"/>
      <c r="K446" s="393"/>
      <c r="L446" s="393"/>
      <c r="M446" s="393"/>
      <c r="N446" s="393"/>
      <c r="O446" s="393"/>
      <c r="P446" s="393"/>
      <c r="Q446" s="393"/>
      <c r="R446" s="393"/>
      <c r="S446" s="393"/>
      <c r="T446" s="393"/>
      <c r="U446" s="393"/>
      <c r="V446" s="393"/>
      <c r="W446" s="393"/>
      <c r="X446" s="393"/>
      <c r="Y446" s="393"/>
      <c r="Z446" s="393"/>
    </row>
    <row r="447">
      <c r="A447" s="393"/>
      <c r="B447" s="393"/>
      <c r="C447" s="393"/>
      <c r="D447" s="393"/>
      <c r="E447" s="393"/>
      <c r="F447" s="393"/>
      <c r="G447" s="393"/>
      <c r="H447" s="393"/>
      <c r="I447" s="393"/>
      <c r="J447" s="393"/>
      <c r="K447" s="393"/>
      <c r="L447" s="393"/>
      <c r="M447" s="393"/>
      <c r="N447" s="393"/>
      <c r="O447" s="393"/>
      <c r="P447" s="393"/>
      <c r="Q447" s="393"/>
      <c r="R447" s="393"/>
      <c r="S447" s="393"/>
      <c r="T447" s="393"/>
      <c r="U447" s="393"/>
      <c r="V447" s="393"/>
      <c r="W447" s="393"/>
      <c r="X447" s="393"/>
      <c r="Y447" s="393"/>
      <c r="Z447" s="393"/>
    </row>
    <row r="448">
      <c r="A448" s="393"/>
      <c r="B448" s="393"/>
      <c r="C448" s="393"/>
      <c r="D448" s="393"/>
      <c r="E448" s="393"/>
      <c r="F448" s="393"/>
      <c r="G448" s="393"/>
      <c r="H448" s="393"/>
      <c r="I448" s="393"/>
      <c r="J448" s="393"/>
      <c r="K448" s="393"/>
      <c r="L448" s="393"/>
      <c r="M448" s="393"/>
      <c r="N448" s="393"/>
      <c r="O448" s="393"/>
      <c r="P448" s="393"/>
      <c r="Q448" s="393"/>
      <c r="R448" s="393"/>
      <c r="S448" s="393"/>
      <c r="T448" s="393"/>
      <c r="U448" s="393"/>
      <c r="V448" s="393"/>
      <c r="W448" s="393"/>
      <c r="X448" s="393"/>
      <c r="Y448" s="393"/>
      <c r="Z448" s="393"/>
    </row>
    <row r="449">
      <c r="A449" s="393"/>
      <c r="B449" s="393"/>
      <c r="C449" s="393"/>
      <c r="D449" s="393"/>
      <c r="E449" s="393"/>
      <c r="F449" s="393"/>
      <c r="G449" s="393"/>
      <c r="H449" s="393"/>
      <c r="I449" s="393"/>
      <c r="J449" s="393"/>
      <c r="K449" s="393"/>
      <c r="L449" s="393"/>
      <c r="M449" s="393"/>
      <c r="N449" s="393"/>
      <c r="O449" s="393"/>
      <c r="P449" s="393"/>
      <c r="Q449" s="393"/>
      <c r="R449" s="393"/>
      <c r="S449" s="393"/>
      <c r="T449" s="393"/>
      <c r="U449" s="393"/>
      <c r="V449" s="393"/>
      <c r="W449" s="393"/>
      <c r="X449" s="393"/>
      <c r="Y449" s="393"/>
      <c r="Z449" s="393"/>
    </row>
    <row r="450">
      <c r="A450" s="393"/>
      <c r="B450" s="393"/>
      <c r="C450" s="393"/>
      <c r="D450" s="393"/>
      <c r="E450" s="393"/>
      <c r="F450" s="393"/>
      <c r="G450" s="393"/>
      <c r="H450" s="393"/>
      <c r="I450" s="393"/>
      <c r="J450" s="393"/>
      <c r="K450" s="393"/>
      <c r="L450" s="393"/>
      <c r="M450" s="393"/>
      <c r="N450" s="393"/>
      <c r="O450" s="393"/>
      <c r="P450" s="393"/>
      <c r="Q450" s="393"/>
      <c r="R450" s="393"/>
      <c r="S450" s="393"/>
      <c r="T450" s="393"/>
      <c r="U450" s="393"/>
      <c r="V450" s="393"/>
      <c r="W450" s="393"/>
      <c r="X450" s="393"/>
      <c r="Y450" s="393"/>
      <c r="Z450" s="393"/>
    </row>
    <row r="451">
      <c r="A451" s="393"/>
      <c r="B451" s="393"/>
      <c r="C451" s="393"/>
      <c r="D451" s="393"/>
      <c r="E451" s="393"/>
      <c r="F451" s="393"/>
      <c r="G451" s="393"/>
      <c r="H451" s="393"/>
      <c r="I451" s="393"/>
      <c r="J451" s="393"/>
      <c r="K451" s="393"/>
      <c r="L451" s="393"/>
      <c r="M451" s="393"/>
      <c r="N451" s="393"/>
      <c r="O451" s="393"/>
      <c r="P451" s="393"/>
      <c r="Q451" s="393"/>
      <c r="R451" s="393"/>
      <c r="S451" s="393"/>
      <c r="T451" s="393"/>
      <c r="U451" s="393"/>
      <c r="V451" s="393"/>
      <c r="W451" s="393"/>
      <c r="X451" s="393"/>
      <c r="Y451" s="393"/>
      <c r="Z451" s="393"/>
    </row>
    <row r="452">
      <c r="A452" s="393"/>
      <c r="B452" s="393"/>
      <c r="C452" s="393"/>
      <c r="D452" s="393"/>
      <c r="E452" s="393"/>
      <c r="F452" s="393"/>
      <c r="G452" s="393"/>
      <c r="H452" s="393"/>
      <c r="I452" s="393"/>
      <c r="J452" s="393"/>
      <c r="K452" s="393"/>
      <c r="L452" s="393"/>
      <c r="M452" s="393"/>
      <c r="N452" s="393"/>
      <c r="O452" s="393"/>
      <c r="P452" s="393"/>
      <c r="Q452" s="393"/>
      <c r="R452" s="393"/>
      <c r="S452" s="393"/>
      <c r="T452" s="393"/>
      <c r="U452" s="393"/>
      <c r="V452" s="393"/>
      <c r="W452" s="393"/>
      <c r="X452" s="393"/>
      <c r="Y452" s="393"/>
      <c r="Z452" s="393"/>
    </row>
    <row r="453">
      <c r="A453" s="393"/>
      <c r="B453" s="393"/>
      <c r="C453" s="393"/>
      <c r="D453" s="393"/>
      <c r="E453" s="393"/>
      <c r="F453" s="393"/>
      <c r="G453" s="393"/>
      <c r="H453" s="393"/>
      <c r="I453" s="393"/>
      <c r="J453" s="393"/>
      <c r="K453" s="393"/>
      <c r="L453" s="393"/>
      <c r="M453" s="393"/>
      <c r="N453" s="393"/>
      <c r="O453" s="393"/>
      <c r="P453" s="393"/>
      <c r="Q453" s="393"/>
      <c r="R453" s="393"/>
      <c r="S453" s="393"/>
      <c r="T453" s="393"/>
      <c r="U453" s="393"/>
      <c r="V453" s="393"/>
      <c r="W453" s="393"/>
      <c r="X453" s="393"/>
      <c r="Y453" s="393"/>
      <c r="Z453" s="393"/>
    </row>
    <row r="454">
      <c r="A454" s="393"/>
      <c r="B454" s="393"/>
      <c r="C454" s="393"/>
      <c r="D454" s="393"/>
      <c r="E454" s="393"/>
      <c r="F454" s="393"/>
      <c r="G454" s="393"/>
      <c r="H454" s="393"/>
      <c r="I454" s="393"/>
      <c r="J454" s="393"/>
      <c r="K454" s="393"/>
      <c r="L454" s="393"/>
      <c r="M454" s="393"/>
      <c r="N454" s="393"/>
      <c r="O454" s="393"/>
      <c r="P454" s="393"/>
      <c r="Q454" s="393"/>
      <c r="R454" s="393"/>
      <c r="S454" s="393"/>
      <c r="T454" s="393"/>
      <c r="U454" s="393"/>
      <c r="V454" s="393"/>
      <c r="W454" s="393"/>
      <c r="X454" s="393"/>
      <c r="Y454" s="393"/>
      <c r="Z454" s="393"/>
    </row>
    <row r="455">
      <c r="A455" s="393"/>
      <c r="B455" s="393"/>
      <c r="C455" s="393"/>
      <c r="D455" s="393"/>
      <c r="E455" s="393"/>
      <c r="F455" s="393"/>
      <c r="G455" s="393"/>
      <c r="H455" s="393"/>
      <c r="I455" s="393"/>
      <c r="J455" s="393"/>
      <c r="K455" s="393"/>
      <c r="L455" s="393"/>
      <c r="M455" s="393"/>
      <c r="N455" s="393"/>
      <c r="O455" s="393"/>
      <c r="P455" s="393"/>
      <c r="Q455" s="393"/>
      <c r="R455" s="393"/>
      <c r="S455" s="393"/>
      <c r="T455" s="393"/>
      <c r="U455" s="393"/>
      <c r="V455" s="393"/>
      <c r="W455" s="393"/>
      <c r="X455" s="393"/>
      <c r="Y455" s="393"/>
      <c r="Z455" s="393"/>
    </row>
    <row r="456">
      <c r="A456" s="393"/>
      <c r="B456" s="393"/>
      <c r="C456" s="393"/>
      <c r="D456" s="393"/>
      <c r="E456" s="393"/>
      <c r="F456" s="393"/>
      <c r="G456" s="393"/>
      <c r="H456" s="393"/>
      <c r="I456" s="393"/>
      <c r="J456" s="393"/>
      <c r="K456" s="393"/>
      <c r="L456" s="393"/>
      <c r="M456" s="393"/>
      <c r="N456" s="393"/>
      <c r="O456" s="393"/>
      <c r="P456" s="393"/>
      <c r="Q456" s="393"/>
      <c r="R456" s="393"/>
      <c r="S456" s="393"/>
      <c r="T456" s="393"/>
      <c r="U456" s="393"/>
      <c r="V456" s="393"/>
      <c r="W456" s="393"/>
      <c r="X456" s="393"/>
      <c r="Y456" s="393"/>
      <c r="Z456" s="393"/>
    </row>
    <row r="457">
      <c r="A457" s="393"/>
      <c r="B457" s="393"/>
      <c r="C457" s="393"/>
      <c r="D457" s="393"/>
      <c r="E457" s="393"/>
      <c r="F457" s="393"/>
      <c r="G457" s="393"/>
      <c r="H457" s="393"/>
      <c r="I457" s="393"/>
      <c r="J457" s="393"/>
      <c r="K457" s="393"/>
      <c r="L457" s="393"/>
      <c r="M457" s="393"/>
      <c r="N457" s="393"/>
      <c r="O457" s="393"/>
      <c r="P457" s="393"/>
      <c r="Q457" s="393"/>
      <c r="R457" s="393"/>
      <c r="S457" s="393"/>
      <c r="T457" s="393"/>
      <c r="U457" s="393"/>
      <c r="V457" s="393"/>
      <c r="W457" s="393"/>
      <c r="X457" s="393"/>
      <c r="Y457" s="393"/>
      <c r="Z457" s="393"/>
    </row>
    <row r="458">
      <c r="A458" s="393"/>
      <c r="B458" s="393"/>
      <c r="C458" s="393"/>
      <c r="D458" s="393"/>
      <c r="E458" s="393"/>
      <c r="F458" s="393"/>
      <c r="G458" s="393"/>
      <c r="H458" s="393"/>
      <c r="I458" s="393"/>
      <c r="J458" s="393"/>
      <c r="K458" s="393"/>
      <c r="L458" s="393"/>
      <c r="M458" s="393"/>
      <c r="N458" s="393"/>
      <c r="O458" s="393"/>
      <c r="P458" s="393"/>
      <c r="Q458" s="393"/>
      <c r="R458" s="393"/>
      <c r="S458" s="393"/>
      <c r="T458" s="393"/>
      <c r="U458" s="393"/>
      <c r="V458" s="393"/>
      <c r="W458" s="393"/>
      <c r="X458" s="393"/>
      <c r="Y458" s="393"/>
      <c r="Z458" s="393"/>
    </row>
    <row r="459">
      <c r="A459" s="393"/>
      <c r="B459" s="393"/>
      <c r="C459" s="393"/>
      <c r="D459" s="393"/>
      <c r="E459" s="393"/>
      <c r="F459" s="393"/>
      <c r="G459" s="393"/>
      <c r="H459" s="393"/>
      <c r="I459" s="393"/>
      <c r="J459" s="393"/>
      <c r="K459" s="393"/>
      <c r="L459" s="393"/>
      <c r="M459" s="393"/>
      <c r="N459" s="393"/>
      <c r="O459" s="393"/>
      <c r="P459" s="393"/>
      <c r="Q459" s="393"/>
      <c r="R459" s="393"/>
      <c r="S459" s="393"/>
      <c r="T459" s="393"/>
      <c r="U459" s="393"/>
      <c r="V459" s="393"/>
      <c r="W459" s="393"/>
      <c r="X459" s="393"/>
      <c r="Y459" s="393"/>
      <c r="Z459" s="393"/>
    </row>
    <row r="460">
      <c r="A460" s="393"/>
      <c r="B460" s="393"/>
      <c r="C460" s="393"/>
      <c r="D460" s="393"/>
      <c r="E460" s="393"/>
      <c r="F460" s="393"/>
      <c r="G460" s="393"/>
      <c r="H460" s="393"/>
      <c r="I460" s="393"/>
      <c r="J460" s="393"/>
      <c r="K460" s="393"/>
      <c r="L460" s="393"/>
      <c r="M460" s="393"/>
      <c r="N460" s="393"/>
      <c r="O460" s="393"/>
      <c r="P460" s="393"/>
      <c r="Q460" s="393"/>
      <c r="R460" s="393"/>
      <c r="S460" s="393"/>
      <c r="T460" s="393"/>
      <c r="U460" s="393"/>
      <c r="V460" s="393"/>
      <c r="W460" s="393"/>
      <c r="X460" s="393"/>
      <c r="Y460" s="393"/>
      <c r="Z460" s="393"/>
    </row>
    <row r="461">
      <c r="A461" s="393"/>
      <c r="B461" s="393"/>
      <c r="C461" s="393"/>
      <c r="D461" s="393"/>
      <c r="E461" s="393"/>
      <c r="F461" s="393"/>
      <c r="G461" s="393"/>
      <c r="H461" s="393"/>
      <c r="I461" s="393"/>
      <c r="J461" s="393"/>
      <c r="K461" s="393"/>
      <c r="L461" s="393"/>
      <c r="M461" s="393"/>
      <c r="N461" s="393"/>
      <c r="O461" s="393"/>
      <c r="P461" s="393"/>
      <c r="Q461" s="393"/>
      <c r="R461" s="393"/>
      <c r="S461" s="393"/>
      <c r="T461" s="393"/>
      <c r="U461" s="393"/>
      <c r="V461" s="393"/>
      <c r="W461" s="393"/>
      <c r="X461" s="393"/>
      <c r="Y461" s="393"/>
      <c r="Z461" s="393"/>
    </row>
    <row r="462">
      <c r="A462" s="393"/>
      <c r="B462" s="393"/>
      <c r="C462" s="393"/>
      <c r="D462" s="393"/>
      <c r="E462" s="393"/>
      <c r="F462" s="393"/>
      <c r="G462" s="393"/>
      <c r="H462" s="393"/>
      <c r="I462" s="393"/>
      <c r="J462" s="393"/>
      <c r="K462" s="393"/>
      <c r="L462" s="393"/>
      <c r="M462" s="393"/>
      <c r="N462" s="393"/>
      <c r="O462" s="393"/>
      <c r="P462" s="393"/>
      <c r="Q462" s="393"/>
      <c r="R462" s="393"/>
      <c r="S462" s="393"/>
      <c r="T462" s="393"/>
      <c r="U462" s="393"/>
      <c r="V462" s="393"/>
      <c r="W462" s="393"/>
      <c r="X462" s="393"/>
      <c r="Y462" s="393"/>
      <c r="Z462" s="393"/>
    </row>
    <row r="463">
      <c r="A463" s="393"/>
      <c r="B463" s="393"/>
      <c r="C463" s="393"/>
      <c r="D463" s="393"/>
      <c r="E463" s="393"/>
      <c r="F463" s="393"/>
      <c r="G463" s="393"/>
      <c r="H463" s="393"/>
      <c r="I463" s="393"/>
      <c r="J463" s="393"/>
      <c r="K463" s="393"/>
      <c r="L463" s="393"/>
      <c r="M463" s="393"/>
      <c r="N463" s="393"/>
      <c r="O463" s="393"/>
      <c r="P463" s="393"/>
      <c r="Q463" s="393"/>
      <c r="R463" s="393"/>
      <c r="S463" s="393"/>
      <c r="T463" s="393"/>
      <c r="U463" s="393"/>
      <c r="V463" s="393"/>
      <c r="W463" s="393"/>
      <c r="X463" s="393"/>
      <c r="Y463" s="393"/>
      <c r="Z463" s="393"/>
    </row>
    <row r="464">
      <c r="A464" s="393"/>
      <c r="B464" s="393"/>
      <c r="C464" s="393"/>
      <c r="D464" s="393"/>
      <c r="E464" s="393"/>
      <c r="F464" s="393"/>
      <c r="G464" s="393"/>
      <c r="H464" s="393"/>
      <c r="I464" s="393"/>
      <c r="J464" s="393"/>
      <c r="K464" s="393"/>
      <c r="L464" s="393"/>
      <c r="M464" s="393"/>
      <c r="N464" s="393"/>
      <c r="O464" s="393"/>
      <c r="P464" s="393"/>
      <c r="Q464" s="393"/>
      <c r="R464" s="393"/>
      <c r="S464" s="393"/>
      <c r="T464" s="393"/>
      <c r="U464" s="393"/>
      <c r="V464" s="393"/>
      <c r="W464" s="393"/>
      <c r="X464" s="393"/>
      <c r="Y464" s="393"/>
      <c r="Z464" s="393"/>
    </row>
    <row r="465">
      <c r="A465" s="393"/>
      <c r="B465" s="393"/>
      <c r="C465" s="393"/>
      <c r="D465" s="393"/>
      <c r="E465" s="393"/>
      <c r="F465" s="393"/>
      <c r="G465" s="393"/>
      <c r="H465" s="393"/>
      <c r="I465" s="393"/>
      <c r="J465" s="393"/>
      <c r="K465" s="393"/>
      <c r="L465" s="393"/>
      <c r="M465" s="393"/>
      <c r="N465" s="393"/>
      <c r="O465" s="393"/>
      <c r="P465" s="393"/>
      <c r="Q465" s="393"/>
      <c r="R465" s="393"/>
      <c r="S465" s="393"/>
      <c r="T465" s="393"/>
      <c r="U465" s="393"/>
      <c r="V465" s="393"/>
      <c r="W465" s="393"/>
      <c r="X465" s="393"/>
      <c r="Y465" s="393"/>
      <c r="Z465" s="393"/>
    </row>
    <row r="466">
      <c r="A466" s="393"/>
      <c r="B466" s="393"/>
      <c r="C466" s="393"/>
      <c r="D466" s="393"/>
      <c r="E466" s="393"/>
      <c r="F466" s="393"/>
      <c r="G466" s="393"/>
      <c r="H466" s="393"/>
      <c r="I466" s="393"/>
      <c r="J466" s="393"/>
      <c r="K466" s="393"/>
      <c r="L466" s="393"/>
      <c r="M466" s="393"/>
      <c r="N466" s="393"/>
      <c r="O466" s="393"/>
      <c r="P466" s="393"/>
      <c r="Q466" s="393"/>
      <c r="R466" s="393"/>
      <c r="S466" s="393"/>
      <c r="T466" s="393"/>
      <c r="U466" s="393"/>
      <c r="V466" s="393"/>
      <c r="W466" s="393"/>
      <c r="X466" s="393"/>
      <c r="Y466" s="393"/>
      <c r="Z466" s="393"/>
    </row>
    <row r="467">
      <c r="A467" s="393"/>
      <c r="B467" s="393"/>
      <c r="C467" s="393"/>
      <c r="D467" s="393"/>
      <c r="E467" s="393"/>
      <c r="F467" s="393"/>
      <c r="G467" s="393"/>
      <c r="H467" s="393"/>
      <c r="I467" s="393"/>
      <c r="J467" s="393"/>
      <c r="K467" s="393"/>
      <c r="L467" s="393"/>
      <c r="M467" s="393"/>
      <c r="N467" s="393"/>
      <c r="O467" s="393"/>
      <c r="P467" s="393"/>
      <c r="Q467" s="393"/>
      <c r="R467" s="393"/>
      <c r="S467" s="393"/>
      <c r="T467" s="393"/>
      <c r="U467" s="393"/>
      <c r="V467" s="393"/>
      <c r="W467" s="393"/>
      <c r="X467" s="393"/>
      <c r="Y467" s="393"/>
      <c r="Z467" s="393"/>
    </row>
    <row r="468">
      <c r="A468" s="393"/>
      <c r="B468" s="393"/>
      <c r="C468" s="393"/>
      <c r="D468" s="393"/>
      <c r="E468" s="393"/>
      <c r="F468" s="393"/>
      <c r="G468" s="393"/>
      <c r="H468" s="393"/>
      <c r="I468" s="393"/>
      <c r="J468" s="393"/>
      <c r="K468" s="393"/>
      <c r="L468" s="393"/>
      <c r="M468" s="393"/>
      <c r="N468" s="393"/>
      <c r="O468" s="393"/>
      <c r="P468" s="393"/>
      <c r="Q468" s="393"/>
      <c r="R468" s="393"/>
      <c r="S468" s="393"/>
      <c r="T468" s="393"/>
      <c r="U468" s="393"/>
      <c r="V468" s="393"/>
      <c r="W468" s="393"/>
      <c r="X468" s="393"/>
      <c r="Y468" s="393"/>
      <c r="Z468" s="393"/>
    </row>
    <row r="469">
      <c r="A469" s="393"/>
      <c r="B469" s="393"/>
      <c r="C469" s="393"/>
      <c r="D469" s="393"/>
      <c r="E469" s="393"/>
      <c r="F469" s="393"/>
      <c r="G469" s="393"/>
      <c r="H469" s="393"/>
      <c r="I469" s="393"/>
      <c r="J469" s="393"/>
      <c r="K469" s="393"/>
      <c r="L469" s="393"/>
      <c r="M469" s="393"/>
      <c r="N469" s="393"/>
      <c r="O469" s="393"/>
      <c r="P469" s="393"/>
      <c r="Q469" s="393"/>
      <c r="R469" s="393"/>
      <c r="S469" s="393"/>
      <c r="T469" s="393"/>
      <c r="U469" s="393"/>
      <c r="V469" s="393"/>
      <c r="W469" s="393"/>
      <c r="X469" s="393"/>
      <c r="Y469" s="393"/>
      <c r="Z469" s="393"/>
    </row>
    <row r="470">
      <c r="A470" s="393"/>
      <c r="B470" s="393"/>
      <c r="C470" s="393"/>
      <c r="D470" s="393"/>
      <c r="E470" s="393"/>
      <c r="F470" s="393"/>
      <c r="G470" s="393"/>
      <c r="H470" s="393"/>
      <c r="I470" s="393"/>
      <c r="J470" s="393"/>
      <c r="K470" s="393"/>
      <c r="L470" s="393"/>
      <c r="M470" s="393"/>
      <c r="N470" s="393"/>
      <c r="O470" s="393"/>
      <c r="P470" s="393"/>
      <c r="Q470" s="393"/>
      <c r="R470" s="393"/>
      <c r="S470" s="393"/>
      <c r="T470" s="393"/>
      <c r="U470" s="393"/>
      <c r="V470" s="393"/>
      <c r="W470" s="393"/>
      <c r="X470" s="393"/>
      <c r="Y470" s="393"/>
      <c r="Z470" s="393"/>
    </row>
    <row r="471">
      <c r="A471" s="393"/>
      <c r="B471" s="393"/>
      <c r="C471" s="393"/>
      <c r="D471" s="393"/>
      <c r="E471" s="393"/>
      <c r="F471" s="393"/>
      <c r="G471" s="393"/>
      <c r="H471" s="393"/>
      <c r="I471" s="393"/>
      <c r="J471" s="393"/>
      <c r="K471" s="393"/>
      <c r="L471" s="393"/>
      <c r="M471" s="393"/>
      <c r="N471" s="393"/>
      <c r="O471" s="393"/>
      <c r="P471" s="393"/>
      <c r="Q471" s="393"/>
      <c r="R471" s="393"/>
      <c r="S471" s="393"/>
      <c r="T471" s="393"/>
      <c r="U471" s="393"/>
      <c r="V471" s="393"/>
      <c r="W471" s="393"/>
      <c r="X471" s="393"/>
      <c r="Y471" s="393"/>
      <c r="Z471" s="393"/>
    </row>
    <row r="472">
      <c r="A472" s="393"/>
      <c r="B472" s="393"/>
      <c r="C472" s="393"/>
      <c r="D472" s="393"/>
      <c r="E472" s="393"/>
      <c r="F472" s="393"/>
      <c r="G472" s="393"/>
      <c r="H472" s="393"/>
      <c r="I472" s="393"/>
      <c r="J472" s="393"/>
      <c r="K472" s="393"/>
      <c r="L472" s="393"/>
      <c r="M472" s="393"/>
      <c r="N472" s="393"/>
      <c r="O472" s="393"/>
      <c r="P472" s="393"/>
      <c r="Q472" s="393"/>
      <c r="R472" s="393"/>
      <c r="S472" s="393"/>
      <c r="T472" s="393"/>
      <c r="U472" s="393"/>
      <c r="V472" s="393"/>
      <c r="W472" s="393"/>
      <c r="X472" s="393"/>
      <c r="Y472" s="393"/>
      <c r="Z472" s="393"/>
    </row>
    <row r="473">
      <c r="A473" s="393"/>
      <c r="B473" s="393"/>
      <c r="C473" s="393"/>
      <c r="D473" s="393"/>
      <c r="E473" s="393"/>
      <c r="F473" s="393"/>
      <c r="G473" s="393"/>
      <c r="H473" s="393"/>
      <c r="I473" s="393"/>
      <c r="J473" s="393"/>
      <c r="K473" s="393"/>
      <c r="L473" s="393"/>
      <c r="M473" s="393"/>
      <c r="N473" s="393"/>
      <c r="O473" s="393"/>
      <c r="P473" s="393"/>
      <c r="Q473" s="393"/>
      <c r="R473" s="393"/>
      <c r="S473" s="393"/>
      <c r="T473" s="393"/>
      <c r="U473" s="393"/>
      <c r="V473" s="393"/>
      <c r="W473" s="393"/>
      <c r="X473" s="393"/>
      <c r="Y473" s="393"/>
      <c r="Z473" s="393"/>
    </row>
    <row r="474">
      <c r="A474" s="393"/>
      <c r="B474" s="393"/>
      <c r="C474" s="393"/>
      <c r="D474" s="393"/>
      <c r="E474" s="393"/>
      <c r="F474" s="393"/>
      <c r="G474" s="393"/>
      <c r="H474" s="393"/>
      <c r="I474" s="393"/>
      <c r="J474" s="393"/>
      <c r="K474" s="393"/>
      <c r="L474" s="393"/>
      <c r="M474" s="393"/>
      <c r="N474" s="393"/>
      <c r="O474" s="393"/>
      <c r="P474" s="393"/>
      <c r="Q474" s="393"/>
      <c r="R474" s="393"/>
      <c r="S474" s="393"/>
      <c r="T474" s="393"/>
      <c r="U474" s="393"/>
      <c r="V474" s="393"/>
      <c r="W474" s="393"/>
      <c r="X474" s="393"/>
      <c r="Y474" s="393"/>
      <c r="Z474" s="393"/>
    </row>
    <row r="475">
      <c r="A475" s="393"/>
      <c r="B475" s="393"/>
      <c r="C475" s="393"/>
      <c r="D475" s="393"/>
      <c r="E475" s="393"/>
      <c r="F475" s="393"/>
      <c r="G475" s="393"/>
      <c r="H475" s="393"/>
      <c r="I475" s="393"/>
      <c r="J475" s="393"/>
      <c r="K475" s="393"/>
      <c r="L475" s="393"/>
      <c r="M475" s="393"/>
      <c r="N475" s="393"/>
      <c r="O475" s="393"/>
      <c r="P475" s="393"/>
      <c r="Q475" s="393"/>
      <c r="R475" s="393"/>
      <c r="S475" s="393"/>
      <c r="T475" s="393"/>
      <c r="U475" s="393"/>
      <c r="V475" s="393"/>
      <c r="W475" s="393"/>
      <c r="X475" s="393"/>
      <c r="Y475" s="393"/>
      <c r="Z475" s="393"/>
    </row>
    <row r="476">
      <c r="A476" s="393"/>
      <c r="B476" s="393"/>
      <c r="C476" s="393"/>
      <c r="D476" s="393"/>
      <c r="E476" s="393"/>
      <c r="F476" s="393"/>
      <c r="G476" s="393"/>
      <c r="H476" s="393"/>
      <c r="I476" s="393"/>
      <c r="J476" s="393"/>
      <c r="K476" s="393"/>
      <c r="L476" s="393"/>
      <c r="M476" s="393"/>
      <c r="N476" s="393"/>
      <c r="O476" s="393"/>
      <c r="P476" s="393"/>
      <c r="Q476" s="393"/>
      <c r="R476" s="393"/>
      <c r="S476" s="393"/>
      <c r="T476" s="393"/>
      <c r="U476" s="393"/>
      <c r="V476" s="393"/>
      <c r="W476" s="393"/>
      <c r="X476" s="393"/>
      <c r="Y476" s="393"/>
      <c r="Z476" s="393"/>
    </row>
    <row r="477">
      <c r="A477" s="393"/>
      <c r="B477" s="393"/>
      <c r="C477" s="393"/>
      <c r="D477" s="393"/>
      <c r="E477" s="393"/>
      <c r="F477" s="393"/>
      <c r="G477" s="393"/>
      <c r="H477" s="393"/>
      <c r="I477" s="393"/>
      <c r="J477" s="393"/>
      <c r="K477" s="393"/>
      <c r="L477" s="393"/>
      <c r="M477" s="393"/>
      <c r="N477" s="393"/>
      <c r="O477" s="393"/>
      <c r="P477" s="393"/>
      <c r="Q477" s="393"/>
      <c r="R477" s="393"/>
      <c r="S477" s="393"/>
      <c r="T477" s="393"/>
      <c r="U477" s="393"/>
      <c r="V477" s="393"/>
      <c r="W477" s="393"/>
      <c r="X477" s="393"/>
      <c r="Y477" s="393"/>
      <c r="Z477" s="393"/>
    </row>
    <row r="478">
      <c r="A478" s="393"/>
      <c r="B478" s="393"/>
      <c r="C478" s="393"/>
      <c r="D478" s="393"/>
      <c r="E478" s="393"/>
      <c r="F478" s="393"/>
      <c r="G478" s="393"/>
      <c r="H478" s="393"/>
      <c r="I478" s="393"/>
      <c r="J478" s="393"/>
      <c r="K478" s="393"/>
      <c r="L478" s="393"/>
      <c r="M478" s="393"/>
      <c r="N478" s="393"/>
      <c r="O478" s="393"/>
      <c r="P478" s="393"/>
      <c r="Q478" s="393"/>
      <c r="R478" s="393"/>
      <c r="S478" s="393"/>
      <c r="T478" s="393"/>
      <c r="U478" s="393"/>
      <c r="V478" s="393"/>
      <c r="W478" s="393"/>
      <c r="X478" s="393"/>
      <c r="Y478" s="393"/>
      <c r="Z478" s="393"/>
    </row>
    <row r="479">
      <c r="A479" s="393"/>
      <c r="B479" s="393"/>
      <c r="C479" s="393"/>
      <c r="D479" s="393"/>
      <c r="E479" s="393"/>
      <c r="F479" s="393"/>
      <c r="G479" s="393"/>
      <c r="H479" s="393"/>
      <c r="I479" s="393"/>
      <c r="J479" s="393"/>
      <c r="K479" s="393"/>
      <c r="L479" s="393"/>
      <c r="M479" s="393"/>
      <c r="N479" s="393"/>
      <c r="O479" s="393"/>
      <c r="P479" s="393"/>
      <c r="Q479" s="393"/>
      <c r="R479" s="393"/>
      <c r="S479" s="393"/>
      <c r="T479" s="393"/>
      <c r="U479" s="393"/>
      <c r="V479" s="393"/>
      <c r="W479" s="393"/>
      <c r="X479" s="393"/>
      <c r="Y479" s="393"/>
      <c r="Z479" s="393"/>
    </row>
    <row r="480">
      <c r="A480" s="393"/>
      <c r="B480" s="393"/>
      <c r="C480" s="393"/>
      <c r="D480" s="393"/>
      <c r="E480" s="393"/>
      <c r="F480" s="393"/>
      <c r="G480" s="393"/>
      <c r="H480" s="393"/>
      <c r="I480" s="393"/>
      <c r="J480" s="393"/>
      <c r="K480" s="393"/>
      <c r="L480" s="393"/>
      <c r="M480" s="393"/>
      <c r="N480" s="393"/>
      <c r="O480" s="393"/>
      <c r="P480" s="393"/>
      <c r="Q480" s="393"/>
      <c r="R480" s="393"/>
      <c r="S480" s="393"/>
      <c r="T480" s="393"/>
      <c r="U480" s="393"/>
      <c r="V480" s="393"/>
      <c r="W480" s="393"/>
      <c r="X480" s="393"/>
      <c r="Y480" s="393"/>
      <c r="Z480" s="393"/>
    </row>
    <row r="481">
      <c r="A481" s="393"/>
      <c r="B481" s="393"/>
      <c r="C481" s="393"/>
      <c r="D481" s="393"/>
      <c r="E481" s="393"/>
      <c r="F481" s="393"/>
      <c r="G481" s="393"/>
      <c r="H481" s="393"/>
      <c r="I481" s="393"/>
      <c r="J481" s="393"/>
      <c r="K481" s="393"/>
      <c r="L481" s="393"/>
      <c r="M481" s="393"/>
      <c r="N481" s="393"/>
      <c r="O481" s="393"/>
      <c r="P481" s="393"/>
      <c r="Q481" s="393"/>
      <c r="R481" s="393"/>
      <c r="S481" s="393"/>
      <c r="T481" s="393"/>
      <c r="U481" s="393"/>
      <c r="V481" s="393"/>
      <c r="W481" s="393"/>
      <c r="X481" s="393"/>
      <c r="Y481" s="393"/>
      <c r="Z481" s="393"/>
    </row>
    <row r="482">
      <c r="A482" s="393"/>
      <c r="B482" s="393"/>
      <c r="C482" s="393"/>
      <c r="D482" s="393"/>
      <c r="E482" s="393"/>
      <c r="F482" s="393"/>
      <c r="G482" s="393"/>
      <c r="H482" s="393"/>
      <c r="I482" s="393"/>
      <c r="J482" s="393"/>
      <c r="K482" s="393"/>
      <c r="L482" s="393"/>
      <c r="M482" s="393"/>
      <c r="N482" s="393"/>
      <c r="O482" s="393"/>
      <c r="P482" s="393"/>
      <c r="Q482" s="393"/>
      <c r="R482" s="393"/>
      <c r="S482" s="393"/>
      <c r="T482" s="393"/>
      <c r="U482" s="393"/>
      <c r="V482" s="393"/>
      <c r="W482" s="393"/>
      <c r="X482" s="393"/>
      <c r="Y482" s="393"/>
      <c r="Z482" s="393"/>
    </row>
    <row r="483">
      <c r="A483" s="393"/>
      <c r="B483" s="393"/>
      <c r="C483" s="393"/>
      <c r="D483" s="393"/>
      <c r="E483" s="393"/>
      <c r="F483" s="393"/>
      <c r="G483" s="393"/>
      <c r="H483" s="393"/>
      <c r="I483" s="393"/>
      <c r="J483" s="393"/>
      <c r="K483" s="393"/>
      <c r="L483" s="393"/>
      <c r="M483" s="393"/>
      <c r="N483" s="393"/>
      <c r="O483" s="393"/>
      <c r="P483" s="393"/>
      <c r="Q483" s="393"/>
      <c r="R483" s="393"/>
      <c r="S483" s="393"/>
      <c r="T483" s="393"/>
      <c r="U483" s="393"/>
      <c r="V483" s="393"/>
      <c r="W483" s="393"/>
      <c r="X483" s="393"/>
      <c r="Y483" s="393"/>
      <c r="Z483" s="393"/>
    </row>
    <row r="484">
      <c r="A484" s="393"/>
      <c r="B484" s="393"/>
      <c r="C484" s="393"/>
      <c r="D484" s="393"/>
      <c r="E484" s="393"/>
      <c r="F484" s="393"/>
      <c r="G484" s="393"/>
      <c r="H484" s="393"/>
      <c r="I484" s="393"/>
      <c r="J484" s="393"/>
      <c r="K484" s="393"/>
      <c r="L484" s="393"/>
      <c r="M484" s="393"/>
      <c r="N484" s="393"/>
      <c r="O484" s="393"/>
      <c r="P484" s="393"/>
      <c r="Q484" s="393"/>
      <c r="R484" s="393"/>
      <c r="S484" s="393"/>
      <c r="T484" s="393"/>
      <c r="U484" s="393"/>
      <c r="V484" s="393"/>
      <c r="W484" s="393"/>
      <c r="X484" s="393"/>
      <c r="Y484" s="393"/>
      <c r="Z484" s="393"/>
    </row>
    <row r="485">
      <c r="A485" s="393"/>
      <c r="B485" s="393"/>
      <c r="C485" s="393"/>
      <c r="D485" s="393"/>
      <c r="E485" s="393"/>
      <c r="F485" s="393"/>
      <c r="G485" s="393"/>
      <c r="H485" s="393"/>
      <c r="I485" s="393"/>
      <c r="J485" s="393"/>
      <c r="K485" s="393"/>
      <c r="L485" s="393"/>
      <c r="M485" s="393"/>
      <c r="N485" s="393"/>
      <c r="O485" s="393"/>
      <c r="P485" s="393"/>
      <c r="Q485" s="393"/>
      <c r="R485" s="393"/>
      <c r="S485" s="393"/>
      <c r="T485" s="393"/>
      <c r="U485" s="393"/>
      <c r="V485" s="393"/>
      <c r="W485" s="393"/>
      <c r="X485" s="393"/>
      <c r="Y485" s="393"/>
      <c r="Z485" s="393"/>
    </row>
    <row r="486">
      <c r="A486" s="393"/>
      <c r="B486" s="393"/>
      <c r="C486" s="393"/>
      <c r="D486" s="393"/>
      <c r="E486" s="393"/>
      <c r="F486" s="393"/>
      <c r="G486" s="393"/>
      <c r="H486" s="393"/>
      <c r="I486" s="393"/>
      <c r="J486" s="393"/>
      <c r="K486" s="393"/>
      <c r="L486" s="393"/>
      <c r="M486" s="393"/>
      <c r="N486" s="393"/>
      <c r="O486" s="393"/>
      <c r="P486" s="393"/>
      <c r="Q486" s="393"/>
      <c r="R486" s="393"/>
      <c r="S486" s="393"/>
      <c r="T486" s="393"/>
      <c r="U486" s="393"/>
      <c r="V486" s="393"/>
      <c r="W486" s="393"/>
      <c r="X486" s="393"/>
      <c r="Y486" s="393"/>
      <c r="Z486" s="393"/>
    </row>
    <row r="487">
      <c r="A487" s="393"/>
      <c r="B487" s="393"/>
      <c r="C487" s="393"/>
      <c r="D487" s="393"/>
      <c r="E487" s="393"/>
      <c r="F487" s="393"/>
      <c r="G487" s="393"/>
      <c r="H487" s="393"/>
      <c r="I487" s="393"/>
      <c r="J487" s="393"/>
      <c r="K487" s="393"/>
      <c r="L487" s="393"/>
      <c r="M487" s="393"/>
      <c r="N487" s="393"/>
      <c r="O487" s="393"/>
      <c r="P487" s="393"/>
      <c r="Q487" s="393"/>
      <c r="R487" s="393"/>
      <c r="S487" s="393"/>
      <c r="T487" s="393"/>
      <c r="U487" s="393"/>
      <c r="V487" s="393"/>
      <c r="W487" s="393"/>
      <c r="X487" s="393"/>
      <c r="Y487" s="393"/>
      <c r="Z487" s="393"/>
    </row>
    <row r="488">
      <c r="A488" s="393"/>
      <c r="B488" s="393"/>
      <c r="C488" s="393"/>
      <c r="D488" s="393"/>
      <c r="E488" s="393"/>
      <c r="F488" s="393"/>
      <c r="G488" s="393"/>
      <c r="H488" s="393"/>
      <c r="I488" s="393"/>
      <c r="J488" s="393"/>
      <c r="K488" s="393"/>
      <c r="L488" s="393"/>
      <c r="M488" s="393"/>
      <c r="N488" s="393"/>
      <c r="O488" s="393"/>
      <c r="P488" s="393"/>
      <c r="Q488" s="393"/>
      <c r="R488" s="393"/>
      <c r="S488" s="393"/>
      <c r="T488" s="393"/>
      <c r="U488" s="393"/>
      <c r="V488" s="393"/>
      <c r="W488" s="393"/>
      <c r="X488" s="393"/>
      <c r="Y488" s="393"/>
      <c r="Z488" s="393"/>
    </row>
    <row r="489">
      <c r="A489" s="393"/>
      <c r="B489" s="393"/>
      <c r="C489" s="393"/>
      <c r="D489" s="393"/>
      <c r="E489" s="393"/>
      <c r="F489" s="393"/>
      <c r="G489" s="393"/>
      <c r="H489" s="393"/>
      <c r="I489" s="393"/>
      <c r="J489" s="393"/>
      <c r="K489" s="393"/>
      <c r="L489" s="393"/>
      <c r="M489" s="393"/>
      <c r="N489" s="393"/>
      <c r="O489" s="393"/>
      <c r="P489" s="393"/>
      <c r="Q489" s="393"/>
      <c r="R489" s="393"/>
      <c r="S489" s="393"/>
      <c r="T489" s="393"/>
      <c r="U489" s="393"/>
      <c r="V489" s="393"/>
      <c r="W489" s="393"/>
      <c r="X489" s="393"/>
      <c r="Y489" s="393"/>
      <c r="Z489" s="393"/>
    </row>
    <row r="490">
      <c r="A490" s="393"/>
      <c r="B490" s="393"/>
      <c r="C490" s="393"/>
      <c r="D490" s="393"/>
      <c r="E490" s="393"/>
      <c r="F490" s="393"/>
      <c r="G490" s="393"/>
      <c r="H490" s="393"/>
      <c r="I490" s="393"/>
      <c r="J490" s="393"/>
      <c r="K490" s="393"/>
      <c r="L490" s="393"/>
      <c r="M490" s="393"/>
      <c r="N490" s="393"/>
      <c r="O490" s="393"/>
      <c r="P490" s="393"/>
      <c r="Q490" s="393"/>
      <c r="R490" s="393"/>
      <c r="S490" s="393"/>
      <c r="T490" s="393"/>
      <c r="U490" s="393"/>
      <c r="V490" s="393"/>
      <c r="W490" s="393"/>
      <c r="X490" s="393"/>
      <c r="Y490" s="393"/>
      <c r="Z490" s="393"/>
    </row>
    <row r="491">
      <c r="A491" s="393"/>
      <c r="B491" s="393"/>
      <c r="C491" s="393"/>
      <c r="D491" s="393"/>
      <c r="E491" s="393"/>
      <c r="F491" s="393"/>
      <c r="G491" s="393"/>
      <c r="H491" s="393"/>
      <c r="I491" s="393"/>
      <c r="J491" s="393"/>
      <c r="K491" s="393"/>
      <c r="L491" s="393"/>
      <c r="M491" s="393"/>
      <c r="N491" s="393"/>
      <c r="O491" s="393"/>
      <c r="P491" s="393"/>
      <c r="Q491" s="393"/>
      <c r="R491" s="393"/>
      <c r="S491" s="393"/>
      <c r="T491" s="393"/>
      <c r="U491" s="393"/>
      <c r="V491" s="393"/>
      <c r="W491" s="393"/>
      <c r="X491" s="393"/>
      <c r="Y491" s="393"/>
      <c r="Z491" s="393"/>
    </row>
    <row r="492">
      <c r="A492" s="393"/>
      <c r="B492" s="393"/>
      <c r="C492" s="393"/>
      <c r="D492" s="393"/>
      <c r="E492" s="393"/>
      <c r="F492" s="393"/>
      <c r="G492" s="393"/>
      <c r="H492" s="393"/>
      <c r="I492" s="393"/>
      <c r="J492" s="393"/>
      <c r="K492" s="393"/>
      <c r="L492" s="393"/>
      <c r="M492" s="393"/>
      <c r="N492" s="393"/>
      <c r="O492" s="393"/>
      <c r="P492" s="393"/>
      <c r="Q492" s="393"/>
      <c r="R492" s="393"/>
      <c r="S492" s="393"/>
      <c r="T492" s="393"/>
      <c r="U492" s="393"/>
      <c r="V492" s="393"/>
      <c r="W492" s="393"/>
      <c r="X492" s="393"/>
      <c r="Y492" s="393"/>
      <c r="Z492" s="393"/>
    </row>
    <row r="493">
      <c r="A493" s="393"/>
      <c r="B493" s="393"/>
      <c r="C493" s="393"/>
      <c r="D493" s="393"/>
      <c r="E493" s="393"/>
      <c r="F493" s="393"/>
      <c r="G493" s="393"/>
      <c r="H493" s="393"/>
      <c r="I493" s="393"/>
      <c r="J493" s="393"/>
      <c r="K493" s="393"/>
      <c r="L493" s="393"/>
      <c r="M493" s="393"/>
      <c r="N493" s="393"/>
      <c r="O493" s="393"/>
      <c r="P493" s="393"/>
      <c r="Q493" s="393"/>
      <c r="R493" s="393"/>
      <c r="S493" s="393"/>
      <c r="T493" s="393"/>
      <c r="U493" s="393"/>
      <c r="V493" s="393"/>
      <c r="W493" s="393"/>
      <c r="X493" s="393"/>
      <c r="Y493" s="393"/>
      <c r="Z493" s="393"/>
    </row>
    <row r="494">
      <c r="A494" s="393"/>
      <c r="B494" s="393"/>
      <c r="C494" s="393"/>
      <c r="D494" s="393"/>
      <c r="E494" s="393"/>
      <c r="F494" s="393"/>
      <c r="G494" s="393"/>
      <c r="H494" s="393"/>
      <c r="I494" s="393"/>
      <c r="J494" s="393"/>
      <c r="K494" s="393"/>
      <c r="L494" s="393"/>
      <c r="M494" s="393"/>
      <c r="N494" s="393"/>
      <c r="O494" s="393"/>
      <c r="P494" s="393"/>
      <c r="Q494" s="393"/>
      <c r="R494" s="393"/>
      <c r="S494" s="393"/>
      <c r="T494" s="393"/>
      <c r="U494" s="393"/>
      <c r="V494" s="393"/>
      <c r="W494" s="393"/>
      <c r="X494" s="393"/>
      <c r="Y494" s="393"/>
      <c r="Z494" s="393"/>
    </row>
    <row r="495">
      <c r="A495" s="393"/>
      <c r="B495" s="393"/>
      <c r="C495" s="393"/>
      <c r="D495" s="393"/>
      <c r="E495" s="393"/>
      <c r="F495" s="393"/>
      <c r="G495" s="393"/>
      <c r="H495" s="393"/>
      <c r="I495" s="393"/>
      <c r="J495" s="393"/>
      <c r="K495" s="393"/>
      <c r="L495" s="393"/>
      <c r="M495" s="393"/>
      <c r="N495" s="393"/>
      <c r="O495" s="393"/>
      <c r="P495" s="393"/>
      <c r="Q495" s="393"/>
      <c r="R495" s="393"/>
      <c r="S495" s="393"/>
      <c r="T495" s="393"/>
      <c r="U495" s="393"/>
      <c r="V495" s="393"/>
      <c r="W495" s="393"/>
      <c r="X495" s="393"/>
      <c r="Y495" s="393"/>
      <c r="Z495" s="393"/>
    </row>
    <row r="496">
      <c r="A496" s="393"/>
      <c r="B496" s="393"/>
      <c r="C496" s="393"/>
      <c r="D496" s="393"/>
      <c r="E496" s="393"/>
      <c r="F496" s="393"/>
      <c r="G496" s="393"/>
      <c r="H496" s="393"/>
      <c r="I496" s="393"/>
      <c r="J496" s="393"/>
      <c r="K496" s="393"/>
      <c r="L496" s="393"/>
      <c r="M496" s="393"/>
      <c r="N496" s="393"/>
      <c r="O496" s="393"/>
      <c r="P496" s="393"/>
      <c r="Q496" s="393"/>
      <c r="R496" s="393"/>
      <c r="S496" s="393"/>
      <c r="T496" s="393"/>
      <c r="U496" s="393"/>
      <c r="V496" s="393"/>
      <c r="W496" s="393"/>
      <c r="X496" s="393"/>
      <c r="Y496" s="393"/>
      <c r="Z496" s="393"/>
    </row>
    <row r="497">
      <c r="A497" s="393"/>
      <c r="B497" s="393"/>
      <c r="C497" s="393"/>
      <c r="D497" s="393"/>
      <c r="E497" s="393"/>
      <c r="F497" s="393"/>
      <c r="G497" s="393"/>
      <c r="H497" s="393"/>
      <c r="I497" s="393"/>
      <c r="J497" s="393"/>
      <c r="K497" s="393"/>
      <c r="L497" s="393"/>
      <c r="M497" s="393"/>
      <c r="N497" s="393"/>
      <c r="O497" s="393"/>
      <c r="P497" s="393"/>
      <c r="Q497" s="393"/>
      <c r="R497" s="393"/>
      <c r="S497" s="393"/>
      <c r="T497" s="393"/>
      <c r="U497" s="393"/>
      <c r="V497" s="393"/>
      <c r="W497" s="393"/>
      <c r="X497" s="393"/>
      <c r="Y497" s="393"/>
      <c r="Z497" s="393"/>
    </row>
    <row r="498">
      <c r="A498" s="393"/>
      <c r="B498" s="393"/>
      <c r="C498" s="393"/>
      <c r="D498" s="393"/>
      <c r="E498" s="393"/>
      <c r="F498" s="393"/>
      <c r="G498" s="393"/>
      <c r="H498" s="393"/>
      <c r="I498" s="393"/>
      <c r="J498" s="393"/>
      <c r="K498" s="393"/>
      <c r="L498" s="393"/>
      <c r="M498" s="393"/>
      <c r="N498" s="393"/>
      <c r="O498" s="393"/>
      <c r="P498" s="393"/>
      <c r="Q498" s="393"/>
      <c r="R498" s="393"/>
      <c r="S498" s="393"/>
      <c r="T498" s="393"/>
      <c r="U498" s="393"/>
      <c r="V498" s="393"/>
      <c r="W498" s="393"/>
      <c r="X498" s="393"/>
      <c r="Y498" s="393"/>
      <c r="Z498" s="393"/>
    </row>
    <row r="499">
      <c r="A499" s="393"/>
      <c r="B499" s="393"/>
      <c r="C499" s="393"/>
      <c r="D499" s="393"/>
      <c r="E499" s="393"/>
      <c r="F499" s="393"/>
      <c r="G499" s="393"/>
      <c r="H499" s="393"/>
      <c r="I499" s="393"/>
      <c r="J499" s="393"/>
      <c r="K499" s="393"/>
      <c r="L499" s="393"/>
      <c r="M499" s="393"/>
      <c r="N499" s="393"/>
      <c r="O499" s="393"/>
      <c r="P499" s="393"/>
      <c r="Q499" s="393"/>
      <c r="R499" s="393"/>
      <c r="S499" s="393"/>
      <c r="T499" s="393"/>
      <c r="U499" s="393"/>
      <c r="V499" s="393"/>
      <c r="W499" s="393"/>
      <c r="X499" s="393"/>
      <c r="Y499" s="393"/>
      <c r="Z499" s="393"/>
    </row>
    <row r="500">
      <c r="A500" s="393"/>
      <c r="B500" s="393"/>
      <c r="C500" s="393"/>
      <c r="D500" s="393"/>
      <c r="E500" s="393"/>
      <c r="F500" s="393"/>
      <c r="G500" s="393"/>
      <c r="H500" s="393"/>
      <c r="I500" s="393"/>
      <c r="J500" s="393"/>
      <c r="K500" s="393"/>
      <c r="L500" s="393"/>
      <c r="M500" s="393"/>
      <c r="N500" s="393"/>
      <c r="O500" s="393"/>
      <c r="P500" s="393"/>
      <c r="Q500" s="393"/>
      <c r="R500" s="393"/>
      <c r="S500" s="393"/>
      <c r="T500" s="393"/>
      <c r="U500" s="393"/>
      <c r="V500" s="393"/>
      <c r="W500" s="393"/>
      <c r="X500" s="393"/>
      <c r="Y500" s="393"/>
      <c r="Z500" s="393"/>
    </row>
    <row r="501">
      <c r="A501" s="393"/>
      <c r="B501" s="393"/>
      <c r="C501" s="393"/>
      <c r="D501" s="393"/>
      <c r="E501" s="393"/>
      <c r="F501" s="393"/>
      <c r="G501" s="393"/>
      <c r="H501" s="393"/>
      <c r="I501" s="393"/>
      <c r="J501" s="393"/>
      <c r="K501" s="393"/>
      <c r="L501" s="393"/>
      <c r="M501" s="393"/>
      <c r="N501" s="393"/>
      <c r="O501" s="393"/>
      <c r="P501" s="393"/>
      <c r="Q501" s="393"/>
      <c r="R501" s="393"/>
      <c r="S501" s="393"/>
      <c r="T501" s="393"/>
      <c r="U501" s="393"/>
      <c r="V501" s="393"/>
      <c r="W501" s="393"/>
      <c r="X501" s="393"/>
      <c r="Y501" s="393"/>
      <c r="Z501" s="393"/>
    </row>
    <row r="502">
      <c r="A502" s="393"/>
      <c r="B502" s="393"/>
      <c r="C502" s="393"/>
      <c r="D502" s="393"/>
      <c r="E502" s="393"/>
      <c r="F502" s="393"/>
      <c r="G502" s="393"/>
      <c r="H502" s="393"/>
      <c r="I502" s="393"/>
      <c r="J502" s="393"/>
      <c r="K502" s="393"/>
      <c r="L502" s="393"/>
      <c r="M502" s="393"/>
      <c r="N502" s="393"/>
      <c r="O502" s="393"/>
      <c r="P502" s="393"/>
      <c r="Q502" s="393"/>
      <c r="R502" s="393"/>
      <c r="S502" s="393"/>
      <c r="T502" s="393"/>
      <c r="U502" s="393"/>
      <c r="V502" s="393"/>
      <c r="W502" s="393"/>
      <c r="X502" s="393"/>
      <c r="Y502" s="393"/>
      <c r="Z502" s="393"/>
    </row>
    <row r="503">
      <c r="A503" s="393"/>
      <c r="B503" s="393"/>
      <c r="C503" s="393"/>
      <c r="D503" s="393"/>
      <c r="E503" s="393"/>
      <c r="F503" s="393"/>
      <c r="G503" s="393"/>
      <c r="H503" s="393"/>
      <c r="I503" s="393"/>
      <c r="J503" s="393"/>
      <c r="K503" s="393"/>
      <c r="L503" s="393"/>
      <c r="M503" s="393"/>
      <c r="N503" s="393"/>
      <c r="O503" s="393"/>
      <c r="P503" s="393"/>
      <c r="Q503" s="393"/>
      <c r="R503" s="393"/>
      <c r="S503" s="393"/>
      <c r="T503" s="393"/>
      <c r="U503" s="393"/>
      <c r="V503" s="393"/>
      <c r="W503" s="393"/>
      <c r="X503" s="393"/>
      <c r="Y503" s="393"/>
      <c r="Z503" s="393"/>
    </row>
    <row r="504">
      <c r="A504" s="393"/>
      <c r="B504" s="393"/>
      <c r="C504" s="393"/>
      <c r="D504" s="393"/>
      <c r="E504" s="393"/>
      <c r="F504" s="393"/>
      <c r="G504" s="393"/>
      <c r="H504" s="393"/>
      <c r="I504" s="393"/>
      <c r="J504" s="393"/>
      <c r="K504" s="393"/>
      <c r="L504" s="393"/>
      <c r="M504" s="393"/>
      <c r="N504" s="393"/>
      <c r="O504" s="393"/>
      <c r="P504" s="393"/>
      <c r="Q504" s="393"/>
      <c r="R504" s="393"/>
      <c r="S504" s="393"/>
      <c r="T504" s="393"/>
      <c r="U504" s="393"/>
      <c r="V504" s="393"/>
      <c r="W504" s="393"/>
      <c r="X504" s="393"/>
      <c r="Y504" s="393"/>
      <c r="Z504" s="393"/>
    </row>
    <row r="505">
      <c r="A505" s="393"/>
      <c r="B505" s="393"/>
      <c r="C505" s="393"/>
      <c r="D505" s="393"/>
      <c r="E505" s="393"/>
      <c r="F505" s="393"/>
      <c r="G505" s="393"/>
      <c r="H505" s="393"/>
      <c r="I505" s="393"/>
      <c r="J505" s="393"/>
      <c r="K505" s="393"/>
      <c r="L505" s="393"/>
      <c r="M505" s="393"/>
      <c r="N505" s="393"/>
      <c r="O505" s="393"/>
      <c r="P505" s="393"/>
      <c r="Q505" s="393"/>
      <c r="R505" s="393"/>
      <c r="S505" s="393"/>
      <c r="T505" s="393"/>
      <c r="U505" s="393"/>
      <c r="V505" s="393"/>
      <c r="W505" s="393"/>
      <c r="X505" s="393"/>
      <c r="Y505" s="393"/>
      <c r="Z505" s="393"/>
    </row>
    <row r="506">
      <c r="A506" s="393"/>
      <c r="B506" s="393"/>
      <c r="C506" s="393"/>
      <c r="D506" s="393"/>
      <c r="E506" s="393"/>
      <c r="F506" s="393"/>
      <c r="G506" s="393"/>
      <c r="H506" s="393"/>
      <c r="I506" s="393"/>
      <c r="J506" s="393"/>
      <c r="K506" s="393"/>
      <c r="L506" s="393"/>
      <c r="M506" s="393"/>
      <c r="N506" s="393"/>
      <c r="O506" s="393"/>
      <c r="P506" s="393"/>
      <c r="Q506" s="393"/>
      <c r="R506" s="393"/>
      <c r="S506" s="393"/>
      <c r="T506" s="393"/>
      <c r="U506" s="393"/>
      <c r="V506" s="393"/>
      <c r="W506" s="393"/>
      <c r="X506" s="393"/>
      <c r="Y506" s="393"/>
      <c r="Z506" s="393"/>
    </row>
    <row r="507">
      <c r="A507" s="393"/>
      <c r="B507" s="393"/>
      <c r="C507" s="393"/>
      <c r="D507" s="393"/>
      <c r="E507" s="393"/>
      <c r="F507" s="393"/>
      <c r="G507" s="393"/>
      <c r="H507" s="393"/>
      <c r="I507" s="393"/>
      <c r="J507" s="393"/>
      <c r="K507" s="393"/>
      <c r="L507" s="393"/>
      <c r="M507" s="393"/>
      <c r="N507" s="393"/>
      <c r="O507" s="393"/>
      <c r="P507" s="393"/>
      <c r="Q507" s="393"/>
      <c r="R507" s="393"/>
      <c r="S507" s="393"/>
      <c r="T507" s="393"/>
      <c r="U507" s="393"/>
      <c r="V507" s="393"/>
      <c r="W507" s="393"/>
      <c r="X507" s="393"/>
      <c r="Y507" s="393"/>
      <c r="Z507" s="393"/>
    </row>
    <row r="508">
      <c r="A508" s="393"/>
      <c r="B508" s="393"/>
      <c r="C508" s="393"/>
      <c r="D508" s="393"/>
      <c r="E508" s="393"/>
      <c r="F508" s="393"/>
      <c r="G508" s="393"/>
      <c r="H508" s="393"/>
      <c r="I508" s="393"/>
      <c r="J508" s="393"/>
      <c r="K508" s="393"/>
      <c r="L508" s="393"/>
      <c r="M508" s="393"/>
      <c r="N508" s="393"/>
      <c r="O508" s="393"/>
      <c r="P508" s="393"/>
      <c r="Q508" s="393"/>
      <c r="R508" s="393"/>
      <c r="S508" s="393"/>
      <c r="T508" s="393"/>
      <c r="U508" s="393"/>
      <c r="V508" s="393"/>
      <c r="W508" s="393"/>
      <c r="X508" s="393"/>
      <c r="Y508" s="393"/>
      <c r="Z508" s="393"/>
    </row>
    <row r="509">
      <c r="A509" s="393"/>
      <c r="B509" s="393"/>
      <c r="C509" s="393"/>
      <c r="D509" s="393"/>
      <c r="E509" s="393"/>
      <c r="F509" s="393"/>
      <c r="G509" s="393"/>
      <c r="H509" s="393"/>
      <c r="I509" s="393"/>
      <c r="J509" s="393"/>
      <c r="K509" s="393"/>
      <c r="L509" s="393"/>
      <c r="M509" s="393"/>
      <c r="N509" s="393"/>
      <c r="O509" s="393"/>
      <c r="P509" s="393"/>
      <c r="Q509" s="393"/>
      <c r="R509" s="393"/>
      <c r="S509" s="393"/>
      <c r="T509" s="393"/>
      <c r="U509" s="393"/>
      <c r="V509" s="393"/>
      <c r="W509" s="393"/>
      <c r="X509" s="393"/>
      <c r="Y509" s="393"/>
      <c r="Z509" s="393"/>
    </row>
    <row r="510">
      <c r="A510" s="393"/>
      <c r="B510" s="393"/>
      <c r="C510" s="393"/>
      <c r="D510" s="393"/>
      <c r="E510" s="393"/>
      <c r="F510" s="393"/>
      <c r="G510" s="393"/>
      <c r="H510" s="393"/>
      <c r="I510" s="393"/>
      <c r="J510" s="393"/>
      <c r="K510" s="393"/>
      <c r="L510" s="393"/>
      <c r="M510" s="393"/>
      <c r="N510" s="393"/>
      <c r="O510" s="393"/>
      <c r="P510" s="393"/>
      <c r="Q510" s="393"/>
      <c r="R510" s="393"/>
      <c r="S510" s="393"/>
      <c r="T510" s="393"/>
      <c r="U510" s="393"/>
      <c r="V510" s="393"/>
      <c r="W510" s="393"/>
      <c r="X510" s="393"/>
      <c r="Y510" s="393"/>
      <c r="Z510" s="393"/>
    </row>
    <row r="511">
      <c r="A511" s="393"/>
      <c r="B511" s="393"/>
      <c r="C511" s="393"/>
      <c r="D511" s="393"/>
      <c r="E511" s="393"/>
      <c r="F511" s="393"/>
      <c r="G511" s="393"/>
      <c r="H511" s="393"/>
      <c r="I511" s="393"/>
      <c r="J511" s="393"/>
      <c r="K511" s="393"/>
      <c r="L511" s="393"/>
      <c r="M511" s="393"/>
      <c r="N511" s="393"/>
      <c r="O511" s="393"/>
      <c r="P511" s="393"/>
      <c r="Q511" s="393"/>
      <c r="R511" s="393"/>
      <c r="S511" s="393"/>
      <c r="T511" s="393"/>
      <c r="U511" s="393"/>
      <c r="V511" s="393"/>
      <c r="W511" s="393"/>
      <c r="X511" s="393"/>
      <c r="Y511" s="393"/>
      <c r="Z511" s="393"/>
    </row>
    <row r="512">
      <c r="A512" s="393"/>
      <c r="B512" s="393"/>
      <c r="C512" s="393"/>
      <c r="D512" s="393"/>
      <c r="E512" s="393"/>
      <c r="F512" s="393"/>
      <c r="G512" s="393"/>
      <c r="H512" s="393"/>
      <c r="I512" s="393"/>
      <c r="J512" s="393"/>
      <c r="K512" s="393"/>
      <c r="L512" s="393"/>
      <c r="M512" s="393"/>
      <c r="N512" s="393"/>
      <c r="O512" s="393"/>
      <c r="P512" s="393"/>
      <c r="Q512" s="393"/>
      <c r="R512" s="393"/>
      <c r="S512" s="393"/>
      <c r="T512" s="393"/>
      <c r="U512" s="393"/>
      <c r="V512" s="393"/>
      <c r="W512" s="393"/>
      <c r="X512" s="393"/>
      <c r="Y512" s="393"/>
      <c r="Z512" s="393"/>
    </row>
    <row r="513">
      <c r="A513" s="393"/>
      <c r="B513" s="393"/>
      <c r="C513" s="393"/>
      <c r="D513" s="393"/>
      <c r="E513" s="393"/>
      <c r="F513" s="393"/>
      <c r="G513" s="393"/>
      <c r="H513" s="393"/>
      <c r="I513" s="393"/>
      <c r="J513" s="393"/>
      <c r="K513" s="393"/>
      <c r="L513" s="393"/>
      <c r="M513" s="393"/>
      <c r="N513" s="393"/>
      <c r="O513" s="393"/>
      <c r="P513" s="393"/>
      <c r="Q513" s="393"/>
      <c r="R513" s="393"/>
      <c r="S513" s="393"/>
      <c r="T513" s="393"/>
      <c r="U513" s="393"/>
      <c r="V513" s="393"/>
      <c r="W513" s="393"/>
      <c r="X513" s="393"/>
      <c r="Y513" s="393"/>
      <c r="Z513" s="393"/>
    </row>
    <row r="514">
      <c r="A514" s="393"/>
      <c r="B514" s="393"/>
      <c r="C514" s="393"/>
      <c r="D514" s="393"/>
      <c r="E514" s="393"/>
      <c r="F514" s="393"/>
      <c r="G514" s="393"/>
      <c r="H514" s="393"/>
      <c r="I514" s="393"/>
      <c r="J514" s="393"/>
      <c r="K514" s="393"/>
      <c r="L514" s="393"/>
      <c r="M514" s="393"/>
      <c r="N514" s="393"/>
      <c r="O514" s="393"/>
      <c r="P514" s="393"/>
      <c r="Q514" s="393"/>
      <c r="R514" s="393"/>
      <c r="S514" s="393"/>
      <c r="T514" s="393"/>
      <c r="U514" s="393"/>
      <c r="V514" s="393"/>
      <c r="W514" s="393"/>
      <c r="X514" s="393"/>
      <c r="Y514" s="393"/>
      <c r="Z514" s="393"/>
    </row>
    <row r="515">
      <c r="A515" s="393"/>
      <c r="B515" s="393"/>
      <c r="C515" s="393"/>
      <c r="D515" s="393"/>
      <c r="E515" s="393"/>
      <c r="F515" s="393"/>
      <c r="G515" s="393"/>
      <c r="H515" s="393"/>
      <c r="I515" s="393"/>
      <c r="J515" s="393"/>
      <c r="K515" s="393"/>
      <c r="L515" s="393"/>
      <c r="M515" s="393"/>
      <c r="N515" s="393"/>
      <c r="O515" s="393"/>
      <c r="P515" s="393"/>
      <c r="Q515" s="393"/>
      <c r="R515" s="393"/>
      <c r="S515" s="393"/>
      <c r="T515" s="393"/>
      <c r="U515" s="393"/>
      <c r="V515" s="393"/>
      <c r="W515" s="393"/>
      <c r="X515" s="393"/>
      <c r="Y515" s="393"/>
      <c r="Z515" s="393"/>
    </row>
    <row r="516">
      <c r="A516" s="393"/>
      <c r="B516" s="393"/>
      <c r="C516" s="393"/>
      <c r="D516" s="393"/>
      <c r="E516" s="393"/>
      <c r="F516" s="393"/>
      <c r="G516" s="393"/>
      <c r="H516" s="393"/>
      <c r="I516" s="393"/>
      <c r="J516" s="393"/>
      <c r="K516" s="393"/>
      <c r="L516" s="393"/>
      <c r="M516" s="393"/>
      <c r="N516" s="393"/>
      <c r="O516" s="393"/>
      <c r="P516" s="393"/>
      <c r="Q516" s="393"/>
      <c r="R516" s="393"/>
      <c r="S516" s="393"/>
      <c r="T516" s="393"/>
      <c r="U516" s="393"/>
      <c r="V516" s="393"/>
      <c r="W516" s="393"/>
      <c r="X516" s="393"/>
      <c r="Y516" s="393"/>
      <c r="Z516" s="393"/>
    </row>
    <row r="517">
      <c r="A517" s="393"/>
      <c r="B517" s="393"/>
      <c r="C517" s="393"/>
      <c r="D517" s="393"/>
      <c r="E517" s="393"/>
      <c r="F517" s="393"/>
      <c r="G517" s="393"/>
      <c r="H517" s="393"/>
      <c r="I517" s="393"/>
      <c r="J517" s="393"/>
      <c r="K517" s="393"/>
      <c r="L517" s="393"/>
      <c r="M517" s="393"/>
      <c r="N517" s="393"/>
      <c r="O517" s="393"/>
      <c r="P517" s="393"/>
      <c r="Q517" s="393"/>
      <c r="R517" s="393"/>
      <c r="S517" s="393"/>
      <c r="T517" s="393"/>
      <c r="U517" s="393"/>
      <c r="V517" s="393"/>
      <c r="W517" s="393"/>
      <c r="X517" s="393"/>
      <c r="Y517" s="393"/>
      <c r="Z517" s="393"/>
    </row>
    <row r="518">
      <c r="A518" s="393"/>
      <c r="B518" s="393"/>
      <c r="C518" s="393"/>
      <c r="D518" s="393"/>
      <c r="E518" s="393"/>
      <c r="F518" s="393"/>
      <c r="G518" s="393"/>
      <c r="H518" s="393"/>
      <c r="I518" s="393"/>
      <c r="J518" s="393"/>
      <c r="K518" s="393"/>
      <c r="L518" s="393"/>
      <c r="M518" s="393"/>
      <c r="N518" s="393"/>
      <c r="O518" s="393"/>
      <c r="P518" s="393"/>
      <c r="Q518" s="393"/>
      <c r="R518" s="393"/>
      <c r="S518" s="393"/>
      <c r="T518" s="393"/>
      <c r="U518" s="393"/>
      <c r="V518" s="393"/>
      <c r="W518" s="393"/>
      <c r="X518" s="393"/>
      <c r="Y518" s="393"/>
      <c r="Z518" s="393"/>
    </row>
    <row r="519">
      <c r="A519" s="393"/>
      <c r="B519" s="393"/>
      <c r="C519" s="393"/>
      <c r="D519" s="393"/>
      <c r="E519" s="393"/>
      <c r="F519" s="393"/>
      <c r="G519" s="393"/>
      <c r="H519" s="393"/>
      <c r="I519" s="393"/>
      <c r="J519" s="393"/>
      <c r="K519" s="393"/>
      <c r="L519" s="393"/>
      <c r="M519" s="393"/>
      <c r="N519" s="393"/>
      <c r="O519" s="393"/>
      <c r="P519" s="393"/>
      <c r="Q519" s="393"/>
      <c r="R519" s="393"/>
      <c r="S519" s="393"/>
      <c r="T519" s="393"/>
      <c r="U519" s="393"/>
      <c r="V519" s="393"/>
      <c r="W519" s="393"/>
      <c r="X519" s="393"/>
      <c r="Y519" s="393"/>
      <c r="Z519" s="393"/>
    </row>
    <row r="520">
      <c r="A520" s="393"/>
      <c r="B520" s="393"/>
      <c r="C520" s="393"/>
      <c r="D520" s="393"/>
      <c r="E520" s="393"/>
      <c r="F520" s="393"/>
      <c r="G520" s="393"/>
      <c r="H520" s="393"/>
      <c r="I520" s="393"/>
      <c r="J520" s="393"/>
      <c r="K520" s="393"/>
      <c r="L520" s="393"/>
      <c r="M520" s="393"/>
      <c r="N520" s="393"/>
      <c r="O520" s="393"/>
      <c r="P520" s="393"/>
      <c r="Q520" s="393"/>
      <c r="R520" s="393"/>
      <c r="S520" s="393"/>
      <c r="T520" s="393"/>
      <c r="U520" s="393"/>
      <c r="V520" s="393"/>
      <c r="W520" s="393"/>
      <c r="X520" s="393"/>
      <c r="Y520" s="393"/>
      <c r="Z520" s="393"/>
    </row>
    <row r="521">
      <c r="A521" s="393"/>
      <c r="B521" s="393"/>
      <c r="C521" s="393"/>
      <c r="D521" s="393"/>
      <c r="E521" s="393"/>
      <c r="F521" s="393"/>
      <c r="G521" s="393"/>
      <c r="H521" s="393"/>
      <c r="I521" s="393"/>
      <c r="J521" s="393"/>
      <c r="K521" s="393"/>
      <c r="L521" s="393"/>
      <c r="M521" s="393"/>
      <c r="N521" s="393"/>
      <c r="O521" s="393"/>
      <c r="P521" s="393"/>
      <c r="Q521" s="393"/>
      <c r="R521" s="393"/>
      <c r="S521" s="393"/>
      <c r="T521" s="393"/>
      <c r="U521" s="393"/>
      <c r="V521" s="393"/>
      <c r="W521" s="393"/>
      <c r="X521" s="393"/>
      <c r="Y521" s="393"/>
      <c r="Z521" s="393"/>
    </row>
    <row r="522">
      <c r="A522" s="393"/>
      <c r="B522" s="393"/>
      <c r="C522" s="393"/>
      <c r="D522" s="393"/>
      <c r="E522" s="393"/>
      <c r="F522" s="393"/>
      <c r="G522" s="393"/>
      <c r="H522" s="393"/>
      <c r="I522" s="393"/>
      <c r="J522" s="393"/>
      <c r="K522" s="393"/>
      <c r="L522" s="393"/>
      <c r="M522" s="393"/>
      <c r="N522" s="393"/>
      <c r="O522" s="393"/>
      <c r="P522" s="393"/>
      <c r="Q522" s="393"/>
      <c r="R522" s="393"/>
      <c r="S522" s="393"/>
      <c r="T522" s="393"/>
      <c r="U522" s="393"/>
      <c r="V522" s="393"/>
      <c r="W522" s="393"/>
      <c r="X522" s="393"/>
      <c r="Y522" s="393"/>
      <c r="Z522" s="393"/>
    </row>
    <row r="523">
      <c r="A523" s="393"/>
      <c r="B523" s="393"/>
      <c r="C523" s="393"/>
      <c r="D523" s="393"/>
      <c r="E523" s="393"/>
      <c r="F523" s="393"/>
      <c r="G523" s="393"/>
      <c r="H523" s="393"/>
      <c r="I523" s="393"/>
      <c r="J523" s="393"/>
      <c r="K523" s="393"/>
      <c r="L523" s="393"/>
      <c r="M523" s="393"/>
      <c r="N523" s="393"/>
      <c r="O523" s="393"/>
      <c r="P523" s="393"/>
      <c r="Q523" s="393"/>
      <c r="R523" s="393"/>
      <c r="S523" s="393"/>
      <c r="T523" s="393"/>
      <c r="U523" s="393"/>
      <c r="V523" s="393"/>
      <c r="W523" s="393"/>
      <c r="X523" s="393"/>
      <c r="Y523" s="393"/>
      <c r="Z523" s="393"/>
    </row>
    <row r="524">
      <c r="A524" s="393"/>
      <c r="B524" s="393"/>
      <c r="C524" s="393"/>
      <c r="D524" s="393"/>
      <c r="E524" s="393"/>
      <c r="F524" s="393"/>
      <c r="G524" s="393"/>
      <c r="H524" s="393"/>
      <c r="I524" s="393"/>
      <c r="J524" s="393"/>
      <c r="K524" s="393"/>
      <c r="L524" s="393"/>
      <c r="M524" s="393"/>
      <c r="N524" s="393"/>
      <c r="O524" s="393"/>
      <c r="P524" s="393"/>
      <c r="Q524" s="393"/>
      <c r="R524" s="393"/>
      <c r="S524" s="393"/>
      <c r="T524" s="393"/>
      <c r="U524" s="393"/>
      <c r="V524" s="393"/>
      <c r="W524" s="393"/>
      <c r="X524" s="393"/>
      <c r="Y524" s="393"/>
      <c r="Z524" s="393"/>
    </row>
    <row r="525">
      <c r="A525" s="393"/>
      <c r="B525" s="393"/>
      <c r="C525" s="393"/>
      <c r="D525" s="393"/>
      <c r="E525" s="393"/>
      <c r="F525" s="393"/>
      <c r="G525" s="393"/>
      <c r="H525" s="393"/>
      <c r="I525" s="393"/>
      <c r="J525" s="393"/>
      <c r="K525" s="393"/>
      <c r="L525" s="393"/>
      <c r="M525" s="393"/>
      <c r="N525" s="393"/>
      <c r="O525" s="393"/>
      <c r="P525" s="393"/>
      <c r="Q525" s="393"/>
      <c r="R525" s="393"/>
      <c r="S525" s="393"/>
      <c r="T525" s="393"/>
      <c r="U525" s="393"/>
      <c r="V525" s="393"/>
      <c r="W525" s="393"/>
      <c r="X525" s="393"/>
      <c r="Y525" s="393"/>
      <c r="Z525" s="393"/>
    </row>
    <row r="526">
      <c r="A526" s="393"/>
      <c r="B526" s="393"/>
      <c r="C526" s="393"/>
      <c r="D526" s="393"/>
      <c r="E526" s="393"/>
      <c r="F526" s="393"/>
      <c r="G526" s="393"/>
      <c r="H526" s="393"/>
      <c r="I526" s="393"/>
      <c r="J526" s="393"/>
      <c r="K526" s="393"/>
      <c r="L526" s="393"/>
      <c r="M526" s="393"/>
      <c r="N526" s="393"/>
      <c r="O526" s="393"/>
      <c r="P526" s="393"/>
      <c r="Q526" s="393"/>
      <c r="R526" s="393"/>
      <c r="S526" s="393"/>
      <c r="T526" s="393"/>
      <c r="U526" s="393"/>
      <c r="V526" s="393"/>
      <c r="W526" s="393"/>
      <c r="X526" s="393"/>
      <c r="Y526" s="393"/>
      <c r="Z526" s="393"/>
    </row>
    <row r="527">
      <c r="A527" s="393"/>
      <c r="B527" s="393"/>
      <c r="C527" s="393"/>
      <c r="D527" s="393"/>
      <c r="E527" s="393"/>
      <c r="F527" s="393"/>
      <c r="G527" s="393"/>
      <c r="H527" s="393"/>
      <c r="I527" s="393"/>
      <c r="J527" s="393"/>
      <c r="K527" s="393"/>
      <c r="L527" s="393"/>
      <c r="M527" s="393"/>
      <c r="N527" s="393"/>
      <c r="O527" s="393"/>
      <c r="P527" s="393"/>
      <c r="Q527" s="393"/>
      <c r="R527" s="393"/>
      <c r="S527" s="393"/>
      <c r="T527" s="393"/>
      <c r="U527" s="393"/>
      <c r="V527" s="393"/>
      <c r="W527" s="393"/>
      <c r="X527" s="393"/>
      <c r="Y527" s="393"/>
      <c r="Z527" s="393"/>
    </row>
    <row r="528">
      <c r="A528" s="393"/>
      <c r="B528" s="393"/>
      <c r="C528" s="393"/>
      <c r="D528" s="393"/>
      <c r="E528" s="393"/>
      <c r="F528" s="393"/>
      <c r="G528" s="393"/>
      <c r="H528" s="393"/>
      <c r="I528" s="393"/>
      <c r="J528" s="393"/>
      <c r="K528" s="393"/>
      <c r="L528" s="393"/>
      <c r="M528" s="393"/>
      <c r="N528" s="393"/>
      <c r="O528" s="393"/>
      <c r="P528" s="393"/>
      <c r="Q528" s="393"/>
      <c r="R528" s="393"/>
      <c r="S528" s="393"/>
      <c r="T528" s="393"/>
      <c r="U528" s="393"/>
      <c r="V528" s="393"/>
      <c r="W528" s="393"/>
      <c r="X528" s="393"/>
      <c r="Y528" s="393"/>
      <c r="Z528" s="393"/>
    </row>
    <row r="529">
      <c r="A529" s="393"/>
      <c r="B529" s="393"/>
      <c r="C529" s="393"/>
      <c r="D529" s="393"/>
      <c r="E529" s="393"/>
      <c r="F529" s="393"/>
      <c r="G529" s="393"/>
      <c r="H529" s="393"/>
      <c r="I529" s="393"/>
      <c r="J529" s="393"/>
      <c r="K529" s="393"/>
      <c r="L529" s="393"/>
      <c r="M529" s="393"/>
      <c r="N529" s="393"/>
      <c r="O529" s="393"/>
      <c r="P529" s="393"/>
      <c r="Q529" s="393"/>
      <c r="R529" s="393"/>
      <c r="S529" s="393"/>
      <c r="T529" s="393"/>
      <c r="U529" s="393"/>
      <c r="V529" s="393"/>
      <c r="W529" s="393"/>
      <c r="X529" s="393"/>
      <c r="Y529" s="393"/>
      <c r="Z529" s="393"/>
    </row>
    <row r="530">
      <c r="A530" s="393"/>
      <c r="B530" s="393"/>
      <c r="C530" s="393"/>
      <c r="D530" s="393"/>
      <c r="E530" s="393"/>
      <c r="F530" s="393"/>
      <c r="G530" s="393"/>
      <c r="H530" s="393"/>
      <c r="I530" s="393"/>
      <c r="J530" s="393"/>
      <c r="K530" s="393"/>
      <c r="L530" s="393"/>
      <c r="M530" s="393"/>
      <c r="N530" s="393"/>
      <c r="O530" s="393"/>
      <c r="P530" s="393"/>
      <c r="Q530" s="393"/>
      <c r="R530" s="393"/>
      <c r="S530" s="393"/>
      <c r="T530" s="393"/>
      <c r="U530" s="393"/>
      <c r="V530" s="393"/>
      <c r="W530" s="393"/>
      <c r="X530" s="393"/>
      <c r="Y530" s="393"/>
      <c r="Z530" s="393"/>
    </row>
    <row r="531">
      <c r="A531" s="393"/>
      <c r="B531" s="393"/>
      <c r="C531" s="393"/>
      <c r="D531" s="393"/>
      <c r="E531" s="393"/>
      <c r="F531" s="393"/>
      <c r="G531" s="393"/>
      <c r="H531" s="393"/>
      <c r="I531" s="393"/>
      <c r="J531" s="393"/>
      <c r="K531" s="393"/>
      <c r="L531" s="393"/>
      <c r="M531" s="393"/>
      <c r="N531" s="393"/>
      <c r="O531" s="393"/>
      <c r="P531" s="393"/>
      <c r="Q531" s="393"/>
      <c r="R531" s="393"/>
      <c r="S531" s="393"/>
      <c r="T531" s="393"/>
      <c r="U531" s="393"/>
      <c r="V531" s="393"/>
      <c r="W531" s="393"/>
      <c r="X531" s="393"/>
      <c r="Y531" s="393"/>
      <c r="Z531" s="393"/>
    </row>
    <row r="532">
      <c r="A532" s="393"/>
      <c r="B532" s="393"/>
      <c r="C532" s="393"/>
      <c r="D532" s="393"/>
      <c r="E532" s="393"/>
      <c r="F532" s="393"/>
      <c r="G532" s="393"/>
      <c r="H532" s="393"/>
      <c r="I532" s="393"/>
      <c r="J532" s="393"/>
      <c r="K532" s="393"/>
      <c r="L532" s="393"/>
      <c r="M532" s="393"/>
      <c r="N532" s="393"/>
      <c r="O532" s="393"/>
      <c r="P532" s="393"/>
      <c r="Q532" s="393"/>
      <c r="R532" s="393"/>
      <c r="S532" s="393"/>
      <c r="T532" s="393"/>
      <c r="U532" s="393"/>
      <c r="V532" s="393"/>
      <c r="W532" s="393"/>
      <c r="X532" s="393"/>
      <c r="Y532" s="393"/>
      <c r="Z532" s="393"/>
    </row>
    <row r="533">
      <c r="A533" s="393"/>
      <c r="B533" s="393"/>
      <c r="C533" s="393"/>
      <c r="D533" s="393"/>
      <c r="E533" s="393"/>
      <c r="F533" s="393"/>
      <c r="G533" s="393"/>
      <c r="H533" s="393"/>
      <c r="I533" s="393"/>
      <c r="J533" s="393"/>
      <c r="K533" s="393"/>
      <c r="L533" s="393"/>
      <c r="M533" s="393"/>
      <c r="N533" s="393"/>
      <c r="O533" s="393"/>
      <c r="P533" s="393"/>
      <c r="Q533" s="393"/>
      <c r="R533" s="393"/>
      <c r="S533" s="393"/>
      <c r="T533" s="393"/>
      <c r="U533" s="393"/>
      <c r="V533" s="393"/>
      <c r="W533" s="393"/>
      <c r="X533" s="393"/>
      <c r="Y533" s="393"/>
      <c r="Z533" s="393"/>
    </row>
    <row r="534">
      <c r="A534" s="393"/>
      <c r="B534" s="393"/>
      <c r="C534" s="393"/>
      <c r="D534" s="393"/>
      <c r="E534" s="393"/>
      <c r="F534" s="393"/>
      <c r="G534" s="393"/>
      <c r="H534" s="393"/>
      <c r="I534" s="393"/>
      <c r="J534" s="393"/>
      <c r="K534" s="393"/>
      <c r="L534" s="393"/>
      <c r="M534" s="393"/>
      <c r="N534" s="393"/>
      <c r="O534" s="393"/>
      <c r="P534" s="393"/>
      <c r="Q534" s="393"/>
      <c r="R534" s="393"/>
      <c r="S534" s="393"/>
      <c r="T534" s="393"/>
      <c r="U534" s="393"/>
      <c r="V534" s="393"/>
      <c r="W534" s="393"/>
      <c r="X534" s="393"/>
      <c r="Y534" s="393"/>
      <c r="Z534" s="393"/>
    </row>
    <row r="535">
      <c r="A535" s="393"/>
      <c r="B535" s="393"/>
      <c r="C535" s="393"/>
      <c r="D535" s="393"/>
      <c r="E535" s="393"/>
      <c r="F535" s="393"/>
      <c r="G535" s="393"/>
      <c r="H535" s="393"/>
      <c r="I535" s="393"/>
      <c r="J535" s="393"/>
      <c r="K535" s="393"/>
      <c r="L535" s="393"/>
      <c r="M535" s="393"/>
      <c r="N535" s="393"/>
      <c r="O535" s="393"/>
      <c r="P535" s="393"/>
      <c r="Q535" s="393"/>
      <c r="R535" s="393"/>
      <c r="S535" s="393"/>
      <c r="T535" s="393"/>
      <c r="U535" s="393"/>
      <c r="V535" s="393"/>
      <c r="W535" s="393"/>
      <c r="X535" s="393"/>
      <c r="Y535" s="393"/>
      <c r="Z535" s="393"/>
    </row>
    <row r="536">
      <c r="A536" s="393"/>
      <c r="B536" s="393"/>
      <c r="C536" s="393"/>
      <c r="D536" s="393"/>
      <c r="E536" s="393"/>
      <c r="F536" s="393"/>
      <c r="G536" s="393"/>
      <c r="H536" s="393"/>
      <c r="I536" s="393"/>
      <c r="J536" s="393"/>
      <c r="K536" s="393"/>
      <c r="L536" s="393"/>
      <c r="M536" s="393"/>
      <c r="N536" s="393"/>
      <c r="O536" s="393"/>
      <c r="P536" s="393"/>
      <c r="Q536" s="393"/>
      <c r="R536" s="393"/>
      <c r="S536" s="393"/>
      <c r="T536" s="393"/>
      <c r="U536" s="393"/>
      <c r="V536" s="393"/>
      <c r="W536" s="393"/>
      <c r="X536" s="393"/>
      <c r="Y536" s="393"/>
      <c r="Z536" s="393"/>
    </row>
    <row r="537">
      <c r="A537" s="393"/>
      <c r="B537" s="393"/>
      <c r="C537" s="393"/>
      <c r="D537" s="393"/>
      <c r="E537" s="393"/>
      <c r="F537" s="393"/>
      <c r="G537" s="393"/>
      <c r="H537" s="393"/>
      <c r="I537" s="393"/>
      <c r="J537" s="393"/>
      <c r="K537" s="393"/>
      <c r="L537" s="393"/>
      <c r="M537" s="393"/>
      <c r="N537" s="393"/>
      <c r="O537" s="393"/>
      <c r="P537" s="393"/>
      <c r="Q537" s="393"/>
      <c r="R537" s="393"/>
      <c r="S537" s="393"/>
      <c r="T537" s="393"/>
      <c r="U537" s="393"/>
      <c r="V537" s="393"/>
      <c r="W537" s="393"/>
      <c r="X537" s="393"/>
      <c r="Y537" s="393"/>
      <c r="Z537" s="393"/>
    </row>
    <row r="538">
      <c r="A538" s="393"/>
      <c r="B538" s="393"/>
      <c r="C538" s="393"/>
      <c r="D538" s="393"/>
      <c r="E538" s="393"/>
      <c r="F538" s="393"/>
      <c r="G538" s="393"/>
      <c r="H538" s="393"/>
      <c r="I538" s="393"/>
      <c r="J538" s="393"/>
      <c r="K538" s="393"/>
      <c r="L538" s="393"/>
      <c r="M538" s="393"/>
      <c r="N538" s="393"/>
      <c r="O538" s="393"/>
      <c r="P538" s="393"/>
      <c r="Q538" s="393"/>
      <c r="R538" s="393"/>
      <c r="S538" s="393"/>
      <c r="T538" s="393"/>
      <c r="U538" s="393"/>
      <c r="V538" s="393"/>
      <c r="W538" s="393"/>
      <c r="X538" s="393"/>
      <c r="Y538" s="393"/>
      <c r="Z538" s="393"/>
    </row>
    <row r="539">
      <c r="A539" s="393"/>
      <c r="B539" s="393"/>
      <c r="C539" s="393"/>
      <c r="D539" s="393"/>
      <c r="E539" s="393"/>
      <c r="F539" s="393"/>
      <c r="G539" s="393"/>
      <c r="H539" s="393"/>
      <c r="I539" s="393"/>
      <c r="J539" s="393"/>
      <c r="K539" s="393"/>
      <c r="L539" s="393"/>
      <c r="M539" s="393"/>
      <c r="N539" s="393"/>
      <c r="O539" s="393"/>
      <c r="P539" s="393"/>
      <c r="Q539" s="393"/>
      <c r="R539" s="393"/>
      <c r="S539" s="393"/>
      <c r="T539" s="393"/>
      <c r="U539" s="393"/>
      <c r="V539" s="393"/>
      <c r="W539" s="393"/>
      <c r="X539" s="393"/>
      <c r="Y539" s="393"/>
      <c r="Z539" s="393"/>
    </row>
    <row r="540">
      <c r="A540" s="393"/>
      <c r="B540" s="393"/>
      <c r="C540" s="393"/>
      <c r="D540" s="393"/>
      <c r="E540" s="393"/>
      <c r="F540" s="393"/>
      <c r="G540" s="393"/>
      <c r="H540" s="393"/>
      <c r="I540" s="393"/>
      <c r="J540" s="393"/>
      <c r="K540" s="393"/>
      <c r="L540" s="393"/>
      <c r="M540" s="393"/>
      <c r="N540" s="393"/>
      <c r="O540" s="393"/>
      <c r="P540" s="393"/>
      <c r="Q540" s="393"/>
      <c r="R540" s="393"/>
      <c r="S540" s="393"/>
      <c r="T540" s="393"/>
      <c r="U540" s="393"/>
      <c r="V540" s="393"/>
      <c r="W540" s="393"/>
      <c r="X540" s="393"/>
      <c r="Y540" s="393"/>
      <c r="Z540" s="393"/>
    </row>
    <row r="541">
      <c r="A541" s="393"/>
      <c r="B541" s="393"/>
      <c r="C541" s="393"/>
      <c r="D541" s="393"/>
      <c r="E541" s="393"/>
      <c r="F541" s="393"/>
      <c r="G541" s="393"/>
      <c r="H541" s="393"/>
      <c r="I541" s="393"/>
      <c r="J541" s="393"/>
      <c r="K541" s="393"/>
      <c r="L541" s="393"/>
      <c r="M541" s="393"/>
      <c r="N541" s="393"/>
      <c r="O541" s="393"/>
      <c r="P541" s="393"/>
      <c r="Q541" s="393"/>
      <c r="R541" s="393"/>
      <c r="S541" s="393"/>
      <c r="T541" s="393"/>
      <c r="U541" s="393"/>
      <c r="V541" s="393"/>
      <c r="W541" s="393"/>
      <c r="X541" s="393"/>
      <c r="Y541" s="393"/>
      <c r="Z541" s="393"/>
    </row>
    <row r="542">
      <c r="A542" s="393"/>
      <c r="B542" s="393"/>
      <c r="C542" s="393"/>
      <c r="D542" s="393"/>
      <c r="E542" s="393"/>
      <c r="F542" s="393"/>
      <c r="G542" s="393"/>
      <c r="H542" s="393"/>
      <c r="I542" s="393"/>
      <c r="J542" s="393"/>
      <c r="K542" s="393"/>
      <c r="L542" s="393"/>
      <c r="M542" s="393"/>
      <c r="N542" s="393"/>
      <c r="O542" s="393"/>
      <c r="P542" s="393"/>
      <c r="Q542" s="393"/>
      <c r="R542" s="393"/>
      <c r="S542" s="393"/>
      <c r="T542" s="393"/>
      <c r="U542" s="393"/>
      <c r="V542" s="393"/>
      <c r="W542" s="393"/>
      <c r="X542" s="393"/>
      <c r="Y542" s="393"/>
      <c r="Z542" s="393"/>
    </row>
    <row r="543">
      <c r="A543" s="393"/>
      <c r="B543" s="393"/>
      <c r="C543" s="393"/>
      <c r="D543" s="393"/>
      <c r="E543" s="393"/>
      <c r="F543" s="393"/>
      <c r="G543" s="393"/>
      <c r="H543" s="393"/>
      <c r="I543" s="393"/>
      <c r="J543" s="393"/>
      <c r="K543" s="393"/>
      <c r="L543" s="393"/>
      <c r="M543" s="393"/>
      <c r="N543" s="393"/>
      <c r="O543" s="393"/>
      <c r="P543" s="393"/>
      <c r="Q543" s="393"/>
      <c r="R543" s="393"/>
      <c r="S543" s="393"/>
      <c r="T543" s="393"/>
      <c r="U543" s="393"/>
      <c r="V543" s="393"/>
      <c r="W543" s="393"/>
      <c r="X543" s="393"/>
      <c r="Y543" s="393"/>
      <c r="Z543" s="393"/>
    </row>
    <row r="544">
      <c r="A544" s="393"/>
      <c r="B544" s="393"/>
      <c r="C544" s="393"/>
      <c r="D544" s="393"/>
      <c r="E544" s="393"/>
      <c r="F544" s="393"/>
      <c r="G544" s="393"/>
      <c r="H544" s="393"/>
      <c r="I544" s="393"/>
      <c r="J544" s="393"/>
      <c r="K544" s="393"/>
      <c r="L544" s="393"/>
      <c r="M544" s="393"/>
      <c r="N544" s="393"/>
      <c r="O544" s="393"/>
      <c r="P544" s="393"/>
      <c r="Q544" s="393"/>
      <c r="R544" s="393"/>
      <c r="S544" s="393"/>
      <c r="T544" s="393"/>
      <c r="U544" s="393"/>
      <c r="V544" s="393"/>
      <c r="W544" s="393"/>
      <c r="X544" s="393"/>
      <c r="Y544" s="393"/>
      <c r="Z544" s="393"/>
    </row>
    <row r="545">
      <c r="A545" s="393"/>
      <c r="B545" s="393"/>
      <c r="C545" s="393"/>
      <c r="D545" s="393"/>
      <c r="E545" s="393"/>
      <c r="F545" s="393"/>
      <c r="G545" s="393"/>
      <c r="H545" s="393"/>
      <c r="I545" s="393"/>
      <c r="J545" s="393"/>
      <c r="K545" s="393"/>
      <c r="L545" s="393"/>
      <c r="M545" s="393"/>
      <c r="N545" s="393"/>
      <c r="O545" s="393"/>
      <c r="P545" s="393"/>
      <c r="Q545" s="393"/>
      <c r="R545" s="393"/>
      <c r="S545" s="393"/>
      <c r="T545" s="393"/>
      <c r="U545" s="393"/>
      <c r="V545" s="393"/>
      <c r="W545" s="393"/>
      <c r="X545" s="393"/>
      <c r="Y545" s="393"/>
      <c r="Z545" s="393"/>
    </row>
    <row r="546">
      <c r="A546" s="393"/>
      <c r="B546" s="393"/>
      <c r="C546" s="393"/>
      <c r="D546" s="393"/>
      <c r="E546" s="393"/>
      <c r="F546" s="393"/>
      <c r="G546" s="393"/>
      <c r="H546" s="393"/>
      <c r="I546" s="393"/>
      <c r="J546" s="393"/>
      <c r="K546" s="393"/>
      <c r="L546" s="393"/>
      <c r="M546" s="393"/>
      <c r="N546" s="393"/>
      <c r="O546" s="393"/>
      <c r="P546" s="393"/>
      <c r="Q546" s="393"/>
      <c r="R546" s="393"/>
      <c r="S546" s="393"/>
      <c r="T546" s="393"/>
      <c r="U546" s="393"/>
      <c r="V546" s="393"/>
      <c r="W546" s="393"/>
      <c r="X546" s="393"/>
      <c r="Y546" s="393"/>
      <c r="Z546" s="393"/>
    </row>
    <row r="547">
      <c r="A547" s="393"/>
      <c r="B547" s="393"/>
      <c r="C547" s="393"/>
      <c r="D547" s="393"/>
      <c r="E547" s="393"/>
      <c r="F547" s="393"/>
      <c r="G547" s="393"/>
      <c r="H547" s="393"/>
      <c r="I547" s="393"/>
      <c r="J547" s="393"/>
      <c r="K547" s="393"/>
      <c r="L547" s="393"/>
      <c r="M547" s="393"/>
      <c r="N547" s="393"/>
      <c r="O547" s="393"/>
      <c r="P547" s="393"/>
      <c r="Q547" s="393"/>
      <c r="R547" s="393"/>
      <c r="S547" s="393"/>
      <c r="T547" s="393"/>
      <c r="U547" s="393"/>
      <c r="V547" s="393"/>
      <c r="W547" s="393"/>
      <c r="X547" s="393"/>
      <c r="Y547" s="393"/>
      <c r="Z547" s="393"/>
    </row>
    <row r="548">
      <c r="A548" s="393"/>
      <c r="B548" s="393"/>
      <c r="C548" s="393"/>
      <c r="D548" s="393"/>
      <c r="E548" s="393"/>
      <c r="F548" s="393"/>
      <c r="G548" s="393"/>
      <c r="H548" s="393"/>
      <c r="I548" s="393"/>
      <c r="J548" s="393"/>
      <c r="K548" s="393"/>
      <c r="L548" s="393"/>
      <c r="M548" s="393"/>
      <c r="N548" s="393"/>
      <c r="O548" s="393"/>
      <c r="P548" s="393"/>
      <c r="Q548" s="393"/>
      <c r="R548" s="393"/>
      <c r="S548" s="393"/>
      <c r="T548" s="393"/>
      <c r="U548" s="393"/>
      <c r="V548" s="393"/>
      <c r="W548" s="393"/>
      <c r="X548" s="393"/>
      <c r="Y548" s="393"/>
      <c r="Z548" s="393"/>
    </row>
    <row r="549">
      <c r="A549" s="393"/>
      <c r="B549" s="393"/>
      <c r="C549" s="393"/>
      <c r="D549" s="393"/>
      <c r="E549" s="393"/>
      <c r="F549" s="393"/>
      <c r="G549" s="393"/>
      <c r="H549" s="393"/>
      <c r="I549" s="393"/>
      <c r="J549" s="393"/>
      <c r="K549" s="393"/>
      <c r="L549" s="393"/>
      <c r="M549" s="393"/>
      <c r="N549" s="393"/>
      <c r="O549" s="393"/>
      <c r="P549" s="393"/>
      <c r="Q549" s="393"/>
      <c r="R549" s="393"/>
      <c r="S549" s="393"/>
      <c r="T549" s="393"/>
      <c r="U549" s="393"/>
      <c r="V549" s="393"/>
      <c r="W549" s="393"/>
      <c r="X549" s="393"/>
      <c r="Y549" s="393"/>
      <c r="Z549" s="393"/>
    </row>
    <row r="550">
      <c r="A550" s="393"/>
      <c r="B550" s="393"/>
      <c r="C550" s="393"/>
      <c r="D550" s="393"/>
      <c r="E550" s="393"/>
      <c r="F550" s="393"/>
      <c r="G550" s="393"/>
      <c r="H550" s="393"/>
      <c r="I550" s="393"/>
      <c r="J550" s="393"/>
      <c r="K550" s="393"/>
      <c r="L550" s="393"/>
      <c r="M550" s="393"/>
      <c r="N550" s="393"/>
      <c r="O550" s="393"/>
      <c r="P550" s="393"/>
      <c r="Q550" s="393"/>
      <c r="R550" s="393"/>
      <c r="S550" s="393"/>
      <c r="T550" s="393"/>
      <c r="U550" s="393"/>
      <c r="V550" s="393"/>
      <c r="W550" s="393"/>
      <c r="X550" s="393"/>
      <c r="Y550" s="393"/>
      <c r="Z550" s="393"/>
    </row>
    <row r="551">
      <c r="A551" s="393"/>
      <c r="B551" s="393"/>
      <c r="C551" s="393"/>
      <c r="D551" s="393"/>
      <c r="E551" s="393"/>
      <c r="F551" s="393"/>
      <c r="G551" s="393"/>
      <c r="H551" s="393"/>
      <c r="I551" s="393"/>
      <c r="J551" s="393"/>
      <c r="K551" s="393"/>
      <c r="L551" s="393"/>
      <c r="M551" s="393"/>
      <c r="N551" s="393"/>
      <c r="O551" s="393"/>
      <c r="P551" s="393"/>
      <c r="Q551" s="393"/>
      <c r="R551" s="393"/>
      <c r="S551" s="393"/>
      <c r="T551" s="393"/>
      <c r="U551" s="393"/>
      <c r="V551" s="393"/>
      <c r="W551" s="393"/>
      <c r="X551" s="393"/>
      <c r="Y551" s="393"/>
      <c r="Z551" s="393"/>
    </row>
    <row r="552">
      <c r="A552" s="393"/>
      <c r="B552" s="393"/>
      <c r="C552" s="393"/>
      <c r="D552" s="393"/>
      <c r="E552" s="393"/>
      <c r="F552" s="393"/>
      <c r="G552" s="393"/>
      <c r="H552" s="393"/>
      <c r="I552" s="393"/>
      <c r="J552" s="393"/>
      <c r="K552" s="393"/>
      <c r="L552" s="393"/>
      <c r="M552" s="393"/>
      <c r="N552" s="393"/>
      <c r="O552" s="393"/>
      <c r="P552" s="393"/>
      <c r="Q552" s="393"/>
      <c r="R552" s="393"/>
      <c r="S552" s="393"/>
      <c r="T552" s="393"/>
      <c r="U552" s="393"/>
      <c r="V552" s="393"/>
      <c r="W552" s="393"/>
      <c r="X552" s="393"/>
      <c r="Y552" s="393"/>
      <c r="Z552" s="393"/>
    </row>
    <row r="553">
      <c r="A553" s="393"/>
      <c r="B553" s="393"/>
      <c r="C553" s="393"/>
      <c r="D553" s="393"/>
      <c r="E553" s="393"/>
      <c r="F553" s="393"/>
      <c r="G553" s="393"/>
      <c r="H553" s="393"/>
      <c r="I553" s="393"/>
      <c r="J553" s="393"/>
      <c r="K553" s="393"/>
      <c r="L553" s="393"/>
      <c r="M553" s="393"/>
      <c r="N553" s="393"/>
      <c r="O553" s="393"/>
      <c r="P553" s="393"/>
      <c r="Q553" s="393"/>
      <c r="R553" s="393"/>
      <c r="S553" s="393"/>
      <c r="T553" s="393"/>
      <c r="U553" s="393"/>
      <c r="V553" s="393"/>
      <c r="W553" s="393"/>
      <c r="X553" s="393"/>
      <c r="Y553" s="393"/>
      <c r="Z553" s="393"/>
    </row>
    <row r="554">
      <c r="A554" s="393"/>
      <c r="B554" s="393"/>
      <c r="C554" s="393"/>
      <c r="D554" s="393"/>
      <c r="E554" s="393"/>
      <c r="F554" s="393"/>
      <c r="G554" s="393"/>
      <c r="H554" s="393"/>
      <c r="I554" s="393"/>
      <c r="J554" s="393"/>
      <c r="K554" s="393"/>
      <c r="L554" s="393"/>
      <c r="M554" s="393"/>
      <c r="N554" s="393"/>
      <c r="O554" s="393"/>
      <c r="P554" s="393"/>
      <c r="Q554" s="393"/>
      <c r="R554" s="393"/>
      <c r="S554" s="393"/>
      <c r="T554" s="393"/>
      <c r="U554" s="393"/>
      <c r="V554" s="393"/>
      <c r="W554" s="393"/>
      <c r="X554" s="393"/>
      <c r="Y554" s="393"/>
      <c r="Z554" s="393"/>
    </row>
    <row r="555">
      <c r="A555" s="393"/>
      <c r="B555" s="393"/>
      <c r="C555" s="393"/>
      <c r="D555" s="393"/>
      <c r="E555" s="393"/>
      <c r="F555" s="393"/>
      <c r="G555" s="393"/>
      <c r="H555" s="393"/>
      <c r="I555" s="393"/>
      <c r="J555" s="393"/>
      <c r="K555" s="393"/>
      <c r="L555" s="393"/>
      <c r="M555" s="393"/>
      <c r="N555" s="393"/>
      <c r="O555" s="393"/>
      <c r="P555" s="393"/>
      <c r="Q555" s="393"/>
      <c r="R555" s="393"/>
      <c r="S555" s="393"/>
      <c r="T555" s="393"/>
      <c r="U555" s="393"/>
      <c r="V555" s="393"/>
      <c r="W555" s="393"/>
      <c r="X555" s="393"/>
      <c r="Y555" s="393"/>
      <c r="Z555" s="393"/>
    </row>
    <row r="556">
      <c r="A556" s="393"/>
      <c r="B556" s="393"/>
      <c r="C556" s="393"/>
      <c r="D556" s="393"/>
      <c r="E556" s="393"/>
      <c r="F556" s="393"/>
      <c r="G556" s="393"/>
      <c r="H556" s="393"/>
      <c r="I556" s="393"/>
      <c r="J556" s="393"/>
      <c r="K556" s="393"/>
      <c r="L556" s="393"/>
      <c r="M556" s="393"/>
      <c r="N556" s="393"/>
      <c r="O556" s="393"/>
      <c r="P556" s="393"/>
      <c r="Q556" s="393"/>
      <c r="R556" s="393"/>
      <c r="S556" s="393"/>
      <c r="T556" s="393"/>
      <c r="U556" s="393"/>
      <c r="V556" s="393"/>
      <c r="W556" s="393"/>
      <c r="X556" s="393"/>
      <c r="Y556" s="393"/>
      <c r="Z556" s="393"/>
    </row>
    <row r="557">
      <c r="A557" s="393"/>
      <c r="B557" s="393"/>
      <c r="C557" s="393"/>
      <c r="D557" s="393"/>
      <c r="E557" s="393"/>
      <c r="F557" s="393"/>
      <c r="G557" s="393"/>
      <c r="H557" s="393"/>
      <c r="I557" s="393"/>
      <c r="J557" s="393"/>
      <c r="K557" s="393"/>
      <c r="L557" s="393"/>
      <c r="M557" s="393"/>
      <c r="N557" s="393"/>
      <c r="O557" s="393"/>
      <c r="P557" s="393"/>
      <c r="Q557" s="393"/>
      <c r="R557" s="393"/>
      <c r="S557" s="393"/>
      <c r="T557" s="393"/>
      <c r="U557" s="393"/>
      <c r="V557" s="393"/>
      <c r="W557" s="393"/>
      <c r="X557" s="393"/>
      <c r="Y557" s="393"/>
      <c r="Z557" s="393"/>
    </row>
    <row r="558">
      <c r="A558" s="393"/>
      <c r="B558" s="393"/>
      <c r="C558" s="393"/>
      <c r="D558" s="393"/>
      <c r="E558" s="393"/>
      <c r="F558" s="393"/>
      <c r="G558" s="393"/>
      <c r="H558" s="393"/>
      <c r="I558" s="393"/>
      <c r="J558" s="393"/>
      <c r="K558" s="393"/>
      <c r="L558" s="393"/>
      <c r="M558" s="393"/>
      <c r="N558" s="393"/>
      <c r="O558" s="393"/>
      <c r="P558" s="393"/>
      <c r="Q558" s="393"/>
      <c r="R558" s="393"/>
      <c r="S558" s="393"/>
      <c r="T558" s="393"/>
      <c r="U558" s="393"/>
      <c r="V558" s="393"/>
      <c r="W558" s="393"/>
      <c r="X558" s="393"/>
      <c r="Y558" s="393"/>
      <c r="Z558" s="393"/>
    </row>
    <row r="559">
      <c r="A559" s="393"/>
      <c r="B559" s="393"/>
      <c r="C559" s="393"/>
      <c r="D559" s="393"/>
      <c r="E559" s="393"/>
      <c r="F559" s="393"/>
      <c r="G559" s="393"/>
      <c r="H559" s="393"/>
      <c r="I559" s="393"/>
      <c r="J559" s="393"/>
      <c r="K559" s="393"/>
      <c r="L559" s="393"/>
      <c r="M559" s="393"/>
      <c r="N559" s="393"/>
      <c r="O559" s="393"/>
      <c r="P559" s="393"/>
      <c r="Q559" s="393"/>
      <c r="R559" s="393"/>
      <c r="S559" s="393"/>
      <c r="T559" s="393"/>
      <c r="U559" s="393"/>
      <c r="V559" s="393"/>
      <c r="W559" s="393"/>
      <c r="X559" s="393"/>
      <c r="Y559" s="393"/>
      <c r="Z559" s="393"/>
    </row>
    <row r="560">
      <c r="A560" s="393"/>
      <c r="B560" s="393"/>
      <c r="C560" s="393"/>
      <c r="D560" s="393"/>
      <c r="E560" s="393"/>
      <c r="F560" s="393"/>
      <c r="G560" s="393"/>
      <c r="H560" s="393"/>
      <c r="I560" s="393"/>
      <c r="J560" s="393"/>
      <c r="K560" s="393"/>
      <c r="L560" s="393"/>
      <c r="M560" s="393"/>
      <c r="N560" s="393"/>
      <c r="O560" s="393"/>
      <c r="P560" s="393"/>
      <c r="Q560" s="393"/>
      <c r="R560" s="393"/>
      <c r="S560" s="393"/>
      <c r="T560" s="393"/>
      <c r="U560" s="393"/>
      <c r="V560" s="393"/>
      <c r="W560" s="393"/>
      <c r="X560" s="393"/>
      <c r="Y560" s="393"/>
      <c r="Z560" s="393"/>
    </row>
    <row r="561">
      <c r="A561" s="393"/>
      <c r="B561" s="393"/>
      <c r="C561" s="393"/>
      <c r="D561" s="393"/>
      <c r="E561" s="393"/>
      <c r="F561" s="393"/>
      <c r="G561" s="393"/>
      <c r="H561" s="393"/>
      <c r="I561" s="393"/>
      <c r="J561" s="393"/>
      <c r="K561" s="393"/>
      <c r="L561" s="393"/>
      <c r="M561" s="393"/>
      <c r="N561" s="393"/>
      <c r="O561" s="393"/>
      <c r="P561" s="393"/>
      <c r="Q561" s="393"/>
      <c r="R561" s="393"/>
      <c r="S561" s="393"/>
      <c r="T561" s="393"/>
      <c r="U561" s="393"/>
      <c r="V561" s="393"/>
      <c r="W561" s="393"/>
      <c r="X561" s="393"/>
      <c r="Y561" s="393"/>
      <c r="Z561" s="393"/>
    </row>
    <row r="562">
      <c r="A562" s="393"/>
      <c r="B562" s="393"/>
      <c r="C562" s="393"/>
      <c r="D562" s="393"/>
      <c r="E562" s="393"/>
      <c r="F562" s="393"/>
      <c r="G562" s="393"/>
      <c r="H562" s="393"/>
      <c r="I562" s="393"/>
      <c r="J562" s="393"/>
      <c r="K562" s="393"/>
      <c r="L562" s="393"/>
      <c r="M562" s="393"/>
      <c r="N562" s="393"/>
      <c r="O562" s="393"/>
      <c r="P562" s="393"/>
      <c r="Q562" s="393"/>
      <c r="R562" s="393"/>
      <c r="S562" s="393"/>
      <c r="T562" s="393"/>
      <c r="U562" s="393"/>
      <c r="V562" s="393"/>
      <c r="W562" s="393"/>
      <c r="X562" s="393"/>
      <c r="Y562" s="393"/>
      <c r="Z562" s="393"/>
    </row>
    <row r="563">
      <c r="A563" s="393"/>
      <c r="B563" s="393"/>
      <c r="C563" s="393"/>
      <c r="D563" s="393"/>
      <c r="E563" s="393"/>
      <c r="F563" s="393"/>
      <c r="G563" s="393"/>
      <c r="H563" s="393"/>
      <c r="I563" s="393"/>
      <c r="J563" s="393"/>
      <c r="K563" s="393"/>
      <c r="L563" s="393"/>
      <c r="M563" s="393"/>
      <c r="N563" s="393"/>
      <c r="O563" s="393"/>
      <c r="P563" s="393"/>
      <c r="Q563" s="393"/>
      <c r="R563" s="393"/>
      <c r="S563" s="393"/>
      <c r="T563" s="393"/>
      <c r="U563" s="393"/>
      <c r="V563" s="393"/>
      <c r="W563" s="393"/>
      <c r="X563" s="393"/>
      <c r="Y563" s="393"/>
      <c r="Z563" s="393"/>
    </row>
    <row r="564">
      <c r="A564" s="393"/>
      <c r="B564" s="393"/>
      <c r="C564" s="393"/>
      <c r="D564" s="393"/>
      <c r="E564" s="393"/>
      <c r="F564" s="393"/>
      <c r="G564" s="393"/>
      <c r="H564" s="393"/>
      <c r="I564" s="393"/>
      <c r="J564" s="393"/>
      <c r="K564" s="393"/>
      <c r="L564" s="393"/>
      <c r="M564" s="393"/>
      <c r="N564" s="393"/>
      <c r="O564" s="393"/>
      <c r="P564" s="393"/>
      <c r="Q564" s="393"/>
      <c r="R564" s="393"/>
      <c r="S564" s="393"/>
      <c r="T564" s="393"/>
      <c r="U564" s="393"/>
      <c r="V564" s="393"/>
      <c r="W564" s="393"/>
      <c r="X564" s="393"/>
      <c r="Y564" s="393"/>
      <c r="Z564" s="393"/>
    </row>
    <row r="565">
      <c r="A565" s="393"/>
      <c r="B565" s="393"/>
      <c r="C565" s="393"/>
      <c r="D565" s="393"/>
      <c r="E565" s="393"/>
      <c r="F565" s="393"/>
      <c r="G565" s="393"/>
      <c r="H565" s="393"/>
      <c r="I565" s="393"/>
      <c r="J565" s="393"/>
      <c r="K565" s="393"/>
      <c r="L565" s="393"/>
      <c r="M565" s="393"/>
      <c r="N565" s="393"/>
      <c r="O565" s="393"/>
      <c r="P565" s="393"/>
      <c r="Q565" s="393"/>
      <c r="R565" s="393"/>
      <c r="S565" s="393"/>
      <c r="T565" s="393"/>
      <c r="U565" s="393"/>
      <c r="V565" s="393"/>
      <c r="W565" s="393"/>
      <c r="X565" s="393"/>
      <c r="Y565" s="393"/>
      <c r="Z565" s="393"/>
    </row>
    <row r="566">
      <c r="A566" s="393"/>
      <c r="B566" s="393"/>
      <c r="C566" s="393"/>
      <c r="D566" s="393"/>
      <c r="E566" s="393"/>
      <c r="F566" s="393"/>
      <c r="G566" s="393"/>
      <c r="H566" s="393"/>
      <c r="I566" s="393"/>
      <c r="J566" s="393"/>
      <c r="K566" s="393"/>
      <c r="L566" s="393"/>
      <c r="M566" s="393"/>
      <c r="N566" s="393"/>
      <c r="O566" s="393"/>
      <c r="P566" s="393"/>
      <c r="Q566" s="393"/>
      <c r="R566" s="393"/>
      <c r="S566" s="393"/>
      <c r="T566" s="393"/>
      <c r="U566" s="393"/>
      <c r="V566" s="393"/>
      <c r="W566" s="393"/>
      <c r="X566" s="393"/>
      <c r="Y566" s="393"/>
      <c r="Z566" s="393"/>
    </row>
    <row r="567">
      <c r="A567" s="393"/>
      <c r="B567" s="393"/>
      <c r="C567" s="393"/>
      <c r="D567" s="393"/>
      <c r="E567" s="393"/>
      <c r="F567" s="393"/>
      <c r="G567" s="393"/>
      <c r="H567" s="393"/>
      <c r="I567" s="393"/>
      <c r="J567" s="393"/>
      <c r="K567" s="393"/>
      <c r="L567" s="393"/>
      <c r="M567" s="393"/>
      <c r="N567" s="393"/>
      <c r="O567" s="393"/>
      <c r="P567" s="393"/>
      <c r="Q567" s="393"/>
      <c r="R567" s="393"/>
      <c r="S567" s="393"/>
      <c r="T567" s="393"/>
      <c r="U567" s="393"/>
      <c r="V567" s="393"/>
      <c r="W567" s="393"/>
      <c r="X567" s="393"/>
      <c r="Y567" s="393"/>
      <c r="Z567" s="393"/>
    </row>
    <row r="568">
      <c r="A568" s="393"/>
      <c r="B568" s="393"/>
      <c r="C568" s="393"/>
      <c r="D568" s="393"/>
      <c r="E568" s="393"/>
      <c r="F568" s="393"/>
      <c r="G568" s="393"/>
      <c r="H568" s="393"/>
      <c r="I568" s="393"/>
      <c r="J568" s="393"/>
      <c r="K568" s="393"/>
      <c r="L568" s="393"/>
      <c r="M568" s="393"/>
      <c r="N568" s="393"/>
      <c r="O568" s="393"/>
      <c r="P568" s="393"/>
      <c r="Q568" s="393"/>
      <c r="R568" s="393"/>
      <c r="S568" s="393"/>
      <c r="T568" s="393"/>
      <c r="U568" s="393"/>
      <c r="V568" s="393"/>
      <c r="W568" s="393"/>
      <c r="X568" s="393"/>
      <c r="Y568" s="393"/>
      <c r="Z568" s="393"/>
    </row>
    <row r="569">
      <c r="A569" s="393"/>
      <c r="B569" s="393"/>
      <c r="C569" s="393"/>
      <c r="D569" s="393"/>
      <c r="E569" s="393"/>
      <c r="F569" s="393"/>
      <c r="G569" s="393"/>
      <c r="H569" s="393"/>
      <c r="I569" s="393"/>
      <c r="J569" s="393"/>
      <c r="K569" s="393"/>
      <c r="L569" s="393"/>
      <c r="M569" s="393"/>
      <c r="N569" s="393"/>
      <c r="O569" s="393"/>
      <c r="P569" s="393"/>
      <c r="Q569" s="393"/>
      <c r="R569" s="393"/>
      <c r="S569" s="393"/>
      <c r="T569" s="393"/>
      <c r="U569" s="393"/>
      <c r="V569" s="393"/>
      <c r="W569" s="393"/>
      <c r="X569" s="393"/>
      <c r="Y569" s="393"/>
      <c r="Z569" s="393"/>
    </row>
    <row r="570">
      <c r="A570" s="393"/>
      <c r="B570" s="393"/>
      <c r="C570" s="393"/>
      <c r="D570" s="393"/>
      <c r="E570" s="393"/>
      <c r="F570" s="393"/>
      <c r="G570" s="393"/>
      <c r="H570" s="393"/>
      <c r="I570" s="393"/>
      <c r="J570" s="393"/>
      <c r="K570" s="393"/>
      <c r="L570" s="393"/>
      <c r="M570" s="393"/>
      <c r="N570" s="393"/>
      <c r="O570" s="393"/>
      <c r="P570" s="393"/>
      <c r="Q570" s="393"/>
      <c r="R570" s="393"/>
      <c r="S570" s="393"/>
      <c r="T570" s="393"/>
      <c r="U570" s="393"/>
      <c r="V570" s="393"/>
      <c r="W570" s="393"/>
      <c r="X570" s="393"/>
      <c r="Y570" s="393"/>
      <c r="Z570" s="393"/>
    </row>
    <row r="571">
      <c r="A571" s="393"/>
      <c r="B571" s="393"/>
      <c r="C571" s="393"/>
      <c r="D571" s="393"/>
      <c r="E571" s="393"/>
      <c r="F571" s="393"/>
      <c r="G571" s="393"/>
      <c r="H571" s="393"/>
      <c r="I571" s="393"/>
      <c r="J571" s="393"/>
      <c r="K571" s="393"/>
      <c r="L571" s="393"/>
      <c r="M571" s="393"/>
      <c r="N571" s="393"/>
      <c r="O571" s="393"/>
      <c r="P571" s="393"/>
      <c r="Q571" s="393"/>
      <c r="R571" s="393"/>
      <c r="S571" s="393"/>
      <c r="T571" s="393"/>
      <c r="U571" s="393"/>
      <c r="V571" s="393"/>
      <c r="W571" s="393"/>
      <c r="X571" s="393"/>
      <c r="Y571" s="393"/>
      <c r="Z571" s="393"/>
    </row>
    <row r="572">
      <c r="A572" s="393"/>
      <c r="B572" s="393"/>
      <c r="C572" s="393"/>
      <c r="D572" s="393"/>
      <c r="E572" s="393"/>
      <c r="F572" s="393"/>
      <c r="G572" s="393"/>
      <c r="H572" s="393"/>
      <c r="I572" s="393"/>
      <c r="J572" s="393"/>
      <c r="K572" s="393"/>
      <c r="L572" s="393"/>
      <c r="M572" s="393"/>
      <c r="N572" s="393"/>
      <c r="O572" s="393"/>
      <c r="P572" s="393"/>
      <c r="Q572" s="393"/>
      <c r="R572" s="393"/>
      <c r="S572" s="393"/>
      <c r="T572" s="393"/>
      <c r="U572" s="393"/>
      <c r="V572" s="393"/>
      <c r="W572" s="393"/>
      <c r="X572" s="393"/>
      <c r="Y572" s="393"/>
      <c r="Z572" s="393"/>
    </row>
    <row r="573">
      <c r="A573" s="393"/>
      <c r="B573" s="393"/>
      <c r="C573" s="393"/>
      <c r="D573" s="393"/>
      <c r="E573" s="393"/>
      <c r="F573" s="393"/>
      <c r="G573" s="393"/>
      <c r="H573" s="393"/>
      <c r="I573" s="393"/>
      <c r="J573" s="393"/>
      <c r="K573" s="393"/>
      <c r="L573" s="393"/>
      <c r="M573" s="393"/>
      <c r="N573" s="393"/>
      <c r="O573" s="393"/>
      <c r="P573" s="393"/>
      <c r="Q573" s="393"/>
      <c r="R573" s="393"/>
      <c r="S573" s="393"/>
      <c r="T573" s="393"/>
      <c r="U573" s="393"/>
      <c r="V573" s="393"/>
      <c r="W573" s="393"/>
      <c r="X573" s="393"/>
      <c r="Y573" s="393"/>
      <c r="Z573" s="393"/>
    </row>
    <row r="574">
      <c r="A574" s="393"/>
      <c r="B574" s="393"/>
      <c r="C574" s="393"/>
      <c r="D574" s="393"/>
      <c r="E574" s="393"/>
      <c r="F574" s="393"/>
      <c r="G574" s="393"/>
      <c r="H574" s="393"/>
      <c r="I574" s="393"/>
      <c r="J574" s="393"/>
      <c r="K574" s="393"/>
      <c r="L574" s="393"/>
      <c r="M574" s="393"/>
      <c r="N574" s="393"/>
      <c r="O574" s="393"/>
      <c r="P574" s="393"/>
      <c r="Q574" s="393"/>
      <c r="R574" s="393"/>
      <c r="S574" s="393"/>
      <c r="T574" s="393"/>
      <c r="U574" s="393"/>
      <c r="V574" s="393"/>
      <c r="W574" s="393"/>
      <c r="X574" s="393"/>
      <c r="Y574" s="393"/>
      <c r="Z574" s="393"/>
    </row>
    <row r="575">
      <c r="A575" s="393"/>
      <c r="B575" s="393"/>
      <c r="C575" s="393"/>
      <c r="D575" s="393"/>
      <c r="E575" s="393"/>
      <c r="F575" s="393"/>
      <c r="G575" s="393"/>
      <c r="H575" s="393"/>
      <c r="I575" s="393"/>
      <c r="J575" s="393"/>
      <c r="K575" s="393"/>
      <c r="L575" s="393"/>
      <c r="M575" s="393"/>
      <c r="N575" s="393"/>
      <c r="O575" s="393"/>
      <c r="P575" s="393"/>
      <c r="Q575" s="393"/>
      <c r="R575" s="393"/>
      <c r="S575" s="393"/>
      <c r="T575" s="393"/>
      <c r="U575" s="393"/>
      <c r="V575" s="393"/>
      <c r="W575" s="393"/>
      <c r="X575" s="393"/>
      <c r="Y575" s="393"/>
      <c r="Z575" s="393"/>
    </row>
    <row r="576">
      <c r="A576" s="393"/>
      <c r="B576" s="393"/>
      <c r="C576" s="393"/>
      <c r="D576" s="393"/>
      <c r="E576" s="393"/>
      <c r="F576" s="393"/>
      <c r="G576" s="393"/>
      <c r="H576" s="393"/>
      <c r="I576" s="393"/>
      <c r="J576" s="393"/>
      <c r="K576" s="393"/>
      <c r="L576" s="393"/>
      <c r="M576" s="393"/>
      <c r="N576" s="393"/>
      <c r="O576" s="393"/>
      <c r="P576" s="393"/>
      <c r="Q576" s="393"/>
      <c r="R576" s="393"/>
      <c r="S576" s="393"/>
      <c r="T576" s="393"/>
      <c r="U576" s="393"/>
      <c r="V576" s="393"/>
      <c r="W576" s="393"/>
      <c r="X576" s="393"/>
      <c r="Y576" s="393"/>
      <c r="Z576" s="393"/>
    </row>
    <row r="577">
      <c r="A577" s="393"/>
      <c r="B577" s="393"/>
      <c r="C577" s="393"/>
      <c r="D577" s="393"/>
      <c r="E577" s="393"/>
      <c r="F577" s="393"/>
      <c r="G577" s="393"/>
      <c r="H577" s="393"/>
      <c r="I577" s="393"/>
      <c r="J577" s="393"/>
      <c r="K577" s="393"/>
      <c r="L577" s="393"/>
      <c r="M577" s="393"/>
      <c r="N577" s="393"/>
      <c r="O577" s="393"/>
      <c r="P577" s="393"/>
      <c r="Q577" s="393"/>
      <c r="R577" s="393"/>
      <c r="S577" s="393"/>
      <c r="T577" s="393"/>
      <c r="U577" s="393"/>
      <c r="V577" s="393"/>
      <c r="W577" s="393"/>
      <c r="X577" s="393"/>
      <c r="Y577" s="393"/>
      <c r="Z577" s="393"/>
    </row>
    <row r="578">
      <c r="A578" s="393"/>
      <c r="B578" s="393"/>
      <c r="C578" s="393"/>
      <c r="D578" s="393"/>
      <c r="E578" s="393"/>
      <c r="F578" s="393"/>
      <c r="G578" s="393"/>
      <c r="H578" s="393"/>
      <c r="I578" s="393"/>
      <c r="J578" s="393"/>
      <c r="K578" s="393"/>
      <c r="L578" s="393"/>
      <c r="M578" s="393"/>
      <c r="N578" s="393"/>
      <c r="O578" s="393"/>
      <c r="P578" s="393"/>
      <c r="Q578" s="393"/>
      <c r="R578" s="393"/>
      <c r="S578" s="393"/>
      <c r="T578" s="393"/>
      <c r="U578" s="393"/>
      <c r="V578" s="393"/>
      <c r="W578" s="393"/>
      <c r="X578" s="393"/>
      <c r="Y578" s="393"/>
      <c r="Z578" s="393"/>
    </row>
    <row r="579">
      <c r="A579" s="393"/>
      <c r="B579" s="393"/>
      <c r="C579" s="393"/>
      <c r="D579" s="393"/>
      <c r="E579" s="393"/>
      <c r="F579" s="393"/>
      <c r="G579" s="393"/>
      <c r="H579" s="393"/>
      <c r="I579" s="393"/>
      <c r="J579" s="393"/>
      <c r="K579" s="393"/>
      <c r="L579" s="393"/>
      <c r="M579" s="393"/>
      <c r="N579" s="393"/>
      <c r="O579" s="393"/>
      <c r="P579" s="393"/>
      <c r="Q579" s="393"/>
      <c r="R579" s="393"/>
      <c r="S579" s="393"/>
      <c r="T579" s="393"/>
      <c r="U579" s="393"/>
      <c r="V579" s="393"/>
      <c r="W579" s="393"/>
      <c r="X579" s="393"/>
      <c r="Y579" s="393"/>
      <c r="Z579" s="393"/>
    </row>
    <row r="580">
      <c r="A580" s="393"/>
      <c r="B580" s="393"/>
      <c r="C580" s="393"/>
      <c r="D580" s="393"/>
      <c r="E580" s="393"/>
      <c r="F580" s="393"/>
      <c r="G580" s="393"/>
      <c r="H580" s="393"/>
      <c r="I580" s="393"/>
      <c r="J580" s="393"/>
      <c r="K580" s="393"/>
      <c r="L580" s="393"/>
      <c r="M580" s="393"/>
      <c r="N580" s="393"/>
      <c r="O580" s="393"/>
      <c r="P580" s="393"/>
      <c r="Q580" s="393"/>
      <c r="R580" s="393"/>
      <c r="S580" s="393"/>
      <c r="T580" s="393"/>
      <c r="U580" s="393"/>
      <c r="V580" s="393"/>
      <c r="W580" s="393"/>
      <c r="X580" s="393"/>
      <c r="Y580" s="393"/>
      <c r="Z580" s="393"/>
    </row>
    <row r="581">
      <c r="A581" s="393"/>
      <c r="B581" s="393"/>
      <c r="C581" s="393"/>
      <c r="D581" s="393"/>
      <c r="E581" s="393"/>
      <c r="F581" s="393"/>
      <c r="G581" s="393"/>
      <c r="H581" s="393"/>
      <c r="I581" s="393"/>
      <c r="J581" s="393"/>
      <c r="K581" s="393"/>
      <c r="L581" s="393"/>
      <c r="M581" s="393"/>
      <c r="N581" s="393"/>
      <c r="O581" s="393"/>
      <c r="P581" s="393"/>
      <c r="Q581" s="393"/>
      <c r="R581" s="393"/>
      <c r="S581" s="393"/>
      <c r="T581" s="393"/>
      <c r="U581" s="393"/>
      <c r="V581" s="393"/>
      <c r="W581" s="393"/>
      <c r="X581" s="393"/>
      <c r="Y581" s="393"/>
      <c r="Z581" s="393"/>
    </row>
    <row r="582">
      <c r="A582" s="393"/>
      <c r="B582" s="393"/>
      <c r="C582" s="393"/>
      <c r="D582" s="393"/>
      <c r="E582" s="393"/>
      <c r="F582" s="393"/>
      <c r="G582" s="393"/>
      <c r="H582" s="393"/>
      <c r="I582" s="393"/>
      <c r="J582" s="393"/>
      <c r="K582" s="393"/>
      <c r="L582" s="393"/>
      <c r="M582" s="393"/>
      <c r="N582" s="393"/>
      <c r="O582" s="393"/>
      <c r="P582" s="393"/>
      <c r="Q582" s="393"/>
      <c r="R582" s="393"/>
      <c r="S582" s="393"/>
      <c r="T582" s="393"/>
      <c r="U582" s="393"/>
      <c r="V582" s="393"/>
      <c r="W582" s="393"/>
      <c r="X582" s="393"/>
      <c r="Y582" s="393"/>
      <c r="Z582" s="393"/>
    </row>
    <row r="583">
      <c r="A583" s="393"/>
      <c r="B583" s="393"/>
      <c r="C583" s="393"/>
      <c r="D583" s="393"/>
      <c r="E583" s="393"/>
      <c r="F583" s="393"/>
      <c r="G583" s="393"/>
      <c r="H583" s="393"/>
      <c r="I583" s="393"/>
      <c r="J583" s="393"/>
      <c r="K583" s="393"/>
      <c r="L583" s="393"/>
      <c r="M583" s="393"/>
      <c r="N583" s="393"/>
      <c r="O583" s="393"/>
      <c r="P583" s="393"/>
      <c r="Q583" s="393"/>
      <c r="R583" s="393"/>
      <c r="S583" s="393"/>
      <c r="T583" s="393"/>
      <c r="U583" s="393"/>
      <c r="V583" s="393"/>
      <c r="W583" s="393"/>
      <c r="X583" s="393"/>
      <c r="Y583" s="393"/>
      <c r="Z583" s="393"/>
    </row>
    <row r="584">
      <c r="A584" s="393"/>
      <c r="B584" s="393"/>
      <c r="C584" s="393"/>
      <c r="D584" s="393"/>
      <c r="E584" s="393"/>
      <c r="F584" s="393"/>
      <c r="G584" s="393"/>
      <c r="H584" s="393"/>
      <c r="I584" s="393"/>
      <c r="J584" s="393"/>
      <c r="K584" s="393"/>
      <c r="L584" s="393"/>
      <c r="M584" s="393"/>
      <c r="N584" s="393"/>
      <c r="O584" s="393"/>
      <c r="P584" s="393"/>
      <c r="Q584" s="393"/>
      <c r="R584" s="393"/>
      <c r="S584" s="393"/>
      <c r="T584" s="393"/>
      <c r="U584" s="393"/>
      <c r="V584" s="393"/>
      <c r="W584" s="393"/>
      <c r="X584" s="393"/>
      <c r="Y584" s="393"/>
      <c r="Z584" s="393"/>
    </row>
    <row r="585">
      <c r="A585" s="393"/>
      <c r="B585" s="393"/>
      <c r="C585" s="393"/>
      <c r="D585" s="393"/>
      <c r="E585" s="393"/>
      <c r="F585" s="393"/>
      <c r="G585" s="393"/>
      <c r="H585" s="393"/>
      <c r="I585" s="393"/>
      <c r="J585" s="393"/>
      <c r="K585" s="393"/>
      <c r="L585" s="393"/>
      <c r="M585" s="393"/>
      <c r="N585" s="393"/>
      <c r="O585" s="393"/>
      <c r="P585" s="393"/>
      <c r="Q585" s="393"/>
      <c r="R585" s="393"/>
      <c r="S585" s="393"/>
      <c r="T585" s="393"/>
      <c r="U585" s="393"/>
      <c r="V585" s="393"/>
      <c r="W585" s="393"/>
      <c r="X585" s="393"/>
      <c r="Y585" s="393"/>
      <c r="Z585" s="393"/>
    </row>
    <row r="586">
      <c r="A586" s="393"/>
      <c r="B586" s="393"/>
      <c r="C586" s="393"/>
      <c r="D586" s="393"/>
      <c r="E586" s="393"/>
      <c r="F586" s="393"/>
      <c r="G586" s="393"/>
      <c r="H586" s="393"/>
      <c r="I586" s="393"/>
      <c r="J586" s="393"/>
      <c r="K586" s="393"/>
      <c r="L586" s="393"/>
      <c r="M586" s="393"/>
      <c r="N586" s="393"/>
      <c r="O586" s="393"/>
      <c r="P586" s="393"/>
      <c r="Q586" s="393"/>
      <c r="R586" s="393"/>
      <c r="S586" s="393"/>
      <c r="T586" s="393"/>
      <c r="U586" s="393"/>
      <c r="V586" s="393"/>
      <c r="W586" s="393"/>
      <c r="X586" s="393"/>
      <c r="Y586" s="393"/>
      <c r="Z586" s="393"/>
    </row>
    <row r="587">
      <c r="A587" s="393"/>
      <c r="B587" s="393"/>
      <c r="C587" s="393"/>
      <c r="D587" s="393"/>
      <c r="E587" s="393"/>
      <c r="F587" s="393"/>
      <c r="G587" s="393"/>
      <c r="H587" s="393"/>
      <c r="I587" s="393"/>
      <c r="J587" s="393"/>
      <c r="K587" s="393"/>
      <c r="L587" s="393"/>
      <c r="M587" s="393"/>
      <c r="N587" s="393"/>
      <c r="O587" s="393"/>
      <c r="P587" s="393"/>
      <c r="Q587" s="393"/>
      <c r="R587" s="393"/>
      <c r="S587" s="393"/>
      <c r="T587" s="393"/>
      <c r="U587" s="393"/>
      <c r="V587" s="393"/>
      <c r="W587" s="393"/>
      <c r="X587" s="393"/>
      <c r="Y587" s="393"/>
      <c r="Z587" s="393"/>
    </row>
    <row r="588">
      <c r="A588" s="393"/>
      <c r="B588" s="393"/>
      <c r="C588" s="393"/>
      <c r="D588" s="393"/>
      <c r="E588" s="393"/>
      <c r="F588" s="393"/>
      <c r="G588" s="393"/>
      <c r="H588" s="393"/>
      <c r="I588" s="393"/>
      <c r="J588" s="393"/>
      <c r="K588" s="393"/>
      <c r="L588" s="393"/>
      <c r="M588" s="393"/>
      <c r="N588" s="393"/>
      <c r="O588" s="393"/>
      <c r="P588" s="393"/>
      <c r="Q588" s="393"/>
      <c r="R588" s="393"/>
      <c r="S588" s="393"/>
      <c r="T588" s="393"/>
      <c r="U588" s="393"/>
      <c r="V588" s="393"/>
      <c r="W588" s="393"/>
      <c r="X588" s="393"/>
      <c r="Y588" s="393"/>
      <c r="Z588" s="393"/>
    </row>
    <row r="589">
      <c r="A589" s="393"/>
      <c r="B589" s="393"/>
      <c r="C589" s="393"/>
      <c r="D589" s="393"/>
      <c r="E589" s="393"/>
      <c r="F589" s="393"/>
      <c r="G589" s="393"/>
      <c r="H589" s="393"/>
      <c r="I589" s="393"/>
      <c r="J589" s="393"/>
      <c r="K589" s="393"/>
      <c r="L589" s="393"/>
      <c r="M589" s="393"/>
      <c r="N589" s="393"/>
      <c r="O589" s="393"/>
      <c r="P589" s="393"/>
      <c r="Q589" s="393"/>
      <c r="R589" s="393"/>
      <c r="S589" s="393"/>
      <c r="T589" s="393"/>
      <c r="U589" s="393"/>
      <c r="V589" s="393"/>
      <c r="W589" s="393"/>
      <c r="X589" s="393"/>
      <c r="Y589" s="393"/>
      <c r="Z589" s="393"/>
    </row>
    <row r="590">
      <c r="A590" s="393"/>
      <c r="B590" s="393"/>
      <c r="C590" s="393"/>
      <c r="D590" s="393"/>
      <c r="E590" s="393"/>
      <c r="F590" s="393"/>
      <c r="G590" s="393"/>
      <c r="H590" s="393"/>
      <c r="I590" s="393"/>
      <c r="J590" s="393"/>
      <c r="K590" s="393"/>
      <c r="L590" s="393"/>
      <c r="M590" s="393"/>
      <c r="N590" s="393"/>
      <c r="O590" s="393"/>
      <c r="P590" s="393"/>
      <c r="Q590" s="393"/>
      <c r="R590" s="393"/>
      <c r="S590" s="393"/>
      <c r="T590" s="393"/>
      <c r="U590" s="393"/>
      <c r="V590" s="393"/>
      <c r="W590" s="393"/>
      <c r="X590" s="393"/>
      <c r="Y590" s="393"/>
      <c r="Z590" s="393"/>
    </row>
    <row r="591">
      <c r="A591" s="393"/>
      <c r="B591" s="393"/>
      <c r="C591" s="393"/>
      <c r="D591" s="393"/>
      <c r="E591" s="393"/>
      <c r="F591" s="393"/>
      <c r="G591" s="393"/>
      <c r="H591" s="393"/>
      <c r="I591" s="393"/>
      <c r="J591" s="393"/>
      <c r="K591" s="393"/>
      <c r="L591" s="393"/>
      <c r="M591" s="393"/>
      <c r="N591" s="393"/>
      <c r="O591" s="393"/>
      <c r="P591" s="393"/>
      <c r="Q591" s="393"/>
      <c r="R591" s="393"/>
      <c r="S591" s="393"/>
      <c r="T591" s="393"/>
      <c r="U591" s="393"/>
      <c r="V591" s="393"/>
      <c r="W591" s="393"/>
      <c r="X591" s="393"/>
      <c r="Y591" s="393"/>
      <c r="Z591" s="393"/>
    </row>
    <row r="592">
      <c r="A592" s="393"/>
      <c r="B592" s="393"/>
      <c r="C592" s="393"/>
      <c r="D592" s="393"/>
      <c r="E592" s="393"/>
      <c r="F592" s="393"/>
      <c r="G592" s="393"/>
      <c r="H592" s="393"/>
      <c r="I592" s="393"/>
      <c r="J592" s="393"/>
      <c r="K592" s="393"/>
      <c r="L592" s="393"/>
      <c r="M592" s="393"/>
      <c r="N592" s="393"/>
      <c r="O592" s="393"/>
      <c r="P592" s="393"/>
      <c r="Q592" s="393"/>
      <c r="R592" s="393"/>
      <c r="S592" s="393"/>
      <c r="T592" s="393"/>
      <c r="U592" s="393"/>
      <c r="V592" s="393"/>
      <c r="W592" s="393"/>
      <c r="X592" s="393"/>
      <c r="Y592" s="393"/>
      <c r="Z592" s="393"/>
    </row>
    <row r="593">
      <c r="A593" s="393"/>
      <c r="B593" s="393"/>
      <c r="C593" s="393"/>
      <c r="D593" s="393"/>
      <c r="E593" s="393"/>
      <c r="F593" s="393"/>
      <c r="G593" s="393"/>
      <c r="H593" s="393"/>
      <c r="I593" s="393"/>
      <c r="J593" s="393"/>
      <c r="K593" s="393"/>
      <c r="L593" s="393"/>
      <c r="M593" s="393"/>
      <c r="N593" s="393"/>
      <c r="O593" s="393"/>
      <c r="P593" s="393"/>
      <c r="Q593" s="393"/>
      <c r="R593" s="393"/>
      <c r="S593" s="393"/>
      <c r="T593" s="393"/>
      <c r="U593" s="393"/>
      <c r="V593" s="393"/>
      <c r="W593" s="393"/>
      <c r="X593" s="393"/>
      <c r="Y593" s="393"/>
      <c r="Z593" s="393"/>
    </row>
    <row r="594">
      <c r="A594" s="393"/>
      <c r="B594" s="393"/>
      <c r="C594" s="393"/>
      <c r="D594" s="393"/>
      <c r="E594" s="393"/>
      <c r="F594" s="393"/>
      <c r="G594" s="393"/>
      <c r="H594" s="393"/>
      <c r="I594" s="393"/>
      <c r="J594" s="393"/>
      <c r="K594" s="393"/>
      <c r="L594" s="393"/>
      <c r="M594" s="393"/>
      <c r="N594" s="393"/>
      <c r="O594" s="393"/>
      <c r="P594" s="393"/>
      <c r="Q594" s="393"/>
      <c r="R594" s="393"/>
      <c r="S594" s="393"/>
      <c r="T594" s="393"/>
      <c r="U594" s="393"/>
      <c r="V594" s="393"/>
      <c r="W594" s="393"/>
      <c r="X594" s="393"/>
      <c r="Y594" s="393"/>
      <c r="Z594" s="393"/>
    </row>
    <row r="595">
      <c r="A595" s="393"/>
      <c r="B595" s="393"/>
      <c r="C595" s="393"/>
      <c r="D595" s="393"/>
      <c r="E595" s="393"/>
      <c r="F595" s="393"/>
      <c r="G595" s="393"/>
      <c r="H595" s="393"/>
      <c r="I595" s="393"/>
      <c r="J595" s="393"/>
      <c r="K595" s="393"/>
      <c r="L595" s="393"/>
      <c r="M595" s="393"/>
      <c r="N595" s="393"/>
      <c r="O595" s="393"/>
      <c r="P595" s="393"/>
      <c r="Q595" s="393"/>
      <c r="R595" s="393"/>
      <c r="S595" s="393"/>
      <c r="T595" s="393"/>
      <c r="U595" s="393"/>
      <c r="V595" s="393"/>
      <c r="W595" s="393"/>
      <c r="X595" s="393"/>
      <c r="Y595" s="393"/>
      <c r="Z595" s="393"/>
    </row>
    <row r="596">
      <c r="A596" s="393"/>
      <c r="B596" s="393"/>
      <c r="C596" s="393"/>
      <c r="D596" s="393"/>
      <c r="E596" s="393"/>
      <c r="F596" s="393"/>
      <c r="G596" s="393"/>
      <c r="H596" s="393"/>
      <c r="I596" s="393"/>
      <c r="J596" s="393"/>
      <c r="K596" s="393"/>
      <c r="L596" s="393"/>
      <c r="M596" s="393"/>
      <c r="N596" s="393"/>
      <c r="O596" s="393"/>
      <c r="P596" s="393"/>
      <c r="Q596" s="393"/>
      <c r="R596" s="393"/>
      <c r="S596" s="393"/>
      <c r="T596" s="393"/>
      <c r="U596" s="393"/>
      <c r="V596" s="393"/>
      <c r="W596" s="393"/>
      <c r="X596" s="393"/>
      <c r="Y596" s="393"/>
      <c r="Z596" s="393"/>
    </row>
    <row r="597">
      <c r="A597" s="393"/>
      <c r="B597" s="393"/>
      <c r="C597" s="393"/>
      <c r="D597" s="393"/>
      <c r="E597" s="393"/>
      <c r="F597" s="393"/>
      <c r="G597" s="393"/>
      <c r="H597" s="393"/>
      <c r="I597" s="393"/>
      <c r="J597" s="393"/>
      <c r="K597" s="393"/>
      <c r="L597" s="393"/>
      <c r="M597" s="393"/>
      <c r="N597" s="393"/>
      <c r="O597" s="393"/>
      <c r="P597" s="393"/>
      <c r="Q597" s="393"/>
      <c r="R597" s="393"/>
      <c r="S597" s="393"/>
      <c r="T597" s="393"/>
      <c r="U597" s="393"/>
      <c r="V597" s="393"/>
      <c r="W597" s="393"/>
      <c r="X597" s="393"/>
      <c r="Y597" s="393"/>
      <c r="Z597" s="393"/>
    </row>
    <row r="598">
      <c r="A598" s="393"/>
      <c r="B598" s="393"/>
      <c r="C598" s="393"/>
      <c r="D598" s="393"/>
      <c r="E598" s="393"/>
      <c r="F598" s="393"/>
      <c r="G598" s="393"/>
      <c r="H598" s="393"/>
      <c r="I598" s="393"/>
      <c r="J598" s="393"/>
      <c r="K598" s="393"/>
      <c r="L598" s="393"/>
      <c r="M598" s="393"/>
      <c r="N598" s="393"/>
      <c r="O598" s="393"/>
      <c r="P598" s="393"/>
      <c r="Q598" s="393"/>
      <c r="R598" s="393"/>
      <c r="S598" s="393"/>
      <c r="T598" s="393"/>
      <c r="U598" s="393"/>
      <c r="V598" s="393"/>
      <c r="W598" s="393"/>
      <c r="X598" s="393"/>
      <c r="Y598" s="393"/>
      <c r="Z598" s="393"/>
    </row>
    <row r="599">
      <c r="A599" s="393"/>
      <c r="B599" s="393"/>
      <c r="C599" s="393"/>
      <c r="D599" s="393"/>
      <c r="E599" s="393"/>
      <c r="F599" s="393"/>
      <c r="G599" s="393"/>
      <c r="H599" s="393"/>
      <c r="I599" s="393"/>
      <c r="J599" s="393"/>
      <c r="K599" s="393"/>
      <c r="L599" s="393"/>
      <c r="M599" s="393"/>
      <c r="N599" s="393"/>
      <c r="O599" s="393"/>
      <c r="P599" s="393"/>
      <c r="Q599" s="393"/>
      <c r="R599" s="393"/>
      <c r="S599" s="393"/>
      <c r="T599" s="393"/>
      <c r="U599" s="393"/>
      <c r="V599" s="393"/>
      <c r="W599" s="393"/>
      <c r="X599" s="393"/>
      <c r="Y599" s="393"/>
      <c r="Z599" s="393"/>
    </row>
    <row r="600">
      <c r="A600" s="393"/>
      <c r="B600" s="393"/>
      <c r="C600" s="393"/>
      <c r="D600" s="393"/>
      <c r="E600" s="393"/>
      <c r="F600" s="393"/>
      <c r="G600" s="393"/>
      <c r="H600" s="393"/>
      <c r="I600" s="393"/>
      <c r="J600" s="393"/>
      <c r="K600" s="393"/>
      <c r="L600" s="393"/>
      <c r="M600" s="393"/>
      <c r="N600" s="393"/>
      <c r="O600" s="393"/>
      <c r="P600" s="393"/>
      <c r="Q600" s="393"/>
      <c r="R600" s="393"/>
      <c r="S600" s="393"/>
      <c r="T600" s="393"/>
      <c r="U600" s="393"/>
      <c r="V600" s="393"/>
      <c r="W600" s="393"/>
      <c r="X600" s="393"/>
      <c r="Y600" s="393"/>
      <c r="Z600" s="393"/>
    </row>
    <row r="601">
      <c r="A601" s="393"/>
      <c r="B601" s="393"/>
      <c r="C601" s="393"/>
      <c r="D601" s="393"/>
      <c r="E601" s="393"/>
      <c r="F601" s="393"/>
      <c r="G601" s="393"/>
      <c r="H601" s="393"/>
      <c r="I601" s="393"/>
      <c r="J601" s="393"/>
      <c r="K601" s="393"/>
      <c r="L601" s="393"/>
      <c r="M601" s="393"/>
      <c r="N601" s="393"/>
      <c r="O601" s="393"/>
      <c r="P601" s="393"/>
      <c r="Q601" s="393"/>
      <c r="R601" s="393"/>
      <c r="S601" s="393"/>
      <c r="T601" s="393"/>
      <c r="U601" s="393"/>
      <c r="V601" s="393"/>
      <c r="W601" s="393"/>
      <c r="X601" s="393"/>
      <c r="Y601" s="393"/>
      <c r="Z601" s="393"/>
    </row>
    <row r="602">
      <c r="A602" s="393"/>
      <c r="B602" s="393"/>
      <c r="C602" s="393"/>
      <c r="D602" s="393"/>
      <c r="E602" s="393"/>
      <c r="F602" s="393"/>
      <c r="G602" s="393"/>
      <c r="H602" s="393"/>
      <c r="I602" s="393"/>
      <c r="J602" s="393"/>
      <c r="K602" s="393"/>
      <c r="L602" s="393"/>
      <c r="M602" s="393"/>
      <c r="N602" s="393"/>
      <c r="O602" s="393"/>
      <c r="P602" s="393"/>
      <c r="Q602" s="393"/>
      <c r="R602" s="393"/>
      <c r="S602" s="393"/>
      <c r="T602" s="393"/>
      <c r="U602" s="393"/>
      <c r="V602" s="393"/>
      <c r="W602" s="393"/>
      <c r="X602" s="393"/>
      <c r="Y602" s="393"/>
      <c r="Z602" s="393"/>
    </row>
    <row r="603">
      <c r="A603" s="393"/>
      <c r="B603" s="393"/>
      <c r="C603" s="393"/>
      <c r="D603" s="393"/>
      <c r="E603" s="393"/>
      <c r="F603" s="393"/>
      <c r="G603" s="393"/>
      <c r="H603" s="393"/>
      <c r="I603" s="393"/>
      <c r="J603" s="393"/>
      <c r="K603" s="393"/>
      <c r="L603" s="393"/>
      <c r="M603" s="393"/>
      <c r="N603" s="393"/>
      <c r="O603" s="393"/>
      <c r="P603" s="393"/>
      <c r="Q603" s="393"/>
      <c r="R603" s="393"/>
      <c r="S603" s="393"/>
      <c r="T603" s="393"/>
      <c r="U603" s="393"/>
      <c r="V603" s="393"/>
      <c r="W603" s="393"/>
      <c r="X603" s="393"/>
      <c r="Y603" s="393"/>
      <c r="Z603" s="393"/>
    </row>
    <row r="604">
      <c r="A604" s="393"/>
      <c r="B604" s="393"/>
      <c r="C604" s="393"/>
      <c r="D604" s="393"/>
      <c r="E604" s="393"/>
      <c r="F604" s="393"/>
      <c r="G604" s="393"/>
      <c r="H604" s="393"/>
      <c r="I604" s="393"/>
      <c r="J604" s="393"/>
      <c r="K604" s="393"/>
      <c r="L604" s="393"/>
      <c r="M604" s="393"/>
      <c r="N604" s="393"/>
      <c r="O604" s="393"/>
      <c r="P604" s="393"/>
      <c r="Q604" s="393"/>
      <c r="R604" s="393"/>
      <c r="S604" s="393"/>
      <c r="T604" s="393"/>
      <c r="U604" s="393"/>
      <c r="V604" s="393"/>
      <c r="W604" s="393"/>
      <c r="X604" s="393"/>
      <c r="Y604" s="393"/>
      <c r="Z604" s="393"/>
    </row>
    <row r="605">
      <c r="A605" s="393"/>
      <c r="B605" s="393"/>
      <c r="C605" s="393"/>
      <c r="D605" s="393"/>
      <c r="E605" s="393"/>
      <c r="F605" s="393"/>
      <c r="G605" s="393"/>
      <c r="H605" s="393"/>
      <c r="I605" s="393"/>
      <c r="J605" s="393"/>
      <c r="K605" s="393"/>
      <c r="L605" s="393"/>
      <c r="M605" s="393"/>
      <c r="N605" s="393"/>
      <c r="O605" s="393"/>
      <c r="P605" s="393"/>
      <c r="Q605" s="393"/>
      <c r="R605" s="393"/>
      <c r="S605" s="393"/>
      <c r="T605" s="393"/>
      <c r="U605" s="393"/>
      <c r="V605" s="393"/>
      <c r="W605" s="393"/>
      <c r="X605" s="393"/>
      <c r="Y605" s="393"/>
      <c r="Z605" s="393"/>
    </row>
    <row r="606">
      <c r="A606" s="393"/>
      <c r="B606" s="393"/>
      <c r="C606" s="393"/>
      <c r="D606" s="393"/>
      <c r="E606" s="393"/>
      <c r="F606" s="393"/>
      <c r="G606" s="393"/>
      <c r="H606" s="393"/>
      <c r="I606" s="393"/>
      <c r="J606" s="393"/>
      <c r="K606" s="393"/>
      <c r="L606" s="393"/>
      <c r="M606" s="393"/>
      <c r="N606" s="393"/>
      <c r="O606" s="393"/>
      <c r="P606" s="393"/>
      <c r="Q606" s="393"/>
      <c r="R606" s="393"/>
      <c r="S606" s="393"/>
      <c r="T606" s="393"/>
      <c r="U606" s="393"/>
      <c r="V606" s="393"/>
      <c r="W606" s="393"/>
      <c r="X606" s="393"/>
      <c r="Y606" s="393"/>
      <c r="Z606" s="393"/>
    </row>
    <row r="607">
      <c r="A607" s="393"/>
      <c r="B607" s="393"/>
      <c r="C607" s="393"/>
      <c r="D607" s="393"/>
      <c r="E607" s="393"/>
      <c r="F607" s="393"/>
      <c r="G607" s="393"/>
      <c r="H607" s="393"/>
      <c r="I607" s="393"/>
      <c r="J607" s="393"/>
      <c r="K607" s="393"/>
      <c r="L607" s="393"/>
      <c r="M607" s="393"/>
      <c r="N607" s="393"/>
      <c r="O607" s="393"/>
      <c r="P607" s="393"/>
      <c r="Q607" s="393"/>
      <c r="R607" s="393"/>
      <c r="S607" s="393"/>
      <c r="T607" s="393"/>
      <c r="U607" s="393"/>
      <c r="V607" s="393"/>
      <c r="W607" s="393"/>
      <c r="X607" s="393"/>
      <c r="Y607" s="393"/>
      <c r="Z607" s="393"/>
    </row>
    <row r="608">
      <c r="A608" s="393"/>
      <c r="B608" s="393"/>
      <c r="C608" s="393"/>
      <c r="D608" s="393"/>
      <c r="E608" s="393"/>
      <c r="F608" s="393"/>
      <c r="G608" s="393"/>
      <c r="H608" s="393"/>
      <c r="I608" s="393"/>
      <c r="J608" s="393"/>
      <c r="K608" s="393"/>
      <c r="L608" s="393"/>
      <c r="M608" s="393"/>
      <c r="N608" s="393"/>
      <c r="O608" s="393"/>
      <c r="P608" s="393"/>
      <c r="Q608" s="393"/>
      <c r="R608" s="393"/>
      <c r="S608" s="393"/>
      <c r="T608" s="393"/>
      <c r="U608" s="393"/>
      <c r="V608" s="393"/>
      <c r="W608" s="393"/>
      <c r="X608" s="393"/>
      <c r="Y608" s="393"/>
      <c r="Z608" s="393"/>
    </row>
    <row r="609">
      <c r="A609" s="393"/>
      <c r="B609" s="393"/>
      <c r="C609" s="393"/>
      <c r="D609" s="393"/>
      <c r="E609" s="393"/>
      <c r="F609" s="393"/>
      <c r="G609" s="393"/>
      <c r="H609" s="393"/>
      <c r="I609" s="393"/>
      <c r="J609" s="393"/>
      <c r="K609" s="393"/>
      <c r="L609" s="393"/>
      <c r="M609" s="393"/>
      <c r="N609" s="393"/>
      <c r="O609" s="393"/>
      <c r="P609" s="393"/>
      <c r="Q609" s="393"/>
      <c r="R609" s="393"/>
      <c r="S609" s="393"/>
      <c r="T609" s="393"/>
      <c r="U609" s="393"/>
      <c r="V609" s="393"/>
      <c r="W609" s="393"/>
      <c r="X609" s="393"/>
      <c r="Y609" s="393"/>
      <c r="Z609" s="393"/>
    </row>
    <row r="610">
      <c r="A610" s="393"/>
      <c r="B610" s="393"/>
      <c r="C610" s="393"/>
      <c r="D610" s="393"/>
      <c r="E610" s="393"/>
      <c r="F610" s="393"/>
      <c r="G610" s="393"/>
      <c r="H610" s="393"/>
      <c r="I610" s="393"/>
      <c r="J610" s="393"/>
      <c r="K610" s="393"/>
      <c r="L610" s="393"/>
      <c r="M610" s="393"/>
      <c r="N610" s="393"/>
      <c r="O610" s="393"/>
      <c r="P610" s="393"/>
      <c r="Q610" s="393"/>
      <c r="R610" s="393"/>
      <c r="S610" s="393"/>
      <c r="T610" s="393"/>
      <c r="U610" s="393"/>
      <c r="V610" s="393"/>
      <c r="W610" s="393"/>
      <c r="X610" s="393"/>
      <c r="Y610" s="393"/>
      <c r="Z610" s="393"/>
    </row>
    <row r="611">
      <c r="A611" s="393"/>
      <c r="B611" s="393"/>
      <c r="C611" s="393"/>
      <c r="D611" s="393"/>
      <c r="E611" s="393"/>
      <c r="F611" s="393"/>
      <c r="G611" s="393"/>
      <c r="H611" s="393"/>
      <c r="I611" s="393"/>
      <c r="J611" s="393"/>
      <c r="K611" s="393"/>
      <c r="L611" s="393"/>
      <c r="M611" s="393"/>
      <c r="N611" s="393"/>
      <c r="O611" s="393"/>
      <c r="P611" s="393"/>
      <c r="Q611" s="393"/>
      <c r="R611" s="393"/>
      <c r="S611" s="393"/>
      <c r="T611" s="393"/>
      <c r="U611" s="393"/>
      <c r="V611" s="393"/>
      <c r="W611" s="393"/>
      <c r="X611" s="393"/>
      <c r="Y611" s="393"/>
      <c r="Z611" s="393"/>
    </row>
    <row r="612">
      <c r="A612" s="393"/>
      <c r="B612" s="393"/>
      <c r="C612" s="393"/>
      <c r="D612" s="393"/>
      <c r="E612" s="393"/>
      <c r="F612" s="393"/>
      <c r="G612" s="393"/>
      <c r="H612" s="393"/>
      <c r="I612" s="393"/>
      <c r="J612" s="393"/>
      <c r="K612" s="393"/>
      <c r="L612" s="393"/>
      <c r="M612" s="393"/>
      <c r="N612" s="393"/>
      <c r="O612" s="393"/>
      <c r="P612" s="393"/>
      <c r="Q612" s="393"/>
      <c r="R612" s="393"/>
      <c r="S612" s="393"/>
      <c r="T612" s="393"/>
      <c r="U612" s="393"/>
      <c r="V612" s="393"/>
      <c r="W612" s="393"/>
      <c r="X612" s="393"/>
      <c r="Y612" s="393"/>
      <c r="Z612" s="393"/>
    </row>
    <row r="613">
      <c r="A613" s="393"/>
      <c r="B613" s="393"/>
      <c r="C613" s="393"/>
      <c r="D613" s="393"/>
      <c r="E613" s="393"/>
      <c r="F613" s="393"/>
      <c r="G613" s="393"/>
      <c r="H613" s="393"/>
      <c r="I613" s="393"/>
      <c r="J613" s="393"/>
      <c r="K613" s="393"/>
      <c r="L613" s="393"/>
      <c r="M613" s="393"/>
      <c r="N613" s="393"/>
      <c r="O613" s="393"/>
      <c r="P613" s="393"/>
      <c r="Q613" s="393"/>
      <c r="R613" s="393"/>
      <c r="S613" s="393"/>
      <c r="T613" s="393"/>
      <c r="U613" s="393"/>
      <c r="V613" s="393"/>
      <c r="W613" s="393"/>
      <c r="X613" s="393"/>
      <c r="Y613" s="393"/>
      <c r="Z613" s="393"/>
    </row>
    <row r="614">
      <c r="A614" s="393"/>
      <c r="B614" s="393"/>
      <c r="C614" s="393"/>
      <c r="D614" s="393"/>
      <c r="E614" s="393"/>
      <c r="F614" s="393"/>
      <c r="G614" s="393"/>
      <c r="H614" s="393"/>
      <c r="I614" s="393"/>
      <c r="J614" s="393"/>
      <c r="K614" s="393"/>
      <c r="L614" s="393"/>
      <c r="M614" s="393"/>
      <c r="N614" s="393"/>
      <c r="O614" s="393"/>
      <c r="P614" s="393"/>
      <c r="Q614" s="393"/>
      <c r="R614" s="393"/>
      <c r="S614" s="393"/>
      <c r="T614" s="393"/>
      <c r="U614" s="393"/>
      <c r="V614" s="393"/>
      <c r="W614" s="393"/>
      <c r="X614" s="393"/>
      <c r="Y614" s="393"/>
      <c r="Z614" s="393"/>
    </row>
    <row r="615">
      <c r="A615" s="393"/>
      <c r="B615" s="393"/>
      <c r="C615" s="393"/>
      <c r="D615" s="393"/>
      <c r="E615" s="393"/>
      <c r="F615" s="393"/>
      <c r="G615" s="393"/>
      <c r="H615" s="393"/>
      <c r="I615" s="393"/>
      <c r="J615" s="393"/>
      <c r="K615" s="393"/>
      <c r="L615" s="393"/>
      <c r="M615" s="393"/>
      <c r="N615" s="393"/>
      <c r="O615" s="393"/>
      <c r="P615" s="393"/>
      <c r="Q615" s="393"/>
      <c r="R615" s="393"/>
      <c r="S615" s="393"/>
      <c r="T615" s="393"/>
      <c r="U615" s="393"/>
      <c r="V615" s="393"/>
      <c r="W615" s="393"/>
      <c r="X615" s="393"/>
      <c r="Y615" s="393"/>
      <c r="Z615" s="393"/>
    </row>
    <row r="616">
      <c r="A616" s="393"/>
      <c r="B616" s="393"/>
      <c r="C616" s="393"/>
      <c r="D616" s="393"/>
      <c r="E616" s="393"/>
      <c r="F616" s="393"/>
      <c r="G616" s="393"/>
      <c r="H616" s="393"/>
      <c r="I616" s="393"/>
      <c r="J616" s="393"/>
      <c r="K616" s="393"/>
      <c r="L616" s="393"/>
      <c r="M616" s="393"/>
      <c r="N616" s="393"/>
      <c r="O616" s="393"/>
      <c r="P616" s="393"/>
      <c r="Q616" s="393"/>
      <c r="R616" s="393"/>
      <c r="S616" s="393"/>
      <c r="T616" s="393"/>
      <c r="U616" s="393"/>
      <c r="V616" s="393"/>
      <c r="W616" s="393"/>
      <c r="X616" s="393"/>
      <c r="Y616" s="393"/>
      <c r="Z616" s="393"/>
    </row>
    <row r="617">
      <c r="A617" s="393"/>
      <c r="B617" s="393"/>
      <c r="C617" s="393"/>
      <c r="D617" s="393"/>
      <c r="E617" s="393"/>
      <c r="F617" s="393"/>
      <c r="G617" s="393"/>
      <c r="H617" s="393"/>
      <c r="I617" s="393"/>
      <c r="J617" s="393"/>
      <c r="K617" s="393"/>
      <c r="L617" s="393"/>
      <c r="M617" s="393"/>
      <c r="N617" s="393"/>
      <c r="O617" s="393"/>
      <c r="P617" s="393"/>
      <c r="Q617" s="393"/>
      <c r="R617" s="393"/>
      <c r="S617" s="393"/>
      <c r="T617" s="393"/>
      <c r="U617" s="393"/>
      <c r="V617" s="393"/>
      <c r="W617" s="393"/>
      <c r="X617" s="393"/>
      <c r="Y617" s="393"/>
      <c r="Z617" s="393"/>
    </row>
    <row r="618">
      <c r="A618" s="393"/>
      <c r="B618" s="393"/>
      <c r="C618" s="393"/>
      <c r="D618" s="393"/>
      <c r="E618" s="393"/>
      <c r="F618" s="393"/>
      <c r="G618" s="393"/>
      <c r="H618" s="393"/>
      <c r="I618" s="393"/>
      <c r="J618" s="393"/>
      <c r="K618" s="393"/>
      <c r="L618" s="393"/>
      <c r="M618" s="393"/>
      <c r="N618" s="393"/>
      <c r="O618" s="393"/>
      <c r="P618" s="393"/>
      <c r="Q618" s="393"/>
      <c r="R618" s="393"/>
      <c r="S618" s="393"/>
      <c r="T618" s="393"/>
      <c r="U618" s="393"/>
      <c r="V618" s="393"/>
      <c r="W618" s="393"/>
      <c r="X618" s="393"/>
      <c r="Y618" s="393"/>
      <c r="Z618" s="393"/>
    </row>
    <row r="619">
      <c r="A619" s="393"/>
      <c r="B619" s="393"/>
      <c r="C619" s="393"/>
      <c r="D619" s="393"/>
      <c r="E619" s="393"/>
      <c r="F619" s="393"/>
      <c r="G619" s="393"/>
      <c r="H619" s="393"/>
      <c r="I619" s="393"/>
      <c r="J619" s="393"/>
      <c r="K619" s="393"/>
      <c r="L619" s="393"/>
      <c r="M619" s="393"/>
      <c r="N619" s="393"/>
      <c r="O619" s="393"/>
      <c r="P619" s="393"/>
      <c r="Q619" s="393"/>
      <c r="R619" s="393"/>
      <c r="S619" s="393"/>
      <c r="T619" s="393"/>
      <c r="U619" s="393"/>
      <c r="V619" s="393"/>
      <c r="W619" s="393"/>
      <c r="X619" s="393"/>
      <c r="Y619" s="393"/>
      <c r="Z619" s="393"/>
    </row>
    <row r="620">
      <c r="A620" s="393"/>
      <c r="B620" s="393"/>
      <c r="C620" s="393"/>
      <c r="D620" s="393"/>
      <c r="E620" s="393"/>
      <c r="F620" s="393"/>
      <c r="G620" s="393"/>
      <c r="H620" s="393"/>
      <c r="I620" s="393"/>
      <c r="J620" s="393"/>
      <c r="K620" s="393"/>
      <c r="L620" s="393"/>
      <c r="M620" s="393"/>
      <c r="N620" s="393"/>
      <c r="O620" s="393"/>
      <c r="P620" s="393"/>
      <c r="Q620" s="393"/>
      <c r="R620" s="393"/>
      <c r="S620" s="393"/>
      <c r="T620" s="393"/>
      <c r="U620" s="393"/>
      <c r="V620" s="393"/>
      <c r="W620" s="393"/>
      <c r="X620" s="393"/>
      <c r="Y620" s="393"/>
      <c r="Z620" s="393"/>
    </row>
    <row r="621">
      <c r="A621" s="393"/>
      <c r="B621" s="393"/>
      <c r="C621" s="393"/>
      <c r="D621" s="393"/>
      <c r="E621" s="393"/>
      <c r="F621" s="393"/>
      <c r="G621" s="393"/>
      <c r="H621" s="393"/>
      <c r="I621" s="393"/>
      <c r="J621" s="393"/>
      <c r="K621" s="393"/>
      <c r="L621" s="393"/>
      <c r="M621" s="393"/>
      <c r="N621" s="393"/>
      <c r="O621" s="393"/>
      <c r="P621" s="393"/>
      <c r="Q621" s="393"/>
      <c r="R621" s="393"/>
      <c r="S621" s="393"/>
      <c r="T621" s="393"/>
      <c r="U621" s="393"/>
      <c r="V621" s="393"/>
      <c r="W621" s="393"/>
      <c r="X621" s="393"/>
      <c r="Y621" s="393"/>
      <c r="Z621" s="393"/>
    </row>
    <row r="622">
      <c r="A622" s="393"/>
      <c r="B622" s="393"/>
      <c r="C622" s="393"/>
      <c r="D622" s="393"/>
      <c r="E622" s="393"/>
      <c r="F622" s="393"/>
      <c r="G622" s="393"/>
      <c r="H622" s="393"/>
      <c r="I622" s="393"/>
      <c r="J622" s="393"/>
      <c r="K622" s="393"/>
      <c r="L622" s="393"/>
      <c r="M622" s="393"/>
      <c r="N622" s="393"/>
      <c r="O622" s="393"/>
      <c r="P622" s="393"/>
      <c r="Q622" s="393"/>
      <c r="R622" s="393"/>
      <c r="S622" s="393"/>
      <c r="T622" s="393"/>
      <c r="U622" s="393"/>
      <c r="V622" s="393"/>
      <c r="W622" s="393"/>
      <c r="X622" s="393"/>
      <c r="Y622" s="393"/>
      <c r="Z622" s="393"/>
    </row>
    <row r="623">
      <c r="A623" s="393"/>
      <c r="B623" s="393"/>
      <c r="C623" s="393"/>
      <c r="D623" s="393"/>
      <c r="E623" s="393"/>
      <c r="F623" s="393"/>
      <c r="G623" s="393"/>
      <c r="H623" s="393"/>
      <c r="I623" s="393"/>
      <c r="J623" s="393"/>
      <c r="K623" s="393"/>
      <c r="L623" s="393"/>
      <c r="M623" s="393"/>
      <c r="N623" s="393"/>
      <c r="O623" s="393"/>
      <c r="P623" s="393"/>
      <c r="Q623" s="393"/>
      <c r="R623" s="393"/>
      <c r="S623" s="393"/>
      <c r="T623" s="393"/>
      <c r="U623" s="393"/>
      <c r="V623" s="393"/>
      <c r="W623" s="393"/>
      <c r="X623" s="393"/>
      <c r="Y623" s="393"/>
      <c r="Z623" s="393"/>
    </row>
    <row r="624">
      <c r="A624" s="393"/>
      <c r="B624" s="393"/>
      <c r="C624" s="393"/>
      <c r="D624" s="393"/>
      <c r="E624" s="393"/>
      <c r="F624" s="393"/>
      <c r="G624" s="393"/>
      <c r="H624" s="393"/>
      <c r="I624" s="393"/>
      <c r="J624" s="393"/>
      <c r="K624" s="393"/>
      <c r="L624" s="393"/>
      <c r="M624" s="393"/>
      <c r="N624" s="393"/>
      <c r="O624" s="393"/>
      <c r="P624" s="393"/>
      <c r="Q624" s="393"/>
      <c r="R624" s="393"/>
      <c r="S624" s="393"/>
      <c r="T624" s="393"/>
      <c r="U624" s="393"/>
      <c r="V624" s="393"/>
      <c r="W624" s="393"/>
      <c r="X624" s="393"/>
      <c r="Y624" s="393"/>
      <c r="Z624" s="393"/>
    </row>
    <row r="625">
      <c r="A625" s="393"/>
      <c r="B625" s="393"/>
      <c r="C625" s="393"/>
      <c r="D625" s="393"/>
      <c r="E625" s="393"/>
      <c r="F625" s="393"/>
      <c r="G625" s="393"/>
      <c r="H625" s="393"/>
      <c r="I625" s="393"/>
      <c r="J625" s="393"/>
      <c r="K625" s="393"/>
      <c r="L625" s="393"/>
      <c r="M625" s="393"/>
      <c r="N625" s="393"/>
      <c r="O625" s="393"/>
      <c r="P625" s="393"/>
      <c r="Q625" s="393"/>
      <c r="R625" s="393"/>
      <c r="S625" s="393"/>
      <c r="T625" s="393"/>
      <c r="U625" s="393"/>
      <c r="V625" s="393"/>
      <c r="W625" s="393"/>
      <c r="X625" s="393"/>
      <c r="Y625" s="393"/>
      <c r="Z625" s="393"/>
    </row>
    <row r="626">
      <c r="A626" s="393"/>
      <c r="B626" s="393"/>
      <c r="C626" s="393"/>
      <c r="D626" s="393"/>
      <c r="E626" s="393"/>
      <c r="F626" s="393"/>
      <c r="G626" s="393"/>
      <c r="H626" s="393"/>
      <c r="I626" s="393"/>
      <c r="J626" s="393"/>
      <c r="K626" s="393"/>
      <c r="L626" s="393"/>
      <c r="M626" s="393"/>
      <c r="N626" s="393"/>
      <c r="O626" s="393"/>
      <c r="P626" s="393"/>
      <c r="Q626" s="393"/>
      <c r="R626" s="393"/>
      <c r="S626" s="393"/>
      <c r="T626" s="393"/>
      <c r="U626" s="393"/>
      <c r="V626" s="393"/>
      <c r="W626" s="393"/>
      <c r="X626" s="393"/>
      <c r="Y626" s="393"/>
      <c r="Z626" s="393"/>
    </row>
    <row r="627">
      <c r="A627" s="393"/>
      <c r="B627" s="393"/>
      <c r="C627" s="393"/>
      <c r="D627" s="393"/>
      <c r="E627" s="393"/>
      <c r="F627" s="393"/>
      <c r="G627" s="393"/>
      <c r="H627" s="393"/>
      <c r="I627" s="393"/>
      <c r="J627" s="393"/>
      <c r="K627" s="393"/>
      <c r="L627" s="393"/>
      <c r="M627" s="393"/>
      <c r="N627" s="393"/>
      <c r="O627" s="393"/>
      <c r="P627" s="393"/>
      <c r="Q627" s="393"/>
      <c r="R627" s="393"/>
      <c r="S627" s="393"/>
      <c r="T627" s="393"/>
      <c r="U627" s="393"/>
      <c r="V627" s="393"/>
      <c r="W627" s="393"/>
      <c r="X627" s="393"/>
      <c r="Y627" s="393"/>
      <c r="Z627" s="393"/>
    </row>
    <row r="628">
      <c r="A628" s="393"/>
      <c r="B628" s="393"/>
      <c r="C628" s="393"/>
      <c r="D628" s="393"/>
      <c r="E628" s="393"/>
      <c r="F628" s="393"/>
      <c r="G628" s="393"/>
      <c r="H628" s="393"/>
      <c r="I628" s="393"/>
      <c r="J628" s="393"/>
      <c r="K628" s="393"/>
      <c r="L628" s="393"/>
      <c r="M628" s="393"/>
      <c r="N628" s="393"/>
      <c r="O628" s="393"/>
      <c r="P628" s="393"/>
      <c r="Q628" s="393"/>
      <c r="R628" s="393"/>
      <c r="S628" s="393"/>
      <c r="T628" s="393"/>
      <c r="U628" s="393"/>
      <c r="V628" s="393"/>
      <c r="W628" s="393"/>
      <c r="X628" s="393"/>
      <c r="Y628" s="393"/>
      <c r="Z628" s="393"/>
    </row>
    <row r="629">
      <c r="A629" s="393"/>
      <c r="B629" s="393"/>
      <c r="C629" s="393"/>
      <c r="D629" s="393"/>
      <c r="E629" s="393"/>
      <c r="F629" s="393"/>
      <c r="G629" s="393"/>
      <c r="H629" s="393"/>
      <c r="I629" s="393"/>
      <c r="J629" s="393"/>
      <c r="K629" s="393"/>
      <c r="L629" s="393"/>
      <c r="M629" s="393"/>
      <c r="N629" s="393"/>
      <c r="O629" s="393"/>
      <c r="P629" s="393"/>
      <c r="Q629" s="393"/>
      <c r="R629" s="393"/>
      <c r="S629" s="393"/>
      <c r="T629" s="393"/>
      <c r="U629" s="393"/>
      <c r="V629" s="393"/>
      <c r="W629" s="393"/>
      <c r="X629" s="393"/>
      <c r="Y629" s="393"/>
      <c r="Z629" s="393"/>
    </row>
    <row r="630">
      <c r="A630" s="393"/>
      <c r="B630" s="393"/>
      <c r="C630" s="393"/>
      <c r="D630" s="393"/>
      <c r="E630" s="393"/>
      <c r="F630" s="393"/>
      <c r="G630" s="393"/>
      <c r="H630" s="393"/>
      <c r="I630" s="393"/>
      <c r="J630" s="393"/>
      <c r="K630" s="393"/>
      <c r="L630" s="393"/>
      <c r="M630" s="393"/>
      <c r="N630" s="393"/>
      <c r="O630" s="393"/>
      <c r="P630" s="393"/>
      <c r="Q630" s="393"/>
      <c r="R630" s="393"/>
      <c r="S630" s="393"/>
      <c r="T630" s="393"/>
      <c r="U630" s="393"/>
      <c r="V630" s="393"/>
      <c r="W630" s="393"/>
      <c r="X630" s="393"/>
      <c r="Y630" s="393"/>
      <c r="Z630" s="393"/>
    </row>
    <row r="631">
      <c r="A631" s="393"/>
      <c r="B631" s="393"/>
      <c r="C631" s="393"/>
      <c r="D631" s="393"/>
      <c r="E631" s="393"/>
      <c r="F631" s="393"/>
      <c r="G631" s="393"/>
      <c r="H631" s="393"/>
      <c r="I631" s="393"/>
      <c r="J631" s="393"/>
      <c r="K631" s="393"/>
      <c r="L631" s="393"/>
      <c r="M631" s="393"/>
      <c r="N631" s="393"/>
      <c r="O631" s="393"/>
      <c r="P631" s="393"/>
      <c r="Q631" s="393"/>
      <c r="R631" s="393"/>
      <c r="S631" s="393"/>
      <c r="T631" s="393"/>
      <c r="U631" s="393"/>
      <c r="V631" s="393"/>
      <c r="W631" s="393"/>
      <c r="X631" s="393"/>
      <c r="Y631" s="393"/>
      <c r="Z631" s="393"/>
    </row>
    <row r="632">
      <c r="A632" s="393"/>
      <c r="B632" s="393"/>
      <c r="C632" s="393"/>
      <c r="D632" s="393"/>
      <c r="E632" s="393"/>
      <c r="F632" s="393"/>
      <c r="G632" s="393"/>
      <c r="H632" s="393"/>
      <c r="I632" s="393"/>
      <c r="J632" s="393"/>
      <c r="K632" s="393"/>
      <c r="L632" s="393"/>
      <c r="M632" s="393"/>
      <c r="N632" s="393"/>
      <c r="O632" s="393"/>
      <c r="P632" s="393"/>
      <c r="Q632" s="393"/>
      <c r="R632" s="393"/>
      <c r="S632" s="393"/>
      <c r="T632" s="393"/>
      <c r="U632" s="393"/>
      <c r="V632" s="393"/>
      <c r="W632" s="393"/>
      <c r="X632" s="393"/>
      <c r="Y632" s="393"/>
      <c r="Z632" s="393"/>
    </row>
    <row r="633">
      <c r="A633" s="393"/>
      <c r="B633" s="393"/>
      <c r="C633" s="393"/>
      <c r="D633" s="393"/>
      <c r="E633" s="393"/>
      <c r="F633" s="393"/>
      <c r="G633" s="393"/>
      <c r="H633" s="393"/>
      <c r="I633" s="393"/>
      <c r="J633" s="393"/>
      <c r="K633" s="393"/>
      <c r="L633" s="393"/>
      <c r="M633" s="393"/>
      <c r="N633" s="393"/>
      <c r="O633" s="393"/>
      <c r="P633" s="393"/>
      <c r="Q633" s="393"/>
      <c r="R633" s="393"/>
      <c r="S633" s="393"/>
      <c r="T633" s="393"/>
      <c r="U633" s="393"/>
      <c r="V633" s="393"/>
      <c r="W633" s="393"/>
      <c r="X633" s="393"/>
      <c r="Y633" s="393"/>
      <c r="Z633" s="393"/>
    </row>
    <row r="634">
      <c r="A634" s="393"/>
      <c r="B634" s="393"/>
      <c r="C634" s="393"/>
      <c r="D634" s="393"/>
      <c r="E634" s="393"/>
      <c r="F634" s="393"/>
      <c r="G634" s="393"/>
      <c r="H634" s="393"/>
      <c r="I634" s="393"/>
      <c r="J634" s="393"/>
      <c r="K634" s="393"/>
      <c r="L634" s="393"/>
      <c r="M634" s="393"/>
      <c r="N634" s="393"/>
      <c r="O634" s="393"/>
      <c r="P634" s="393"/>
      <c r="Q634" s="393"/>
      <c r="R634" s="393"/>
      <c r="S634" s="393"/>
      <c r="T634" s="393"/>
      <c r="U634" s="393"/>
      <c r="V634" s="393"/>
      <c r="W634" s="393"/>
      <c r="X634" s="393"/>
      <c r="Y634" s="393"/>
      <c r="Z634" s="393"/>
    </row>
    <row r="635">
      <c r="A635" s="393"/>
      <c r="B635" s="393"/>
      <c r="C635" s="393"/>
      <c r="D635" s="393"/>
      <c r="E635" s="393"/>
      <c r="F635" s="393"/>
      <c r="G635" s="393"/>
      <c r="H635" s="393"/>
      <c r="I635" s="393"/>
      <c r="J635" s="393"/>
      <c r="K635" s="393"/>
      <c r="L635" s="393"/>
      <c r="M635" s="393"/>
      <c r="N635" s="393"/>
      <c r="O635" s="393"/>
      <c r="P635" s="393"/>
      <c r="Q635" s="393"/>
      <c r="R635" s="393"/>
      <c r="S635" s="393"/>
      <c r="T635" s="393"/>
      <c r="U635" s="393"/>
      <c r="V635" s="393"/>
      <c r="W635" s="393"/>
      <c r="X635" s="393"/>
      <c r="Y635" s="393"/>
      <c r="Z635" s="393"/>
    </row>
    <row r="636">
      <c r="A636" s="393"/>
      <c r="B636" s="393"/>
      <c r="C636" s="393"/>
      <c r="D636" s="393"/>
      <c r="E636" s="393"/>
      <c r="F636" s="393"/>
      <c r="G636" s="393"/>
      <c r="H636" s="393"/>
      <c r="I636" s="393"/>
      <c r="J636" s="393"/>
      <c r="K636" s="393"/>
      <c r="L636" s="393"/>
      <c r="M636" s="393"/>
      <c r="N636" s="393"/>
      <c r="O636" s="393"/>
      <c r="P636" s="393"/>
      <c r="Q636" s="393"/>
      <c r="R636" s="393"/>
      <c r="S636" s="393"/>
      <c r="T636" s="393"/>
      <c r="U636" s="393"/>
      <c r="V636" s="393"/>
      <c r="W636" s="393"/>
      <c r="X636" s="393"/>
      <c r="Y636" s="393"/>
      <c r="Z636" s="393"/>
    </row>
    <row r="637">
      <c r="A637" s="393"/>
      <c r="B637" s="393"/>
      <c r="C637" s="393"/>
      <c r="D637" s="393"/>
      <c r="E637" s="393"/>
      <c r="F637" s="393"/>
      <c r="G637" s="393"/>
      <c r="H637" s="393"/>
      <c r="I637" s="393"/>
      <c r="J637" s="393"/>
      <c r="K637" s="393"/>
      <c r="L637" s="393"/>
      <c r="M637" s="393"/>
      <c r="N637" s="393"/>
      <c r="O637" s="393"/>
      <c r="P637" s="393"/>
      <c r="Q637" s="393"/>
      <c r="R637" s="393"/>
      <c r="S637" s="393"/>
      <c r="T637" s="393"/>
      <c r="U637" s="393"/>
      <c r="V637" s="393"/>
      <c r="W637" s="393"/>
      <c r="X637" s="393"/>
      <c r="Y637" s="393"/>
      <c r="Z637" s="393"/>
    </row>
    <row r="638">
      <c r="A638" s="393"/>
      <c r="B638" s="393"/>
      <c r="C638" s="393"/>
      <c r="D638" s="393"/>
      <c r="E638" s="393"/>
      <c r="F638" s="393"/>
      <c r="G638" s="393"/>
      <c r="H638" s="393"/>
      <c r="I638" s="393"/>
      <c r="J638" s="393"/>
      <c r="K638" s="393"/>
      <c r="L638" s="393"/>
      <c r="M638" s="393"/>
      <c r="N638" s="393"/>
      <c r="O638" s="393"/>
      <c r="P638" s="393"/>
      <c r="Q638" s="393"/>
      <c r="R638" s="393"/>
      <c r="S638" s="393"/>
      <c r="T638" s="393"/>
      <c r="U638" s="393"/>
      <c r="V638" s="393"/>
      <c r="W638" s="393"/>
      <c r="X638" s="393"/>
      <c r="Y638" s="393"/>
      <c r="Z638" s="393"/>
    </row>
    <row r="639">
      <c r="A639" s="393"/>
      <c r="B639" s="393"/>
      <c r="C639" s="393"/>
      <c r="D639" s="393"/>
      <c r="E639" s="393"/>
      <c r="F639" s="393"/>
      <c r="G639" s="393"/>
      <c r="H639" s="393"/>
      <c r="I639" s="393"/>
      <c r="J639" s="393"/>
      <c r="K639" s="393"/>
      <c r="L639" s="393"/>
      <c r="M639" s="393"/>
      <c r="N639" s="393"/>
      <c r="O639" s="393"/>
      <c r="P639" s="393"/>
      <c r="Q639" s="393"/>
      <c r="R639" s="393"/>
      <c r="S639" s="393"/>
      <c r="T639" s="393"/>
      <c r="U639" s="393"/>
      <c r="V639" s="393"/>
      <c r="W639" s="393"/>
      <c r="X639" s="393"/>
      <c r="Y639" s="393"/>
      <c r="Z639" s="393"/>
    </row>
    <row r="640">
      <c r="A640" s="393"/>
      <c r="B640" s="393"/>
      <c r="C640" s="393"/>
      <c r="D640" s="393"/>
      <c r="E640" s="393"/>
      <c r="F640" s="393"/>
      <c r="G640" s="393"/>
      <c r="H640" s="393"/>
      <c r="I640" s="393"/>
      <c r="J640" s="393"/>
      <c r="K640" s="393"/>
      <c r="L640" s="393"/>
      <c r="M640" s="393"/>
      <c r="N640" s="393"/>
      <c r="O640" s="393"/>
      <c r="P640" s="393"/>
      <c r="Q640" s="393"/>
      <c r="R640" s="393"/>
      <c r="S640" s="393"/>
      <c r="T640" s="393"/>
      <c r="U640" s="393"/>
      <c r="V640" s="393"/>
      <c r="W640" s="393"/>
      <c r="X640" s="393"/>
      <c r="Y640" s="393"/>
      <c r="Z640" s="393"/>
    </row>
    <row r="641">
      <c r="A641" s="393"/>
      <c r="B641" s="393"/>
      <c r="C641" s="393"/>
      <c r="D641" s="393"/>
      <c r="E641" s="393"/>
      <c r="F641" s="393"/>
      <c r="G641" s="393"/>
      <c r="H641" s="393"/>
      <c r="I641" s="393"/>
      <c r="J641" s="393"/>
      <c r="K641" s="393"/>
      <c r="L641" s="393"/>
      <c r="M641" s="393"/>
      <c r="N641" s="393"/>
      <c r="O641" s="393"/>
      <c r="P641" s="393"/>
      <c r="Q641" s="393"/>
      <c r="R641" s="393"/>
      <c r="S641" s="393"/>
      <c r="T641" s="393"/>
      <c r="U641" s="393"/>
      <c r="V641" s="393"/>
      <c r="W641" s="393"/>
      <c r="X641" s="393"/>
      <c r="Y641" s="393"/>
      <c r="Z641" s="393"/>
    </row>
    <row r="642">
      <c r="A642" s="393"/>
      <c r="B642" s="393"/>
      <c r="C642" s="393"/>
      <c r="D642" s="393"/>
      <c r="E642" s="393"/>
      <c r="F642" s="393"/>
      <c r="G642" s="393"/>
      <c r="H642" s="393"/>
      <c r="I642" s="393"/>
      <c r="J642" s="393"/>
      <c r="K642" s="393"/>
      <c r="L642" s="393"/>
      <c r="M642" s="393"/>
      <c r="N642" s="393"/>
      <c r="O642" s="393"/>
      <c r="P642" s="393"/>
      <c r="Q642" s="393"/>
      <c r="R642" s="393"/>
      <c r="S642" s="393"/>
      <c r="T642" s="393"/>
      <c r="U642" s="393"/>
      <c r="V642" s="393"/>
      <c r="W642" s="393"/>
      <c r="X642" s="393"/>
      <c r="Y642" s="393"/>
      <c r="Z642" s="393"/>
    </row>
    <row r="643">
      <c r="A643" s="393"/>
      <c r="B643" s="393"/>
      <c r="C643" s="393"/>
      <c r="D643" s="393"/>
      <c r="E643" s="393"/>
      <c r="F643" s="393"/>
      <c r="G643" s="393"/>
      <c r="H643" s="393"/>
      <c r="I643" s="393"/>
      <c r="J643" s="393"/>
      <c r="K643" s="393"/>
      <c r="L643" s="393"/>
      <c r="M643" s="393"/>
      <c r="N643" s="393"/>
      <c r="O643" s="393"/>
      <c r="P643" s="393"/>
      <c r="Q643" s="393"/>
      <c r="R643" s="393"/>
      <c r="S643" s="393"/>
      <c r="T643" s="393"/>
      <c r="U643" s="393"/>
      <c r="V643" s="393"/>
      <c r="W643" s="393"/>
      <c r="X643" s="393"/>
      <c r="Y643" s="393"/>
      <c r="Z643" s="393"/>
    </row>
    <row r="644">
      <c r="A644" s="393"/>
      <c r="B644" s="393"/>
      <c r="C644" s="393"/>
      <c r="D644" s="393"/>
      <c r="E644" s="393"/>
      <c r="F644" s="393"/>
      <c r="G644" s="393"/>
      <c r="H644" s="393"/>
      <c r="I644" s="393"/>
      <c r="J644" s="393"/>
      <c r="K644" s="393"/>
      <c r="L644" s="393"/>
      <c r="M644" s="393"/>
      <c r="N644" s="393"/>
      <c r="O644" s="393"/>
      <c r="P644" s="393"/>
      <c r="Q644" s="393"/>
      <c r="R644" s="393"/>
      <c r="S644" s="393"/>
      <c r="T644" s="393"/>
      <c r="U644" s="393"/>
      <c r="V644" s="393"/>
      <c r="W644" s="393"/>
      <c r="X644" s="393"/>
      <c r="Y644" s="393"/>
      <c r="Z644" s="393"/>
    </row>
    <row r="645">
      <c r="A645" s="393"/>
      <c r="B645" s="393"/>
      <c r="C645" s="393"/>
      <c r="D645" s="393"/>
      <c r="E645" s="393"/>
      <c r="F645" s="393"/>
      <c r="G645" s="393"/>
      <c r="H645" s="393"/>
      <c r="I645" s="393"/>
      <c r="J645" s="393"/>
      <c r="K645" s="393"/>
      <c r="L645" s="393"/>
      <c r="M645" s="393"/>
      <c r="N645" s="393"/>
      <c r="O645" s="393"/>
      <c r="P645" s="393"/>
      <c r="Q645" s="393"/>
      <c r="R645" s="393"/>
      <c r="S645" s="393"/>
      <c r="T645" s="393"/>
      <c r="U645" s="393"/>
      <c r="V645" s="393"/>
      <c r="W645" s="393"/>
      <c r="X645" s="393"/>
      <c r="Y645" s="393"/>
      <c r="Z645" s="393"/>
    </row>
    <row r="646">
      <c r="A646" s="393"/>
      <c r="B646" s="393"/>
      <c r="C646" s="393"/>
      <c r="D646" s="393"/>
      <c r="E646" s="393"/>
      <c r="F646" s="393"/>
      <c r="G646" s="393"/>
      <c r="H646" s="393"/>
      <c r="I646" s="393"/>
      <c r="J646" s="393"/>
      <c r="K646" s="393"/>
      <c r="L646" s="393"/>
      <c r="M646" s="393"/>
      <c r="N646" s="393"/>
      <c r="O646" s="393"/>
      <c r="P646" s="393"/>
      <c r="Q646" s="393"/>
      <c r="R646" s="393"/>
      <c r="S646" s="393"/>
      <c r="T646" s="393"/>
      <c r="U646" s="393"/>
      <c r="V646" s="393"/>
      <c r="W646" s="393"/>
      <c r="X646" s="393"/>
      <c r="Y646" s="393"/>
      <c r="Z646" s="393"/>
    </row>
    <row r="647">
      <c r="A647" s="393"/>
      <c r="B647" s="393"/>
      <c r="C647" s="393"/>
      <c r="D647" s="393"/>
      <c r="E647" s="393"/>
      <c r="F647" s="393"/>
      <c r="G647" s="393"/>
      <c r="H647" s="393"/>
      <c r="I647" s="393"/>
      <c r="J647" s="393"/>
      <c r="K647" s="393"/>
      <c r="L647" s="393"/>
      <c r="M647" s="393"/>
      <c r="N647" s="393"/>
      <c r="O647" s="393"/>
      <c r="P647" s="393"/>
      <c r="Q647" s="393"/>
      <c r="R647" s="393"/>
      <c r="S647" s="393"/>
      <c r="T647" s="393"/>
      <c r="U647" s="393"/>
      <c r="V647" s="393"/>
      <c r="W647" s="393"/>
      <c r="X647" s="393"/>
      <c r="Y647" s="393"/>
      <c r="Z647" s="393"/>
    </row>
    <row r="648">
      <c r="A648" s="393"/>
      <c r="B648" s="393"/>
      <c r="C648" s="393"/>
      <c r="D648" s="393"/>
      <c r="E648" s="393"/>
      <c r="F648" s="393"/>
      <c r="G648" s="393"/>
      <c r="H648" s="393"/>
      <c r="I648" s="393"/>
      <c r="J648" s="393"/>
      <c r="K648" s="393"/>
      <c r="L648" s="393"/>
      <c r="M648" s="393"/>
      <c r="N648" s="393"/>
      <c r="O648" s="393"/>
      <c r="P648" s="393"/>
      <c r="Q648" s="393"/>
      <c r="R648" s="393"/>
      <c r="S648" s="393"/>
      <c r="T648" s="393"/>
      <c r="U648" s="393"/>
      <c r="V648" s="393"/>
      <c r="W648" s="393"/>
      <c r="X648" s="393"/>
      <c r="Y648" s="393"/>
      <c r="Z648" s="393"/>
    </row>
    <row r="649">
      <c r="A649" s="393"/>
      <c r="B649" s="393"/>
      <c r="C649" s="393"/>
      <c r="D649" s="393"/>
      <c r="E649" s="393"/>
      <c r="F649" s="393"/>
      <c r="G649" s="393"/>
      <c r="H649" s="393"/>
      <c r="I649" s="393"/>
      <c r="J649" s="393"/>
      <c r="K649" s="393"/>
      <c r="L649" s="393"/>
      <c r="M649" s="393"/>
      <c r="N649" s="393"/>
      <c r="O649" s="393"/>
      <c r="P649" s="393"/>
      <c r="Q649" s="393"/>
      <c r="R649" s="393"/>
      <c r="S649" s="393"/>
      <c r="T649" s="393"/>
      <c r="U649" s="393"/>
      <c r="V649" s="393"/>
      <c r="W649" s="393"/>
      <c r="X649" s="393"/>
      <c r="Y649" s="393"/>
      <c r="Z649" s="393"/>
    </row>
    <row r="650">
      <c r="A650" s="393"/>
      <c r="B650" s="393"/>
      <c r="C650" s="393"/>
      <c r="D650" s="393"/>
      <c r="E650" s="393"/>
      <c r="F650" s="393"/>
      <c r="G650" s="393"/>
      <c r="H650" s="393"/>
      <c r="I650" s="393"/>
      <c r="J650" s="393"/>
      <c r="K650" s="393"/>
      <c r="L650" s="393"/>
      <c r="M650" s="393"/>
      <c r="N650" s="393"/>
      <c r="O650" s="393"/>
      <c r="P650" s="393"/>
      <c r="Q650" s="393"/>
      <c r="R650" s="393"/>
      <c r="S650" s="393"/>
      <c r="T650" s="393"/>
      <c r="U650" s="393"/>
      <c r="V650" s="393"/>
      <c r="W650" s="393"/>
      <c r="X650" s="393"/>
      <c r="Y650" s="393"/>
      <c r="Z650" s="393"/>
    </row>
    <row r="651">
      <c r="A651" s="393"/>
      <c r="B651" s="393"/>
      <c r="C651" s="393"/>
      <c r="D651" s="393"/>
      <c r="E651" s="393"/>
      <c r="F651" s="393"/>
      <c r="G651" s="393"/>
      <c r="H651" s="393"/>
      <c r="I651" s="393"/>
      <c r="J651" s="393"/>
      <c r="K651" s="393"/>
      <c r="L651" s="393"/>
      <c r="M651" s="393"/>
      <c r="N651" s="393"/>
      <c r="O651" s="393"/>
      <c r="P651" s="393"/>
      <c r="Q651" s="393"/>
      <c r="R651" s="393"/>
      <c r="S651" s="393"/>
      <c r="T651" s="393"/>
      <c r="U651" s="393"/>
      <c r="V651" s="393"/>
      <c r="W651" s="393"/>
      <c r="X651" s="393"/>
      <c r="Y651" s="393"/>
      <c r="Z651" s="393"/>
    </row>
    <row r="652">
      <c r="A652" s="393"/>
      <c r="B652" s="393"/>
      <c r="C652" s="393"/>
      <c r="D652" s="393"/>
      <c r="E652" s="393"/>
      <c r="F652" s="393"/>
      <c r="G652" s="393"/>
      <c r="H652" s="393"/>
      <c r="I652" s="393"/>
      <c r="J652" s="393"/>
      <c r="K652" s="393"/>
      <c r="L652" s="393"/>
      <c r="M652" s="393"/>
      <c r="N652" s="393"/>
      <c r="O652" s="393"/>
      <c r="P652" s="393"/>
      <c r="Q652" s="393"/>
      <c r="R652" s="393"/>
      <c r="S652" s="393"/>
      <c r="T652" s="393"/>
      <c r="U652" s="393"/>
      <c r="V652" s="393"/>
      <c r="W652" s="393"/>
      <c r="X652" s="393"/>
      <c r="Y652" s="393"/>
      <c r="Z652" s="393"/>
    </row>
    <row r="653">
      <c r="A653" s="393"/>
      <c r="B653" s="393"/>
      <c r="C653" s="393"/>
      <c r="D653" s="393"/>
      <c r="E653" s="393"/>
      <c r="F653" s="393"/>
      <c r="G653" s="393"/>
      <c r="H653" s="393"/>
      <c r="I653" s="393"/>
      <c r="J653" s="393"/>
      <c r="K653" s="393"/>
      <c r="L653" s="393"/>
      <c r="M653" s="393"/>
      <c r="N653" s="393"/>
      <c r="O653" s="393"/>
      <c r="P653" s="393"/>
      <c r="Q653" s="393"/>
      <c r="R653" s="393"/>
      <c r="S653" s="393"/>
      <c r="T653" s="393"/>
      <c r="U653" s="393"/>
      <c r="V653" s="393"/>
      <c r="W653" s="393"/>
      <c r="X653" s="393"/>
      <c r="Y653" s="393"/>
      <c r="Z653" s="393"/>
    </row>
    <row r="654">
      <c r="A654" s="393"/>
      <c r="B654" s="393"/>
      <c r="C654" s="393"/>
      <c r="D654" s="393"/>
      <c r="E654" s="393"/>
      <c r="F654" s="393"/>
      <c r="G654" s="393"/>
      <c r="H654" s="393"/>
      <c r="I654" s="393"/>
      <c r="J654" s="393"/>
      <c r="K654" s="393"/>
      <c r="L654" s="393"/>
      <c r="M654" s="393"/>
      <c r="N654" s="393"/>
      <c r="O654" s="393"/>
      <c r="P654" s="393"/>
      <c r="Q654" s="393"/>
      <c r="R654" s="393"/>
      <c r="S654" s="393"/>
      <c r="T654" s="393"/>
      <c r="U654" s="393"/>
      <c r="V654" s="393"/>
      <c r="W654" s="393"/>
      <c r="X654" s="393"/>
      <c r="Y654" s="393"/>
      <c r="Z654" s="393"/>
    </row>
    <row r="655">
      <c r="A655" s="393"/>
      <c r="B655" s="393"/>
      <c r="C655" s="393"/>
      <c r="D655" s="393"/>
      <c r="E655" s="393"/>
      <c r="F655" s="393"/>
      <c r="G655" s="393"/>
      <c r="H655" s="393"/>
      <c r="I655" s="393"/>
      <c r="J655" s="393"/>
      <c r="K655" s="393"/>
      <c r="L655" s="393"/>
      <c r="M655" s="393"/>
      <c r="N655" s="393"/>
      <c r="O655" s="393"/>
      <c r="P655" s="393"/>
      <c r="Q655" s="393"/>
      <c r="R655" s="393"/>
      <c r="S655" s="393"/>
      <c r="T655" s="393"/>
      <c r="U655" s="393"/>
      <c r="V655" s="393"/>
      <c r="W655" s="393"/>
      <c r="X655" s="393"/>
      <c r="Y655" s="393"/>
      <c r="Z655" s="393"/>
    </row>
    <row r="656">
      <c r="A656" s="393"/>
      <c r="B656" s="393"/>
      <c r="C656" s="393"/>
      <c r="D656" s="393"/>
      <c r="E656" s="393"/>
      <c r="F656" s="393"/>
      <c r="G656" s="393"/>
      <c r="H656" s="393"/>
      <c r="I656" s="393"/>
      <c r="J656" s="393"/>
      <c r="K656" s="393"/>
      <c r="L656" s="393"/>
      <c r="M656" s="393"/>
      <c r="N656" s="393"/>
      <c r="O656" s="393"/>
      <c r="P656" s="393"/>
      <c r="Q656" s="393"/>
      <c r="R656" s="393"/>
      <c r="S656" s="393"/>
      <c r="T656" s="393"/>
      <c r="U656" s="393"/>
      <c r="V656" s="393"/>
      <c r="W656" s="393"/>
      <c r="X656" s="393"/>
      <c r="Y656" s="393"/>
      <c r="Z656" s="393"/>
    </row>
    <row r="657">
      <c r="A657" s="393"/>
      <c r="B657" s="393"/>
      <c r="C657" s="393"/>
      <c r="D657" s="393"/>
      <c r="E657" s="393"/>
      <c r="F657" s="393"/>
      <c r="G657" s="393"/>
      <c r="H657" s="393"/>
      <c r="I657" s="393"/>
      <c r="J657" s="393"/>
      <c r="K657" s="393"/>
      <c r="L657" s="393"/>
      <c r="M657" s="393"/>
      <c r="N657" s="393"/>
      <c r="O657" s="393"/>
      <c r="P657" s="393"/>
      <c r="Q657" s="393"/>
      <c r="R657" s="393"/>
      <c r="S657" s="393"/>
      <c r="T657" s="393"/>
      <c r="U657" s="393"/>
      <c r="V657" s="393"/>
      <c r="W657" s="393"/>
      <c r="X657" s="393"/>
      <c r="Y657" s="393"/>
      <c r="Z657" s="393"/>
    </row>
    <row r="658">
      <c r="A658" s="393"/>
      <c r="B658" s="393"/>
      <c r="C658" s="393"/>
      <c r="D658" s="393"/>
      <c r="E658" s="393"/>
      <c r="F658" s="393"/>
      <c r="G658" s="393"/>
      <c r="H658" s="393"/>
      <c r="I658" s="393"/>
      <c r="J658" s="393"/>
      <c r="K658" s="393"/>
      <c r="L658" s="393"/>
      <c r="M658" s="393"/>
      <c r="N658" s="393"/>
      <c r="O658" s="393"/>
      <c r="P658" s="393"/>
      <c r="Q658" s="393"/>
      <c r="R658" s="393"/>
      <c r="S658" s="393"/>
      <c r="T658" s="393"/>
      <c r="U658" s="393"/>
      <c r="V658" s="393"/>
      <c r="W658" s="393"/>
      <c r="X658" s="393"/>
      <c r="Y658" s="393"/>
      <c r="Z658" s="393"/>
    </row>
    <row r="659">
      <c r="A659" s="393"/>
      <c r="B659" s="393"/>
      <c r="C659" s="393"/>
      <c r="D659" s="393"/>
      <c r="E659" s="393"/>
      <c r="F659" s="393"/>
      <c r="G659" s="393"/>
      <c r="H659" s="393"/>
      <c r="I659" s="393"/>
      <c r="J659" s="393"/>
      <c r="K659" s="393"/>
      <c r="L659" s="393"/>
      <c r="M659" s="393"/>
      <c r="N659" s="393"/>
      <c r="O659" s="393"/>
      <c r="P659" s="393"/>
      <c r="Q659" s="393"/>
      <c r="R659" s="393"/>
      <c r="S659" s="393"/>
      <c r="T659" s="393"/>
      <c r="U659" s="393"/>
      <c r="V659" s="393"/>
      <c r="W659" s="393"/>
      <c r="X659" s="393"/>
      <c r="Y659" s="393"/>
      <c r="Z659" s="393"/>
    </row>
    <row r="660">
      <c r="A660" s="393"/>
      <c r="B660" s="393"/>
      <c r="C660" s="393"/>
      <c r="D660" s="393"/>
      <c r="E660" s="393"/>
      <c r="F660" s="393"/>
      <c r="G660" s="393"/>
      <c r="H660" s="393"/>
      <c r="I660" s="393"/>
      <c r="J660" s="393"/>
      <c r="K660" s="393"/>
      <c r="L660" s="393"/>
      <c r="M660" s="393"/>
      <c r="N660" s="393"/>
      <c r="O660" s="393"/>
      <c r="P660" s="393"/>
      <c r="Q660" s="393"/>
      <c r="R660" s="393"/>
      <c r="S660" s="393"/>
      <c r="T660" s="393"/>
      <c r="U660" s="393"/>
      <c r="V660" s="393"/>
      <c r="W660" s="393"/>
      <c r="X660" s="393"/>
      <c r="Y660" s="393"/>
      <c r="Z660" s="393"/>
    </row>
    <row r="661">
      <c r="A661" s="393"/>
      <c r="B661" s="393"/>
      <c r="C661" s="393"/>
      <c r="D661" s="393"/>
      <c r="E661" s="393"/>
      <c r="F661" s="393"/>
      <c r="G661" s="393"/>
      <c r="H661" s="393"/>
      <c r="I661" s="393"/>
      <c r="J661" s="393"/>
      <c r="K661" s="393"/>
      <c r="L661" s="393"/>
      <c r="M661" s="393"/>
      <c r="N661" s="393"/>
      <c r="O661" s="393"/>
      <c r="P661" s="393"/>
      <c r="Q661" s="393"/>
      <c r="R661" s="393"/>
      <c r="S661" s="393"/>
      <c r="T661" s="393"/>
      <c r="U661" s="393"/>
      <c r="V661" s="393"/>
      <c r="W661" s="393"/>
      <c r="X661" s="393"/>
      <c r="Y661" s="393"/>
      <c r="Z661" s="393"/>
    </row>
    <row r="662">
      <c r="A662" s="393"/>
      <c r="B662" s="393"/>
      <c r="C662" s="393"/>
      <c r="D662" s="393"/>
      <c r="E662" s="393"/>
      <c r="F662" s="393"/>
      <c r="G662" s="393"/>
      <c r="H662" s="393"/>
      <c r="I662" s="393"/>
      <c r="J662" s="393"/>
      <c r="K662" s="393"/>
      <c r="L662" s="393"/>
      <c r="M662" s="393"/>
      <c r="N662" s="393"/>
      <c r="O662" s="393"/>
      <c r="P662" s="393"/>
      <c r="Q662" s="393"/>
      <c r="R662" s="393"/>
      <c r="S662" s="393"/>
      <c r="T662" s="393"/>
      <c r="U662" s="393"/>
      <c r="V662" s="393"/>
      <c r="W662" s="393"/>
      <c r="X662" s="393"/>
      <c r="Y662" s="393"/>
      <c r="Z662" s="393"/>
    </row>
    <row r="663">
      <c r="A663" s="393"/>
      <c r="B663" s="393"/>
      <c r="C663" s="393"/>
      <c r="D663" s="393"/>
      <c r="E663" s="393"/>
      <c r="F663" s="393"/>
      <c r="G663" s="393"/>
      <c r="H663" s="393"/>
      <c r="I663" s="393"/>
      <c r="J663" s="393"/>
      <c r="K663" s="393"/>
      <c r="L663" s="393"/>
      <c r="M663" s="393"/>
      <c r="N663" s="393"/>
      <c r="O663" s="393"/>
      <c r="P663" s="393"/>
      <c r="Q663" s="393"/>
      <c r="R663" s="393"/>
      <c r="S663" s="393"/>
      <c r="T663" s="393"/>
      <c r="U663" s="393"/>
      <c r="V663" s="393"/>
      <c r="W663" s="393"/>
      <c r="X663" s="393"/>
      <c r="Y663" s="393"/>
      <c r="Z663" s="393"/>
    </row>
    <row r="664">
      <c r="A664" s="393"/>
      <c r="B664" s="393"/>
      <c r="C664" s="393"/>
      <c r="D664" s="393"/>
      <c r="E664" s="393"/>
      <c r="F664" s="393"/>
      <c r="G664" s="393"/>
      <c r="H664" s="393"/>
      <c r="I664" s="393"/>
      <c r="J664" s="393"/>
      <c r="K664" s="393"/>
      <c r="L664" s="393"/>
      <c r="M664" s="393"/>
      <c r="N664" s="393"/>
      <c r="O664" s="393"/>
      <c r="P664" s="393"/>
      <c r="Q664" s="393"/>
      <c r="R664" s="393"/>
      <c r="S664" s="393"/>
      <c r="T664" s="393"/>
      <c r="U664" s="393"/>
      <c r="V664" s="393"/>
      <c r="W664" s="393"/>
      <c r="X664" s="393"/>
      <c r="Y664" s="393"/>
      <c r="Z664" s="393"/>
    </row>
    <row r="665">
      <c r="A665" s="393"/>
      <c r="B665" s="393"/>
      <c r="C665" s="393"/>
      <c r="D665" s="393"/>
      <c r="E665" s="393"/>
      <c r="F665" s="393"/>
      <c r="G665" s="393"/>
      <c r="H665" s="393"/>
      <c r="I665" s="393"/>
      <c r="J665" s="393"/>
      <c r="K665" s="393"/>
      <c r="L665" s="393"/>
      <c r="M665" s="393"/>
      <c r="N665" s="393"/>
      <c r="O665" s="393"/>
      <c r="P665" s="393"/>
      <c r="Q665" s="393"/>
      <c r="R665" s="393"/>
      <c r="S665" s="393"/>
      <c r="T665" s="393"/>
      <c r="U665" s="393"/>
      <c r="V665" s="393"/>
      <c r="W665" s="393"/>
      <c r="X665" s="393"/>
      <c r="Y665" s="393"/>
      <c r="Z665" s="393"/>
    </row>
    <row r="666">
      <c r="A666" s="393"/>
      <c r="B666" s="393"/>
      <c r="C666" s="393"/>
      <c r="D666" s="393"/>
      <c r="E666" s="393"/>
      <c r="F666" s="393"/>
      <c r="G666" s="393"/>
      <c r="H666" s="393"/>
      <c r="I666" s="393"/>
      <c r="J666" s="393"/>
      <c r="K666" s="393"/>
      <c r="L666" s="393"/>
      <c r="M666" s="393"/>
      <c r="N666" s="393"/>
      <c r="O666" s="393"/>
      <c r="P666" s="393"/>
      <c r="Q666" s="393"/>
      <c r="R666" s="393"/>
      <c r="S666" s="393"/>
      <c r="T666" s="393"/>
      <c r="U666" s="393"/>
      <c r="V666" s="393"/>
      <c r="W666" s="393"/>
      <c r="X666" s="393"/>
      <c r="Y666" s="393"/>
      <c r="Z666" s="393"/>
    </row>
    <row r="667">
      <c r="A667" s="393"/>
      <c r="B667" s="393"/>
      <c r="C667" s="393"/>
      <c r="D667" s="393"/>
      <c r="E667" s="393"/>
      <c r="F667" s="393"/>
      <c r="G667" s="393"/>
      <c r="H667" s="393"/>
      <c r="I667" s="393"/>
      <c r="J667" s="393"/>
      <c r="K667" s="393"/>
      <c r="L667" s="393"/>
      <c r="M667" s="393"/>
      <c r="N667" s="393"/>
      <c r="O667" s="393"/>
      <c r="P667" s="393"/>
      <c r="Q667" s="393"/>
      <c r="R667" s="393"/>
      <c r="S667" s="393"/>
      <c r="T667" s="393"/>
      <c r="U667" s="393"/>
      <c r="V667" s="393"/>
      <c r="W667" s="393"/>
      <c r="X667" s="393"/>
      <c r="Y667" s="393"/>
      <c r="Z667" s="393"/>
    </row>
    <row r="668">
      <c r="A668" s="393"/>
      <c r="B668" s="393"/>
      <c r="C668" s="393"/>
      <c r="D668" s="393"/>
      <c r="E668" s="393"/>
      <c r="F668" s="393"/>
      <c r="G668" s="393"/>
      <c r="H668" s="393"/>
      <c r="I668" s="393"/>
      <c r="J668" s="393"/>
      <c r="K668" s="393"/>
      <c r="L668" s="393"/>
      <c r="M668" s="393"/>
      <c r="N668" s="393"/>
      <c r="O668" s="393"/>
      <c r="P668" s="393"/>
      <c r="Q668" s="393"/>
      <c r="R668" s="393"/>
      <c r="S668" s="393"/>
      <c r="T668" s="393"/>
      <c r="U668" s="393"/>
      <c r="V668" s="393"/>
      <c r="W668" s="393"/>
      <c r="X668" s="393"/>
      <c r="Y668" s="393"/>
      <c r="Z668" s="393"/>
    </row>
    <row r="669">
      <c r="A669" s="393"/>
      <c r="B669" s="393"/>
      <c r="C669" s="393"/>
      <c r="D669" s="393"/>
      <c r="E669" s="393"/>
      <c r="F669" s="393"/>
      <c r="G669" s="393"/>
      <c r="H669" s="393"/>
      <c r="I669" s="393"/>
      <c r="J669" s="393"/>
      <c r="K669" s="393"/>
      <c r="L669" s="393"/>
      <c r="M669" s="393"/>
      <c r="N669" s="393"/>
      <c r="O669" s="393"/>
      <c r="P669" s="393"/>
      <c r="Q669" s="393"/>
      <c r="R669" s="393"/>
      <c r="S669" s="393"/>
      <c r="T669" s="393"/>
      <c r="U669" s="393"/>
      <c r="V669" s="393"/>
      <c r="W669" s="393"/>
      <c r="X669" s="393"/>
      <c r="Y669" s="393"/>
      <c r="Z669" s="393"/>
    </row>
    <row r="670">
      <c r="A670" s="393"/>
      <c r="B670" s="393"/>
      <c r="C670" s="393"/>
      <c r="D670" s="393"/>
      <c r="E670" s="393"/>
      <c r="F670" s="393"/>
      <c r="G670" s="393"/>
      <c r="H670" s="393"/>
      <c r="I670" s="393"/>
      <c r="J670" s="393"/>
      <c r="K670" s="393"/>
      <c r="L670" s="393"/>
      <c r="M670" s="393"/>
      <c r="N670" s="393"/>
      <c r="O670" s="393"/>
      <c r="P670" s="393"/>
      <c r="Q670" s="393"/>
      <c r="R670" s="393"/>
      <c r="S670" s="393"/>
      <c r="T670" s="393"/>
      <c r="U670" s="393"/>
      <c r="V670" s="393"/>
      <c r="W670" s="393"/>
      <c r="X670" s="393"/>
      <c r="Y670" s="393"/>
      <c r="Z670" s="393"/>
    </row>
    <row r="671">
      <c r="A671" s="393"/>
      <c r="B671" s="393"/>
      <c r="C671" s="393"/>
      <c r="D671" s="393"/>
      <c r="E671" s="393"/>
      <c r="F671" s="393"/>
      <c r="G671" s="393"/>
      <c r="H671" s="393"/>
      <c r="I671" s="393"/>
      <c r="J671" s="393"/>
      <c r="K671" s="393"/>
      <c r="L671" s="393"/>
      <c r="M671" s="393"/>
      <c r="N671" s="393"/>
      <c r="O671" s="393"/>
      <c r="P671" s="393"/>
      <c r="Q671" s="393"/>
      <c r="R671" s="393"/>
      <c r="S671" s="393"/>
      <c r="T671" s="393"/>
      <c r="U671" s="393"/>
      <c r="V671" s="393"/>
      <c r="W671" s="393"/>
      <c r="X671" s="393"/>
      <c r="Y671" s="393"/>
      <c r="Z671" s="393"/>
    </row>
    <row r="672">
      <c r="A672" s="393"/>
      <c r="B672" s="393"/>
      <c r="C672" s="393"/>
      <c r="D672" s="393"/>
      <c r="E672" s="393"/>
      <c r="F672" s="393"/>
      <c r="G672" s="393"/>
      <c r="H672" s="393"/>
      <c r="I672" s="393"/>
      <c r="J672" s="393"/>
      <c r="K672" s="393"/>
      <c r="L672" s="393"/>
      <c r="M672" s="393"/>
      <c r="N672" s="393"/>
      <c r="O672" s="393"/>
      <c r="P672" s="393"/>
      <c r="Q672" s="393"/>
      <c r="R672" s="393"/>
      <c r="S672" s="393"/>
      <c r="T672" s="393"/>
      <c r="U672" s="393"/>
      <c r="V672" s="393"/>
      <c r="W672" s="393"/>
      <c r="X672" s="393"/>
      <c r="Y672" s="393"/>
      <c r="Z672" s="393"/>
    </row>
    <row r="673">
      <c r="A673" s="393"/>
      <c r="B673" s="393"/>
      <c r="C673" s="393"/>
      <c r="D673" s="393"/>
      <c r="E673" s="393"/>
      <c r="F673" s="393"/>
      <c r="G673" s="393"/>
      <c r="H673" s="393"/>
      <c r="I673" s="393"/>
      <c r="J673" s="393"/>
      <c r="K673" s="393"/>
      <c r="L673" s="393"/>
      <c r="M673" s="393"/>
      <c r="N673" s="393"/>
      <c r="O673" s="393"/>
      <c r="P673" s="393"/>
      <c r="Q673" s="393"/>
      <c r="R673" s="393"/>
      <c r="S673" s="393"/>
      <c r="T673" s="393"/>
      <c r="U673" s="393"/>
      <c r="V673" s="393"/>
      <c r="W673" s="393"/>
      <c r="X673" s="393"/>
      <c r="Y673" s="393"/>
      <c r="Z673" s="393"/>
    </row>
    <row r="674">
      <c r="A674" s="393"/>
      <c r="B674" s="393"/>
      <c r="C674" s="393"/>
      <c r="D674" s="393"/>
      <c r="E674" s="393"/>
      <c r="F674" s="393"/>
      <c r="G674" s="393"/>
      <c r="H674" s="393"/>
      <c r="I674" s="393"/>
      <c r="J674" s="393"/>
      <c r="K674" s="393"/>
      <c r="L674" s="393"/>
      <c r="M674" s="393"/>
      <c r="N674" s="393"/>
      <c r="O674" s="393"/>
      <c r="P674" s="393"/>
      <c r="Q674" s="393"/>
      <c r="R674" s="393"/>
      <c r="S674" s="393"/>
      <c r="T674" s="393"/>
      <c r="U674" s="393"/>
      <c r="V674" s="393"/>
      <c r="W674" s="393"/>
      <c r="X674" s="393"/>
      <c r="Y674" s="393"/>
      <c r="Z674" s="393"/>
    </row>
    <row r="675">
      <c r="A675" s="393"/>
      <c r="B675" s="393"/>
      <c r="C675" s="393"/>
      <c r="D675" s="393"/>
      <c r="E675" s="393"/>
      <c r="F675" s="393"/>
      <c r="G675" s="393"/>
      <c r="H675" s="393"/>
      <c r="I675" s="393"/>
      <c r="J675" s="393"/>
      <c r="K675" s="393"/>
      <c r="L675" s="393"/>
      <c r="M675" s="393"/>
      <c r="N675" s="393"/>
      <c r="O675" s="393"/>
      <c r="P675" s="393"/>
      <c r="Q675" s="393"/>
      <c r="R675" s="393"/>
      <c r="S675" s="393"/>
      <c r="T675" s="393"/>
      <c r="U675" s="393"/>
      <c r="V675" s="393"/>
      <c r="W675" s="393"/>
      <c r="X675" s="393"/>
      <c r="Y675" s="393"/>
      <c r="Z675" s="393"/>
    </row>
    <row r="676">
      <c r="A676" s="393"/>
      <c r="B676" s="393"/>
      <c r="C676" s="393"/>
      <c r="D676" s="393"/>
      <c r="E676" s="393"/>
      <c r="F676" s="393"/>
      <c r="G676" s="393"/>
      <c r="H676" s="393"/>
      <c r="I676" s="393"/>
      <c r="J676" s="393"/>
      <c r="K676" s="393"/>
      <c r="L676" s="393"/>
      <c r="M676" s="393"/>
      <c r="N676" s="393"/>
      <c r="O676" s="393"/>
      <c r="P676" s="393"/>
      <c r="Q676" s="393"/>
      <c r="R676" s="393"/>
      <c r="S676" s="393"/>
      <c r="T676" s="393"/>
      <c r="U676" s="393"/>
      <c r="V676" s="393"/>
      <c r="W676" s="393"/>
      <c r="X676" s="393"/>
      <c r="Y676" s="393"/>
      <c r="Z676" s="393"/>
    </row>
    <row r="677">
      <c r="A677" s="393"/>
      <c r="B677" s="393"/>
      <c r="C677" s="393"/>
      <c r="D677" s="393"/>
      <c r="E677" s="393"/>
      <c r="F677" s="393"/>
      <c r="G677" s="393"/>
      <c r="H677" s="393"/>
      <c r="I677" s="393"/>
      <c r="J677" s="393"/>
      <c r="K677" s="393"/>
      <c r="L677" s="393"/>
      <c r="M677" s="393"/>
      <c r="N677" s="393"/>
      <c r="O677" s="393"/>
      <c r="P677" s="393"/>
      <c r="Q677" s="393"/>
      <c r="R677" s="393"/>
      <c r="S677" s="393"/>
      <c r="T677" s="393"/>
      <c r="U677" s="393"/>
      <c r="V677" s="393"/>
      <c r="W677" s="393"/>
      <c r="X677" s="393"/>
      <c r="Y677" s="393"/>
      <c r="Z677" s="393"/>
    </row>
    <row r="678">
      <c r="A678" s="393"/>
      <c r="B678" s="393"/>
      <c r="C678" s="393"/>
      <c r="D678" s="393"/>
      <c r="E678" s="393"/>
      <c r="F678" s="393"/>
      <c r="G678" s="393"/>
      <c r="H678" s="393"/>
      <c r="I678" s="393"/>
      <c r="J678" s="393"/>
      <c r="K678" s="393"/>
      <c r="L678" s="393"/>
      <c r="M678" s="393"/>
      <c r="N678" s="393"/>
      <c r="O678" s="393"/>
      <c r="P678" s="393"/>
      <c r="Q678" s="393"/>
      <c r="R678" s="393"/>
      <c r="S678" s="393"/>
      <c r="T678" s="393"/>
      <c r="U678" s="393"/>
      <c r="V678" s="393"/>
      <c r="W678" s="393"/>
      <c r="X678" s="393"/>
      <c r="Y678" s="393"/>
      <c r="Z678" s="393"/>
    </row>
    <row r="679">
      <c r="A679" s="393"/>
      <c r="B679" s="393"/>
      <c r="C679" s="393"/>
      <c r="D679" s="393"/>
      <c r="E679" s="393"/>
      <c r="F679" s="393"/>
      <c r="G679" s="393"/>
      <c r="H679" s="393"/>
      <c r="I679" s="393"/>
      <c r="J679" s="393"/>
      <c r="K679" s="393"/>
      <c r="L679" s="393"/>
      <c r="M679" s="393"/>
      <c r="N679" s="393"/>
      <c r="O679" s="393"/>
      <c r="P679" s="393"/>
      <c r="Q679" s="393"/>
      <c r="R679" s="393"/>
      <c r="S679" s="393"/>
      <c r="T679" s="393"/>
      <c r="U679" s="393"/>
      <c r="V679" s="393"/>
      <c r="W679" s="393"/>
      <c r="X679" s="393"/>
      <c r="Y679" s="393"/>
      <c r="Z679" s="393"/>
    </row>
    <row r="680">
      <c r="A680" s="393"/>
      <c r="B680" s="393"/>
      <c r="C680" s="393"/>
      <c r="D680" s="393"/>
      <c r="E680" s="393"/>
      <c r="F680" s="393"/>
      <c r="G680" s="393"/>
      <c r="H680" s="393"/>
      <c r="I680" s="393"/>
      <c r="J680" s="393"/>
      <c r="K680" s="393"/>
      <c r="L680" s="393"/>
      <c r="M680" s="393"/>
      <c r="N680" s="393"/>
      <c r="O680" s="393"/>
      <c r="P680" s="393"/>
      <c r="Q680" s="393"/>
      <c r="R680" s="393"/>
      <c r="S680" s="393"/>
      <c r="T680" s="393"/>
      <c r="U680" s="393"/>
      <c r="V680" s="393"/>
      <c r="W680" s="393"/>
      <c r="X680" s="393"/>
      <c r="Y680" s="393"/>
      <c r="Z680" s="393"/>
    </row>
    <row r="681">
      <c r="A681" s="393"/>
      <c r="B681" s="393"/>
      <c r="C681" s="393"/>
      <c r="D681" s="393"/>
      <c r="E681" s="393"/>
      <c r="F681" s="393"/>
      <c r="G681" s="393"/>
      <c r="H681" s="393"/>
      <c r="I681" s="393"/>
      <c r="J681" s="393"/>
      <c r="K681" s="393"/>
      <c r="L681" s="393"/>
      <c r="M681" s="393"/>
      <c r="N681" s="393"/>
      <c r="O681" s="393"/>
      <c r="P681" s="393"/>
      <c r="Q681" s="393"/>
      <c r="R681" s="393"/>
      <c r="S681" s="393"/>
      <c r="T681" s="393"/>
      <c r="U681" s="393"/>
      <c r="V681" s="393"/>
      <c r="W681" s="393"/>
      <c r="X681" s="393"/>
      <c r="Y681" s="393"/>
      <c r="Z681" s="393"/>
    </row>
    <row r="682">
      <c r="A682" s="393"/>
      <c r="B682" s="393"/>
      <c r="C682" s="393"/>
      <c r="D682" s="393"/>
      <c r="E682" s="393"/>
      <c r="F682" s="393"/>
      <c r="G682" s="393"/>
      <c r="H682" s="393"/>
      <c r="I682" s="393"/>
      <c r="J682" s="393"/>
      <c r="K682" s="393"/>
      <c r="L682" s="393"/>
      <c r="M682" s="393"/>
      <c r="N682" s="393"/>
      <c r="O682" s="393"/>
      <c r="P682" s="393"/>
      <c r="Q682" s="393"/>
      <c r="R682" s="393"/>
      <c r="S682" s="393"/>
      <c r="T682" s="393"/>
      <c r="U682" s="393"/>
      <c r="V682" s="393"/>
      <c r="W682" s="393"/>
      <c r="X682" s="393"/>
      <c r="Y682" s="393"/>
      <c r="Z682" s="393"/>
    </row>
    <row r="683">
      <c r="A683" s="393"/>
      <c r="B683" s="393"/>
      <c r="C683" s="393"/>
      <c r="D683" s="393"/>
      <c r="E683" s="393"/>
      <c r="F683" s="393"/>
      <c r="G683" s="393"/>
      <c r="H683" s="393"/>
      <c r="I683" s="393"/>
      <c r="J683" s="393"/>
      <c r="K683" s="393"/>
      <c r="L683" s="393"/>
      <c r="M683" s="393"/>
      <c r="N683" s="393"/>
      <c r="O683" s="393"/>
      <c r="P683" s="393"/>
      <c r="Q683" s="393"/>
      <c r="R683" s="393"/>
      <c r="S683" s="393"/>
      <c r="T683" s="393"/>
      <c r="U683" s="393"/>
      <c r="V683" s="393"/>
      <c r="W683" s="393"/>
      <c r="X683" s="393"/>
      <c r="Y683" s="393"/>
      <c r="Z683" s="393"/>
    </row>
    <row r="684">
      <c r="A684" s="393"/>
      <c r="B684" s="393"/>
      <c r="C684" s="393"/>
      <c r="D684" s="393"/>
      <c r="E684" s="393"/>
      <c r="F684" s="393"/>
      <c r="G684" s="393"/>
      <c r="H684" s="393"/>
      <c r="I684" s="393"/>
      <c r="J684" s="393"/>
      <c r="K684" s="393"/>
      <c r="L684" s="393"/>
      <c r="M684" s="393"/>
      <c r="N684" s="393"/>
      <c r="O684" s="393"/>
      <c r="P684" s="393"/>
      <c r="Q684" s="393"/>
      <c r="R684" s="393"/>
      <c r="S684" s="393"/>
      <c r="T684" s="393"/>
      <c r="U684" s="393"/>
      <c r="V684" s="393"/>
      <c r="W684" s="393"/>
      <c r="X684" s="393"/>
      <c r="Y684" s="393"/>
      <c r="Z684" s="393"/>
    </row>
    <row r="685">
      <c r="A685" s="393"/>
      <c r="B685" s="393"/>
      <c r="C685" s="393"/>
      <c r="D685" s="393"/>
      <c r="E685" s="393"/>
      <c r="F685" s="393"/>
      <c r="G685" s="393"/>
      <c r="H685" s="393"/>
      <c r="I685" s="393"/>
      <c r="J685" s="393"/>
      <c r="K685" s="393"/>
      <c r="L685" s="393"/>
      <c r="M685" s="393"/>
      <c r="N685" s="393"/>
      <c r="O685" s="393"/>
      <c r="P685" s="393"/>
      <c r="Q685" s="393"/>
      <c r="R685" s="393"/>
      <c r="S685" s="393"/>
      <c r="T685" s="393"/>
      <c r="U685" s="393"/>
      <c r="V685" s="393"/>
      <c r="W685" s="393"/>
      <c r="X685" s="393"/>
      <c r="Y685" s="393"/>
      <c r="Z685" s="393"/>
    </row>
    <row r="686">
      <c r="A686" s="393"/>
      <c r="B686" s="393"/>
      <c r="C686" s="393"/>
      <c r="D686" s="393"/>
      <c r="E686" s="393"/>
      <c r="F686" s="393"/>
      <c r="G686" s="393"/>
      <c r="H686" s="393"/>
      <c r="I686" s="393"/>
      <c r="J686" s="393"/>
      <c r="K686" s="393"/>
      <c r="L686" s="393"/>
      <c r="M686" s="393"/>
      <c r="N686" s="393"/>
      <c r="O686" s="393"/>
      <c r="P686" s="393"/>
      <c r="Q686" s="393"/>
      <c r="R686" s="393"/>
      <c r="S686" s="393"/>
      <c r="T686" s="393"/>
      <c r="U686" s="393"/>
      <c r="V686" s="393"/>
      <c r="W686" s="393"/>
      <c r="X686" s="393"/>
      <c r="Y686" s="393"/>
      <c r="Z686" s="393"/>
    </row>
    <row r="687">
      <c r="A687" s="393"/>
      <c r="B687" s="393"/>
      <c r="C687" s="393"/>
      <c r="D687" s="393"/>
      <c r="E687" s="393"/>
      <c r="F687" s="393"/>
      <c r="G687" s="393"/>
      <c r="H687" s="393"/>
      <c r="I687" s="393"/>
      <c r="J687" s="393"/>
      <c r="K687" s="393"/>
      <c r="L687" s="393"/>
      <c r="M687" s="393"/>
      <c r="N687" s="393"/>
      <c r="O687" s="393"/>
      <c r="P687" s="393"/>
      <c r="Q687" s="393"/>
      <c r="R687" s="393"/>
      <c r="S687" s="393"/>
      <c r="T687" s="393"/>
      <c r="U687" s="393"/>
      <c r="V687" s="393"/>
      <c r="W687" s="393"/>
      <c r="X687" s="393"/>
      <c r="Y687" s="393"/>
      <c r="Z687" s="393"/>
    </row>
    <row r="688">
      <c r="A688" s="393"/>
      <c r="B688" s="393"/>
      <c r="C688" s="393"/>
      <c r="D688" s="393"/>
      <c r="E688" s="393"/>
      <c r="F688" s="393"/>
      <c r="G688" s="393"/>
      <c r="H688" s="393"/>
      <c r="I688" s="393"/>
      <c r="J688" s="393"/>
      <c r="K688" s="393"/>
      <c r="L688" s="393"/>
      <c r="M688" s="393"/>
      <c r="N688" s="393"/>
      <c r="O688" s="393"/>
      <c r="P688" s="393"/>
      <c r="Q688" s="393"/>
      <c r="R688" s="393"/>
      <c r="S688" s="393"/>
      <c r="T688" s="393"/>
      <c r="U688" s="393"/>
      <c r="V688" s="393"/>
      <c r="W688" s="393"/>
      <c r="X688" s="393"/>
      <c r="Y688" s="393"/>
      <c r="Z688" s="393"/>
    </row>
    <row r="689">
      <c r="A689" s="393"/>
      <c r="B689" s="393"/>
      <c r="C689" s="393"/>
      <c r="D689" s="393"/>
      <c r="E689" s="393"/>
      <c r="F689" s="393"/>
      <c r="G689" s="393"/>
      <c r="H689" s="393"/>
      <c r="I689" s="393"/>
      <c r="J689" s="393"/>
      <c r="K689" s="393"/>
      <c r="L689" s="393"/>
      <c r="M689" s="393"/>
      <c r="N689" s="393"/>
      <c r="O689" s="393"/>
      <c r="P689" s="393"/>
      <c r="Q689" s="393"/>
      <c r="R689" s="393"/>
      <c r="S689" s="393"/>
      <c r="T689" s="393"/>
      <c r="U689" s="393"/>
      <c r="V689" s="393"/>
      <c r="W689" s="393"/>
      <c r="X689" s="393"/>
      <c r="Y689" s="393"/>
      <c r="Z689" s="393"/>
    </row>
    <row r="690">
      <c r="A690" s="393"/>
      <c r="B690" s="393"/>
      <c r="C690" s="393"/>
      <c r="D690" s="393"/>
      <c r="E690" s="393"/>
      <c r="F690" s="393"/>
      <c r="G690" s="393"/>
      <c r="H690" s="393"/>
      <c r="I690" s="393"/>
      <c r="J690" s="393"/>
      <c r="K690" s="393"/>
      <c r="L690" s="393"/>
      <c r="M690" s="393"/>
      <c r="N690" s="393"/>
      <c r="O690" s="393"/>
      <c r="P690" s="393"/>
      <c r="Q690" s="393"/>
      <c r="R690" s="393"/>
      <c r="S690" s="393"/>
      <c r="T690" s="393"/>
      <c r="U690" s="393"/>
      <c r="V690" s="393"/>
      <c r="W690" s="393"/>
      <c r="X690" s="393"/>
      <c r="Y690" s="393"/>
      <c r="Z690" s="393"/>
    </row>
    <row r="691">
      <c r="A691" s="393"/>
      <c r="B691" s="393"/>
      <c r="C691" s="393"/>
      <c r="D691" s="393"/>
      <c r="E691" s="393"/>
      <c r="F691" s="393"/>
      <c r="G691" s="393"/>
      <c r="H691" s="393"/>
      <c r="I691" s="393"/>
      <c r="J691" s="393"/>
      <c r="K691" s="393"/>
      <c r="L691" s="393"/>
      <c r="M691" s="393"/>
      <c r="N691" s="393"/>
      <c r="O691" s="393"/>
      <c r="P691" s="393"/>
      <c r="Q691" s="393"/>
      <c r="R691" s="393"/>
      <c r="S691" s="393"/>
      <c r="T691" s="393"/>
      <c r="U691" s="393"/>
      <c r="V691" s="393"/>
      <c r="W691" s="393"/>
      <c r="X691" s="393"/>
      <c r="Y691" s="393"/>
      <c r="Z691" s="393"/>
    </row>
    <row r="692">
      <c r="A692" s="393"/>
      <c r="B692" s="393"/>
      <c r="C692" s="393"/>
      <c r="D692" s="393"/>
      <c r="E692" s="393"/>
      <c r="F692" s="393"/>
      <c r="G692" s="393"/>
      <c r="H692" s="393"/>
      <c r="I692" s="393"/>
      <c r="J692" s="393"/>
      <c r="K692" s="393"/>
      <c r="L692" s="393"/>
      <c r="M692" s="393"/>
      <c r="N692" s="393"/>
      <c r="O692" s="393"/>
      <c r="P692" s="393"/>
      <c r="Q692" s="393"/>
      <c r="R692" s="393"/>
      <c r="S692" s="393"/>
      <c r="T692" s="393"/>
      <c r="U692" s="393"/>
      <c r="V692" s="393"/>
      <c r="W692" s="393"/>
      <c r="X692" s="393"/>
      <c r="Y692" s="393"/>
      <c r="Z692" s="393"/>
    </row>
    <row r="693">
      <c r="A693" s="393"/>
      <c r="B693" s="393"/>
      <c r="C693" s="393"/>
      <c r="D693" s="393"/>
      <c r="E693" s="393"/>
      <c r="F693" s="393"/>
      <c r="G693" s="393"/>
      <c r="H693" s="393"/>
      <c r="I693" s="393"/>
      <c r="J693" s="393"/>
      <c r="K693" s="393"/>
      <c r="L693" s="393"/>
      <c r="M693" s="393"/>
      <c r="N693" s="393"/>
      <c r="O693" s="393"/>
      <c r="P693" s="393"/>
      <c r="Q693" s="393"/>
      <c r="R693" s="393"/>
      <c r="S693" s="393"/>
      <c r="T693" s="393"/>
      <c r="U693" s="393"/>
      <c r="V693" s="393"/>
      <c r="W693" s="393"/>
      <c r="X693" s="393"/>
      <c r="Y693" s="393"/>
      <c r="Z693" s="393"/>
    </row>
    <row r="694">
      <c r="A694" s="393"/>
      <c r="B694" s="393"/>
      <c r="C694" s="393"/>
      <c r="D694" s="393"/>
      <c r="E694" s="393"/>
      <c r="F694" s="393"/>
      <c r="G694" s="393"/>
      <c r="H694" s="393"/>
      <c r="I694" s="393"/>
      <c r="J694" s="393"/>
      <c r="K694" s="393"/>
      <c r="L694" s="393"/>
      <c r="M694" s="393"/>
      <c r="N694" s="393"/>
      <c r="O694" s="393"/>
      <c r="P694" s="393"/>
      <c r="Q694" s="393"/>
      <c r="R694" s="393"/>
      <c r="S694" s="393"/>
      <c r="T694" s="393"/>
      <c r="U694" s="393"/>
      <c r="V694" s="393"/>
      <c r="W694" s="393"/>
      <c r="X694" s="393"/>
      <c r="Y694" s="393"/>
      <c r="Z694" s="393"/>
    </row>
    <row r="695">
      <c r="A695" s="393"/>
      <c r="B695" s="393"/>
      <c r="C695" s="393"/>
      <c r="D695" s="393"/>
      <c r="E695" s="393"/>
      <c r="F695" s="393"/>
      <c r="G695" s="393"/>
      <c r="H695" s="393"/>
      <c r="I695" s="393"/>
      <c r="J695" s="393"/>
      <c r="K695" s="393"/>
      <c r="L695" s="393"/>
      <c r="M695" s="393"/>
      <c r="N695" s="393"/>
      <c r="O695" s="393"/>
      <c r="P695" s="393"/>
      <c r="Q695" s="393"/>
      <c r="R695" s="393"/>
      <c r="S695" s="393"/>
      <c r="T695" s="393"/>
      <c r="U695" s="393"/>
      <c r="V695" s="393"/>
      <c r="W695" s="393"/>
      <c r="X695" s="393"/>
      <c r="Y695" s="393"/>
      <c r="Z695" s="393"/>
    </row>
    <row r="696">
      <c r="A696" s="393"/>
      <c r="B696" s="393"/>
      <c r="C696" s="393"/>
      <c r="D696" s="393"/>
      <c r="E696" s="393"/>
      <c r="F696" s="393"/>
      <c r="G696" s="393"/>
      <c r="H696" s="393"/>
      <c r="I696" s="393"/>
      <c r="J696" s="393"/>
      <c r="K696" s="393"/>
      <c r="L696" s="393"/>
      <c r="M696" s="393"/>
      <c r="N696" s="393"/>
      <c r="O696" s="393"/>
      <c r="P696" s="393"/>
      <c r="Q696" s="393"/>
      <c r="R696" s="393"/>
      <c r="S696" s="393"/>
      <c r="T696" s="393"/>
      <c r="U696" s="393"/>
      <c r="V696" s="393"/>
      <c r="W696" s="393"/>
      <c r="X696" s="393"/>
      <c r="Y696" s="393"/>
      <c r="Z696" s="393"/>
    </row>
    <row r="697">
      <c r="A697" s="393"/>
      <c r="B697" s="393"/>
      <c r="C697" s="393"/>
      <c r="D697" s="393"/>
      <c r="E697" s="393"/>
      <c r="F697" s="393"/>
      <c r="G697" s="393"/>
      <c r="H697" s="393"/>
      <c r="I697" s="393"/>
      <c r="J697" s="393"/>
      <c r="K697" s="393"/>
      <c r="L697" s="393"/>
      <c r="M697" s="393"/>
      <c r="N697" s="393"/>
      <c r="O697" s="393"/>
      <c r="P697" s="393"/>
      <c r="Q697" s="393"/>
      <c r="R697" s="393"/>
      <c r="S697" s="393"/>
      <c r="T697" s="393"/>
      <c r="U697" s="393"/>
      <c r="V697" s="393"/>
      <c r="W697" s="393"/>
      <c r="X697" s="393"/>
      <c r="Y697" s="393"/>
      <c r="Z697" s="393"/>
    </row>
    <row r="698">
      <c r="A698" s="393"/>
      <c r="B698" s="393"/>
      <c r="C698" s="393"/>
      <c r="D698" s="393"/>
      <c r="E698" s="393"/>
      <c r="F698" s="393"/>
      <c r="G698" s="393"/>
      <c r="H698" s="393"/>
      <c r="I698" s="393"/>
      <c r="J698" s="393"/>
      <c r="K698" s="393"/>
      <c r="L698" s="393"/>
      <c r="M698" s="393"/>
      <c r="N698" s="393"/>
      <c r="O698" s="393"/>
      <c r="P698" s="393"/>
      <c r="Q698" s="393"/>
      <c r="R698" s="393"/>
      <c r="S698" s="393"/>
      <c r="T698" s="393"/>
      <c r="U698" s="393"/>
      <c r="V698" s="393"/>
      <c r="W698" s="393"/>
      <c r="X698" s="393"/>
      <c r="Y698" s="393"/>
      <c r="Z698" s="393"/>
    </row>
    <row r="699">
      <c r="A699" s="393"/>
      <c r="B699" s="393"/>
      <c r="C699" s="393"/>
      <c r="D699" s="393"/>
      <c r="E699" s="393"/>
      <c r="F699" s="393"/>
      <c r="G699" s="393"/>
      <c r="H699" s="393"/>
      <c r="I699" s="393"/>
      <c r="J699" s="393"/>
      <c r="K699" s="393"/>
      <c r="L699" s="393"/>
      <c r="M699" s="393"/>
      <c r="N699" s="393"/>
      <c r="O699" s="393"/>
      <c r="P699" s="393"/>
      <c r="Q699" s="393"/>
      <c r="R699" s="393"/>
      <c r="S699" s="393"/>
      <c r="T699" s="393"/>
      <c r="U699" s="393"/>
      <c r="V699" s="393"/>
      <c r="W699" s="393"/>
      <c r="X699" s="393"/>
      <c r="Y699" s="393"/>
      <c r="Z699" s="393"/>
    </row>
    <row r="700">
      <c r="A700" s="393"/>
      <c r="B700" s="393"/>
      <c r="C700" s="393"/>
      <c r="D700" s="393"/>
      <c r="E700" s="393"/>
      <c r="F700" s="393"/>
      <c r="G700" s="393"/>
      <c r="H700" s="393"/>
      <c r="I700" s="393"/>
      <c r="J700" s="393"/>
      <c r="K700" s="393"/>
      <c r="L700" s="393"/>
      <c r="M700" s="393"/>
      <c r="N700" s="393"/>
      <c r="O700" s="393"/>
      <c r="P700" s="393"/>
      <c r="Q700" s="393"/>
      <c r="R700" s="393"/>
      <c r="S700" s="393"/>
      <c r="T700" s="393"/>
      <c r="U700" s="393"/>
      <c r="V700" s="393"/>
      <c r="W700" s="393"/>
      <c r="X700" s="393"/>
      <c r="Y700" s="393"/>
      <c r="Z700" s="393"/>
    </row>
    <row r="701">
      <c r="A701" s="393"/>
      <c r="B701" s="393"/>
      <c r="C701" s="393"/>
      <c r="D701" s="393"/>
      <c r="E701" s="393"/>
      <c r="F701" s="393"/>
      <c r="G701" s="393"/>
      <c r="H701" s="393"/>
      <c r="I701" s="393"/>
      <c r="J701" s="393"/>
      <c r="K701" s="393"/>
      <c r="L701" s="393"/>
      <c r="M701" s="393"/>
      <c r="N701" s="393"/>
      <c r="O701" s="393"/>
      <c r="P701" s="393"/>
      <c r="Q701" s="393"/>
      <c r="R701" s="393"/>
      <c r="S701" s="393"/>
      <c r="T701" s="393"/>
      <c r="U701" s="393"/>
      <c r="V701" s="393"/>
      <c r="W701" s="393"/>
      <c r="X701" s="393"/>
      <c r="Y701" s="393"/>
      <c r="Z701" s="393"/>
    </row>
    <row r="702">
      <c r="A702" s="393"/>
      <c r="B702" s="393"/>
      <c r="C702" s="393"/>
      <c r="D702" s="393"/>
      <c r="E702" s="393"/>
      <c r="F702" s="393"/>
      <c r="G702" s="393"/>
      <c r="H702" s="393"/>
      <c r="I702" s="393"/>
      <c r="J702" s="393"/>
      <c r="K702" s="393"/>
      <c r="L702" s="393"/>
      <c r="M702" s="393"/>
      <c r="N702" s="393"/>
      <c r="O702" s="393"/>
      <c r="P702" s="393"/>
      <c r="Q702" s="393"/>
      <c r="R702" s="393"/>
      <c r="S702" s="393"/>
      <c r="T702" s="393"/>
      <c r="U702" s="393"/>
      <c r="V702" s="393"/>
      <c r="W702" s="393"/>
      <c r="X702" s="393"/>
      <c r="Y702" s="393"/>
      <c r="Z702" s="393"/>
    </row>
    <row r="703">
      <c r="A703" s="393"/>
      <c r="B703" s="393"/>
      <c r="C703" s="393"/>
      <c r="D703" s="393"/>
      <c r="E703" s="393"/>
      <c r="F703" s="393"/>
      <c r="G703" s="393"/>
      <c r="H703" s="393"/>
      <c r="I703" s="393"/>
      <c r="J703" s="393"/>
      <c r="K703" s="393"/>
      <c r="L703" s="393"/>
      <c r="M703" s="393"/>
      <c r="N703" s="393"/>
      <c r="O703" s="393"/>
      <c r="P703" s="393"/>
      <c r="Q703" s="393"/>
      <c r="R703" s="393"/>
      <c r="S703" s="393"/>
      <c r="T703" s="393"/>
      <c r="U703" s="393"/>
      <c r="V703" s="393"/>
      <c r="W703" s="393"/>
      <c r="X703" s="393"/>
      <c r="Y703" s="393"/>
      <c r="Z703" s="393"/>
    </row>
    <row r="704">
      <c r="A704" s="393"/>
      <c r="B704" s="393"/>
      <c r="C704" s="393"/>
      <c r="D704" s="393"/>
      <c r="E704" s="393"/>
      <c r="F704" s="393"/>
      <c r="G704" s="393"/>
      <c r="H704" s="393"/>
      <c r="I704" s="393"/>
      <c r="J704" s="393"/>
      <c r="K704" s="393"/>
      <c r="L704" s="393"/>
      <c r="M704" s="393"/>
      <c r="N704" s="393"/>
      <c r="O704" s="393"/>
      <c r="P704" s="393"/>
      <c r="Q704" s="393"/>
      <c r="R704" s="393"/>
      <c r="S704" s="393"/>
      <c r="T704" s="393"/>
      <c r="U704" s="393"/>
      <c r="V704" s="393"/>
      <c r="W704" s="393"/>
      <c r="X704" s="393"/>
      <c r="Y704" s="393"/>
      <c r="Z704" s="393"/>
    </row>
    <row r="705">
      <c r="A705" s="393"/>
      <c r="B705" s="393"/>
      <c r="C705" s="393"/>
      <c r="D705" s="393"/>
      <c r="E705" s="393"/>
      <c r="F705" s="393"/>
      <c r="G705" s="393"/>
      <c r="H705" s="393"/>
      <c r="I705" s="393"/>
      <c r="J705" s="393"/>
      <c r="K705" s="393"/>
      <c r="L705" s="393"/>
      <c r="M705" s="393"/>
      <c r="N705" s="393"/>
      <c r="O705" s="393"/>
      <c r="P705" s="393"/>
      <c r="Q705" s="393"/>
      <c r="R705" s="393"/>
      <c r="S705" s="393"/>
      <c r="T705" s="393"/>
      <c r="U705" s="393"/>
      <c r="V705" s="393"/>
      <c r="W705" s="393"/>
      <c r="X705" s="393"/>
      <c r="Y705" s="393"/>
      <c r="Z705" s="393"/>
    </row>
    <row r="706">
      <c r="A706" s="393"/>
      <c r="B706" s="393"/>
      <c r="C706" s="393"/>
      <c r="D706" s="393"/>
      <c r="E706" s="393"/>
      <c r="F706" s="393"/>
      <c r="G706" s="393"/>
      <c r="H706" s="393"/>
      <c r="I706" s="393"/>
      <c r="J706" s="393"/>
      <c r="K706" s="393"/>
      <c r="L706" s="393"/>
      <c r="M706" s="393"/>
      <c r="N706" s="393"/>
      <c r="O706" s="393"/>
      <c r="P706" s="393"/>
      <c r="Q706" s="393"/>
      <c r="R706" s="393"/>
      <c r="S706" s="393"/>
      <c r="T706" s="393"/>
      <c r="U706" s="393"/>
      <c r="V706" s="393"/>
      <c r="W706" s="393"/>
      <c r="X706" s="393"/>
      <c r="Y706" s="393"/>
      <c r="Z706" s="393"/>
    </row>
    <row r="707">
      <c r="A707" s="393"/>
      <c r="B707" s="393"/>
      <c r="C707" s="393"/>
      <c r="D707" s="393"/>
      <c r="E707" s="393"/>
      <c r="F707" s="393"/>
      <c r="G707" s="393"/>
      <c r="H707" s="393"/>
      <c r="I707" s="393"/>
      <c r="J707" s="393"/>
      <c r="K707" s="393"/>
      <c r="L707" s="393"/>
      <c r="M707" s="393"/>
      <c r="N707" s="393"/>
      <c r="O707" s="393"/>
      <c r="P707" s="393"/>
      <c r="Q707" s="393"/>
      <c r="R707" s="393"/>
      <c r="S707" s="393"/>
      <c r="T707" s="393"/>
      <c r="U707" s="393"/>
      <c r="V707" s="393"/>
      <c r="W707" s="393"/>
      <c r="X707" s="393"/>
      <c r="Y707" s="393"/>
      <c r="Z707" s="393"/>
    </row>
    <row r="708">
      <c r="A708" s="393"/>
      <c r="B708" s="393"/>
      <c r="C708" s="393"/>
      <c r="D708" s="393"/>
      <c r="E708" s="393"/>
      <c r="F708" s="393"/>
      <c r="G708" s="393"/>
      <c r="H708" s="393"/>
      <c r="I708" s="393"/>
      <c r="J708" s="393"/>
      <c r="K708" s="393"/>
      <c r="L708" s="393"/>
      <c r="M708" s="393"/>
      <c r="N708" s="393"/>
      <c r="O708" s="393"/>
      <c r="P708" s="393"/>
      <c r="Q708" s="393"/>
      <c r="R708" s="393"/>
      <c r="S708" s="393"/>
      <c r="T708" s="393"/>
      <c r="U708" s="393"/>
      <c r="V708" s="393"/>
      <c r="W708" s="393"/>
      <c r="X708" s="393"/>
      <c r="Y708" s="393"/>
      <c r="Z708" s="393"/>
    </row>
    <row r="709">
      <c r="A709" s="393"/>
      <c r="B709" s="393"/>
      <c r="C709" s="393"/>
      <c r="D709" s="393"/>
      <c r="E709" s="393"/>
      <c r="F709" s="393"/>
      <c r="G709" s="393"/>
      <c r="H709" s="393"/>
      <c r="I709" s="393"/>
      <c r="J709" s="393"/>
      <c r="K709" s="393"/>
      <c r="L709" s="393"/>
      <c r="M709" s="393"/>
      <c r="N709" s="393"/>
      <c r="O709" s="393"/>
      <c r="P709" s="393"/>
      <c r="Q709" s="393"/>
      <c r="R709" s="393"/>
      <c r="S709" s="393"/>
      <c r="T709" s="393"/>
      <c r="U709" s="393"/>
      <c r="V709" s="393"/>
      <c r="W709" s="393"/>
      <c r="X709" s="393"/>
      <c r="Y709" s="393"/>
      <c r="Z709" s="393"/>
    </row>
    <row r="710">
      <c r="A710" s="393"/>
      <c r="B710" s="393"/>
      <c r="C710" s="393"/>
      <c r="D710" s="393"/>
      <c r="E710" s="393"/>
      <c r="F710" s="393"/>
      <c r="G710" s="393"/>
      <c r="H710" s="393"/>
      <c r="I710" s="393"/>
      <c r="J710" s="393"/>
      <c r="K710" s="393"/>
      <c r="L710" s="393"/>
      <c r="M710" s="393"/>
      <c r="N710" s="393"/>
      <c r="O710" s="393"/>
      <c r="P710" s="393"/>
      <c r="Q710" s="393"/>
      <c r="R710" s="393"/>
      <c r="S710" s="393"/>
      <c r="T710" s="393"/>
      <c r="U710" s="393"/>
      <c r="V710" s="393"/>
      <c r="W710" s="393"/>
      <c r="X710" s="393"/>
      <c r="Y710" s="393"/>
      <c r="Z710" s="393"/>
    </row>
    <row r="711">
      <c r="A711" s="393"/>
      <c r="B711" s="393"/>
      <c r="C711" s="393"/>
      <c r="D711" s="393"/>
      <c r="E711" s="393"/>
      <c r="F711" s="393"/>
      <c r="G711" s="393"/>
      <c r="H711" s="393"/>
      <c r="I711" s="393"/>
      <c r="J711" s="393"/>
      <c r="K711" s="393"/>
      <c r="L711" s="393"/>
      <c r="M711" s="393"/>
      <c r="N711" s="393"/>
      <c r="O711" s="393"/>
      <c r="P711" s="393"/>
      <c r="Q711" s="393"/>
      <c r="R711" s="393"/>
      <c r="S711" s="393"/>
      <c r="T711" s="393"/>
      <c r="U711" s="393"/>
      <c r="V711" s="393"/>
      <c r="W711" s="393"/>
      <c r="X711" s="393"/>
      <c r="Y711" s="393"/>
      <c r="Z711" s="393"/>
    </row>
    <row r="712">
      <c r="A712" s="393"/>
      <c r="B712" s="393"/>
      <c r="C712" s="393"/>
      <c r="D712" s="393"/>
      <c r="E712" s="393"/>
      <c r="F712" s="393"/>
      <c r="G712" s="393"/>
      <c r="H712" s="393"/>
      <c r="I712" s="393"/>
      <c r="J712" s="393"/>
      <c r="K712" s="393"/>
      <c r="L712" s="393"/>
      <c r="M712" s="393"/>
      <c r="N712" s="393"/>
      <c r="O712" s="393"/>
      <c r="P712" s="393"/>
      <c r="Q712" s="393"/>
      <c r="R712" s="393"/>
      <c r="S712" s="393"/>
      <c r="T712" s="393"/>
      <c r="U712" s="393"/>
      <c r="V712" s="393"/>
      <c r="W712" s="393"/>
      <c r="X712" s="393"/>
      <c r="Y712" s="393"/>
      <c r="Z712" s="393"/>
    </row>
    <row r="713">
      <c r="A713" s="393"/>
      <c r="B713" s="393"/>
      <c r="C713" s="393"/>
      <c r="D713" s="393"/>
      <c r="E713" s="393"/>
      <c r="F713" s="393"/>
      <c r="G713" s="393"/>
      <c r="H713" s="393"/>
      <c r="I713" s="393"/>
      <c r="J713" s="393"/>
      <c r="K713" s="393"/>
      <c r="L713" s="393"/>
      <c r="M713" s="393"/>
      <c r="N713" s="393"/>
      <c r="O713" s="393"/>
      <c r="P713" s="393"/>
      <c r="Q713" s="393"/>
      <c r="R713" s="393"/>
      <c r="S713" s="393"/>
      <c r="T713" s="393"/>
      <c r="U713" s="393"/>
      <c r="V713" s="393"/>
      <c r="W713" s="393"/>
      <c r="X713" s="393"/>
      <c r="Y713" s="393"/>
      <c r="Z713" s="393"/>
    </row>
    <row r="714">
      <c r="A714" s="393"/>
      <c r="B714" s="393"/>
      <c r="C714" s="393"/>
      <c r="D714" s="393"/>
      <c r="E714" s="393"/>
      <c r="F714" s="393"/>
      <c r="G714" s="393"/>
      <c r="H714" s="393"/>
      <c r="I714" s="393"/>
      <c r="J714" s="393"/>
      <c r="K714" s="393"/>
      <c r="L714" s="393"/>
      <c r="M714" s="393"/>
      <c r="N714" s="393"/>
      <c r="O714" s="393"/>
      <c r="P714" s="393"/>
      <c r="Q714" s="393"/>
      <c r="R714" s="393"/>
      <c r="S714" s="393"/>
      <c r="T714" s="393"/>
      <c r="U714" s="393"/>
      <c r="V714" s="393"/>
      <c r="W714" s="393"/>
      <c r="X714" s="393"/>
      <c r="Y714" s="393"/>
      <c r="Z714" s="393"/>
    </row>
    <row r="715">
      <c r="A715" s="393"/>
      <c r="B715" s="393"/>
      <c r="C715" s="393"/>
      <c r="D715" s="393"/>
      <c r="E715" s="393"/>
      <c r="F715" s="393"/>
      <c r="G715" s="393"/>
      <c r="H715" s="393"/>
      <c r="I715" s="393"/>
      <c r="J715" s="393"/>
      <c r="K715" s="393"/>
      <c r="L715" s="393"/>
      <c r="M715" s="393"/>
      <c r="N715" s="393"/>
      <c r="O715" s="393"/>
      <c r="P715" s="393"/>
      <c r="Q715" s="393"/>
      <c r="R715" s="393"/>
      <c r="S715" s="393"/>
      <c r="T715" s="393"/>
      <c r="U715" s="393"/>
      <c r="V715" s="393"/>
      <c r="W715" s="393"/>
      <c r="X715" s="393"/>
      <c r="Y715" s="393"/>
      <c r="Z715" s="393"/>
    </row>
    <row r="716">
      <c r="A716" s="393"/>
      <c r="B716" s="393"/>
      <c r="C716" s="393"/>
      <c r="D716" s="393"/>
      <c r="E716" s="393"/>
      <c r="F716" s="393"/>
      <c r="G716" s="393"/>
      <c r="H716" s="393"/>
      <c r="I716" s="393"/>
      <c r="J716" s="393"/>
      <c r="K716" s="393"/>
      <c r="L716" s="393"/>
      <c r="M716" s="393"/>
      <c r="N716" s="393"/>
      <c r="O716" s="393"/>
      <c r="P716" s="393"/>
      <c r="Q716" s="393"/>
      <c r="R716" s="393"/>
      <c r="S716" s="393"/>
      <c r="T716" s="393"/>
      <c r="U716" s="393"/>
      <c r="V716" s="393"/>
      <c r="W716" s="393"/>
      <c r="X716" s="393"/>
      <c r="Y716" s="393"/>
      <c r="Z716" s="393"/>
    </row>
    <row r="717">
      <c r="A717" s="393"/>
      <c r="B717" s="393"/>
      <c r="C717" s="393"/>
      <c r="D717" s="393"/>
      <c r="E717" s="393"/>
      <c r="F717" s="393"/>
      <c r="G717" s="393"/>
      <c r="H717" s="393"/>
      <c r="I717" s="393"/>
      <c r="J717" s="393"/>
      <c r="K717" s="393"/>
      <c r="L717" s="393"/>
      <c r="M717" s="393"/>
      <c r="N717" s="393"/>
      <c r="O717" s="393"/>
      <c r="P717" s="393"/>
      <c r="Q717" s="393"/>
      <c r="R717" s="393"/>
      <c r="S717" s="393"/>
      <c r="T717" s="393"/>
      <c r="U717" s="393"/>
      <c r="V717" s="393"/>
      <c r="W717" s="393"/>
      <c r="X717" s="393"/>
      <c r="Y717" s="393"/>
      <c r="Z717" s="393"/>
    </row>
    <row r="718">
      <c r="A718" s="393"/>
      <c r="B718" s="393"/>
      <c r="C718" s="393"/>
      <c r="D718" s="393"/>
      <c r="E718" s="393"/>
      <c r="F718" s="393"/>
      <c r="G718" s="393"/>
      <c r="H718" s="393"/>
      <c r="I718" s="393"/>
      <c r="J718" s="393"/>
      <c r="K718" s="393"/>
      <c r="L718" s="393"/>
      <c r="M718" s="393"/>
      <c r="N718" s="393"/>
      <c r="O718" s="393"/>
      <c r="P718" s="393"/>
      <c r="Q718" s="393"/>
      <c r="R718" s="393"/>
      <c r="S718" s="393"/>
      <c r="T718" s="393"/>
      <c r="U718" s="393"/>
      <c r="V718" s="393"/>
      <c r="W718" s="393"/>
      <c r="X718" s="393"/>
      <c r="Y718" s="393"/>
      <c r="Z718" s="393"/>
    </row>
    <row r="719">
      <c r="A719" s="393"/>
      <c r="B719" s="393"/>
      <c r="C719" s="393"/>
      <c r="D719" s="393"/>
      <c r="E719" s="393"/>
      <c r="F719" s="393"/>
      <c r="G719" s="393"/>
      <c r="H719" s="393"/>
      <c r="I719" s="393"/>
      <c r="J719" s="393"/>
      <c r="K719" s="393"/>
      <c r="L719" s="393"/>
      <c r="M719" s="393"/>
      <c r="N719" s="393"/>
      <c r="O719" s="393"/>
      <c r="P719" s="393"/>
      <c r="Q719" s="393"/>
      <c r="R719" s="393"/>
      <c r="S719" s="393"/>
      <c r="T719" s="393"/>
      <c r="U719" s="393"/>
      <c r="V719" s="393"/>
      <c r="W719" s="393"/>
      <c r="X719" s="393"/>
      <c r="Y719" s="393"/>
      <c r="Z719" s="393"/>
    </row>
    <row r="720">
      <c r="A720" s="393"/>
      <c r="B720" s="393"/>
      <c r="C720" s="393"/>
      <c r="D720" s="393"/>
      <c r="E720" s="393"/>
      <c r="F720" s="393"/>
      <c r="G720" s="393"/>
      <c r="H720" s="393"/>
      <c r="I720" s="393"/>
      <c r="J720" s="393"/>
      <c r="K720" s="393"/>
      <c r="L720" s="393"/>
      <c r="M720" s="393"/>
      <c r="N720" s="393"/>
      <c r="O720" s="393"/>
      <c r="P720" s="393"/>
      <c r="Q720" s="393"/>
      <c r="R720" s="393"/>
      <c r="S720" s="393"/>
      <c r="T720" s="393"/>
      <c r="U720" s="393"/>
      <c r="V720" s="393"/>
      <c r="W720" s="393"/>
      <c r="X720" s="393"/>
      <c r="Y720" s="393"/>
      <c r="Z720" s="393"/>
    </row>
    <row r="721">
      <c r="A721" s="393"/>
      <c r="B721" s="393"/>
      <c r="C721" s="393"/>
      <c r="D721" s="393"/>
      <c r="E721" s="393"/>
      <c r="F721" s="393"/>
      <c r="G721" s="393"/>
      <c r="H721" s="393"/>
      <c r="I721" s="393"/>
      <c r="J721" s="393"/>
      <c r="K721" s="393"/>
      <c r="L721" s="393"/>
      <c r="M721" s="393"/>
      <c r="N721" s="393"/>
      <c r="O721" s="393"/>
      <c r="P721" s="393"/>
      <c r="Q721" s="393"/>
      <c r="R721" s="393"/>
      <c r="S721" s="393"/>
      <c r="T721" s="393"/>
      <c r="U721" s="393"/>
      <c r="V721" s="393"/>
      <c r="W721" s="393"/>
      <c r="X721" s="393"/>
      <c r="Y721" s="393"/>
      <c r="Z721" s="393"/>
    </row>
    <row r="722">
      <c r="A722" s="393"/>
      <c r="B722" s="393"/>
      <c r="C722" s="393"/>
      <c r="D722" s="393"/>
      <c r="E722" s="393"/>
      <c r="F722" s="393"/>
      <c r="G722" s="393"/>
      <c r="H722" s="393"/>
      <c r="I722" s="393"/>
      <c r="J722" s="393"/>
      <c r="K722" s="393"/>
      <c r="L722" s="393"/>
      <c r="M722" s="393"/>
      <c r="N722" s="393"/>
      <c r="O722" s="393"/>
      <c r="P722" s="393"/>
      <c r="Q722" s="393"/>
      <c r="R722" s="393"/>
      <c r="S722" s="393"/>
      <c r="T722" s="393"/>
      <c r="U722" s="393"/>
      <c r="V722" s="393"/>
      <c r="W722" s="393"/>
      <c r="X722" s="393"/>
      <c r="Y722" s="393"/>
      <c r="Z722" s="393"/>
    </row>
    <row r="723">
      <c r="A723" s="393"/>
      <c r="B723" s="393"/>
      <c r="C723" s="393"/>
      <c r="D723" s="393"/>
      <c r="E723" s="393"/>
      <c r="F723" s="393"/>
      <c r="G723" s="393"/>
      <c r="H723" s="393"/>
      <c r="I723" s="393"/>
      <c r="J723" s="393"/>
      <c r="K723" s="393"/>
      <c r="L723" s="393"/>
      <c r="M723" s="393"/>
      <c r="N723" s="393"/>
      <c r="O723" s="393"/>
      <c r="P723" s="393"/>
      <c r="Q723" s="393"/>
      <c r="R723" s="393"/>
      <c r="S723" s="393"/>
      <c r="T723" s="393"/>
      <c r="U723" s="393"/>
      <c r="V723" s="393"/>
      <c r="W723" s="393"/>
      <c r="X723" s="393"/>
      <c r="Y723" s="393"/>
      <c r="Z723" s="393"/>
    </row>
    <row r="724">
      <c r="A724" s="393"/>
      <c r="B724" s="393"/>
      <c r="C724" s="393"/>
      <c r="D724" s="393"/>
      <c r="E724" s="393"/>
      <c r="F724" s="393"/>
      <c r="G724" s="393"/>
      <c r="H724" s="393"/>
      <c r="I724" s="393"/>
      <c r="J724" s="393"/>
      <c r="K724" s="393"/>
      <c r="L724" s="393"/>
      <c r="M724" s="393"/>
      <c r="N724" s="393"/>
      <c r="O724" s="393"/>
      <c r="P724" s="393"/>
      <c r="Q724" s="393"/>
      <c r="R724" s="393"/>
      <c r="S724" s="393"/>
      <c r="T724" s="393"/>
      <c r="U724" s="393"/>
      <c r="V724" s="393"/>
      <c r="W724" s="393"/>
      <c r="X724" s="393"/>
      <c r="Y724" s="393"/>
      <c r="Z724" s="393"/>
    </row>
    <row r="725">
      <c r="A725" s="393"/>
      <c r="B725" s="393"/>
      <c r="C725" s="393"/>
      <c r="D725" s="393"/>
      <c r="E725" s="393"/>
      <c r="F725" s="393"/>
      <c r="G725" s="393"/>
      <c r="H725" s="393"/>
      <c r="I725" s="393"/>
      <c r="J725" s="393"/>
      <c r="K725" s="393"/>
      <c r="L725" s="393"/>
      <c r="M725" s="393"/>
      <c r="N725" s="393"/>
      <c r="O725" s="393"/>
      <c r="P725" s="393"/>
      <c r="Q725" s="393"/>
      <c r="R725" s="393"/>
      <c r="S725" s="393"/>
      <c r="T725" s="393"/>
      <c r="U725" s="393"/>
      <c r="V725" s="393"/>
      <c r="W725" s="393"/>
      <c r="X725" s="393"/>
      <c r="Y725" s="393"/>
      <c r="Z725" s="393"/>
    </row>
    <row r="726">
      <c r="A726" s="393"/>
      <c r="B726" s="393"/>
      <c r="C726" s="393"/>
      <c r="D726" s="393"/>
      <c r="E726" s="393"/>
      <c r="F726" s="393"/>
      <c r="G726" s="393"/>
      <c r="H726" s="393"/>
      <c r="I726" s="393"/>
      <c r="J726" s="393"/>
      <c r="K726" s="393"/>
      <c r="L726" s="393"/>
      <c r="M726" s="393"/>
      <c r="N726" s="393"/>
      <c r="O726" s="393"/>
      <c r="P726" s="393"/>
      <c r="Q726" s="393"/>
      <c r="R726" s="393"/>
      <c r="S726" s="393"/>
      <c r="T726" s="393"/>
      <c r="U726" s="393"/>
      <c r="V726" s="393"/>
      <c r="W726" s="393"/>
      <c r="X726" s="393"/>
      <c r="Y726" s="393"/>
      <c r="Z726" s="393"/>
    </row>
    <row r="727">
      <c r="A727" s="393"/>
      <c r="B727" s="393"/>
      <c r="C727" s="393"/>
      <c r="D727" s="393"/>
      <c r="E727" s="393"/>
      <c r="F727" s="393"/>
      <c r="G727" s="393"/>
      <c r="H727" s="393"/>
      <c r="I727" s="393"/>
      <c r="J727" s="393"/>
      <c r="K727" s="393"/>
      <c r="L727" s="393"/>
      <c r="M727" s="393"/>
      <c r="N727" s="393"/>
      <c r="O727" s="393"/>
      <c r="P727" s="393"/>
      <c r="Q727" s="393"/>
      <c r="R727" s="393"/>
      <c r="S727" s="393"/>
      <c r="T727" s="393"/>
      <c r="U727" s="393"/>
      <c r="V727" s="393"/>
      <c r="W727" s="393"/>
      <c r="X727" s="393"/>
      <c r="Y727" s="393"/>
      <c r="Z727" s="393"/>
    </row>
    <row r="728">
      <c r="A728" s="393"/>
      <c r="B728" s="393"/>
      <c r="C728" s="393"/>
      <c r="D728" s="393"/>
      <c r="E728" s="393"/>
      <c r="F728" s="393"/>
      <c r="G728" s="393"/>
      <c r="H728" s="393"/>
      <c r="I728" s="393"/>
      <c r="J728" s="393"/>
      <c r="K728" s="393"/>
      <c r="L728" s="393"/>
      <c r="M728" s="393"/>
      <c r="N728" s="393"/>
      <c r="O728" s="393"/>
      <c r="P728" s="393"/>
      <c r="Q728" s="393"/>
      <c r="R728" s="393"/>
      <c r="S728" s="393"/>
      <c r="T728" s="393"/>
      <c r="U728" s="393"/>
      <c r="V728" s="393"/>
      <c r="W728" s="393"/>
      <c r="X728" s="393"/>
      <c r="Y728" s="393"/>
      <c r="Z728" s="393"/>
    </row>
    <row r="729">
      <c r="A729" s="393"/>
      <c r="B729" s="393"/>
      <c r="C729" s="393"/>
      <c r="D729" s="393"/>
      <c r="E729" s="393"/>
      <c r="F729" s="393"/>
      <c r="G729" s="393"/>
      <c r="H729" s="393"/>
      <c r="I729" s="393"/>
      <c r="J729" s="393"/>
      <c r="K729" s="393"/>
      <c r="L729" s="393"/>
      <c r="M729" s="393"/>
      <c r="N729" s="393"/>
      <c r="O729" s="393"/>
      <c r="P729" s="393"/>
      <c r="Q729" s="393"/>
      <c r="R729" s="393"/>
      <c r="S729" s="393"/>
      <c r="T729" s="393"/>
      <c r="U729" s="393"/>
      <c r="V729" s="393"/>
      <c r="W729" s="393"/>
      <c r="X729" s="393"/>
      <c r="Y729" s="393"/>
      <c r="Z729" s="393"/>
    </row>
    <row r="730">
      <c r="A730" s="393"/>
      <c r="B730" s="393"/>
      <c r="C730" s="393"/>
      <c r="D730" s="393"/>
      <c r="E730" s="393"/>
      <c r="F730" s="393"/>
      <c r="G730" s="393"/>
      <c r="H730" s="393"/>
      <c r="I730" s="393"/>
      <c r="J730" s="393"/>
      <c r="K730" s="393"/>
      <c r="L730" s="393"/>
      <c r="M730" s="393"/>
      <c r="N730" s="393"/>
      <c r="O730" s="393"/>
      <c r="P730" s="393"/>
      <c r="Q730" s="393"/>
      <c r="R730" s="393"/>
      <c r="S730" s="393"/>
      <c r="T730" s="393"/>
      <c r="U730" s="393"/>
      <c r="V730" s="393"/>
      <c r="W730" s="393"/>
      <c r="X730" s="393"/>
      <c r="Y730" s="393"/>
      <c r="Z730" s="393"/>
    </row>
    <row r="731">
      <c r="A731" s="393"/>
      <c r="B731" s="393"/>
      <c r="C731" s="393"/>
      <c r="D731" s="393"/>
      <c r="E731" s="393"/>
      <c r="F731" s="393"/>
      <c r="G731" s="393"/>
      <c r="H731" s="393"/>
      <c r="I731" s="393"/>
      <c r="J731" s="393"/>
      <c r="K731" s="393"/>
      <c r="L731" s="393"/>
      <c r="M731" s="393"/>
      <c r="N731" s="393"/>
      <c r="O731" s="393"/>
      <c r="P731" s="393"/>
      <c r="Q731" s="393"/>
      <c r="R731" s="393"/>
      <c r="S731" s="393"/>
      <c r="T731" s="393"/>
      <c r="U731" s="393"/>
      <c r="V731" s="393"/>
      <c r="W731" s="393"/>
      <c r="X731" s="393"/>
      <c r="Y731" s="393"/>
      <c r="Z731" s="393"/>
    </row>
    <row r="732">
      <c r="A732" s="393"/>
      <c r="B732" s="393"/>
      <c r="C732" s="393"/>
      <c r="D732" s="393"/>
      <c r="E732" s="393"/>
      <c r="F732" s="393"/>
      <c r="G732" s="393"/>
      <c r="H732" s="393"/>
      <c r="I732" s="393"/>
      <c r="J732" s="393"/>
      <c r="K732" s="393"/>
      <c r="L732" s="393"/>
      <c r="M732" s="393"/>
      <c r="N732" s="393"/>
      <c r="O732" s="393"/>
      <c r="P732" s="393"/>
      <c r="Q732" s="393"/>
      <c r="R732" s="393"/>
      <c r="S732" s="393"/>
      <c r="T732" s="393"/>
      <c r="U732" s="393"/>
      <c r="V732" s="393"/>
      <c r="W732" s="393"/>
      <c r="X732" s="393"/>
      <c r="Y732" s="393"/>
      <c r="Z732" s="393"/>
    </row>
    <row r="733">
      <c r="A733" s="393"/>
      <c r="B733" s="393"/>
      <c r="C733" s="393"/>
      <c r="D733" s="393"/>
      <c r="E733" s="393"/>
      <c r="F733" s="393"/>
      <c r="G733" s="393"/>
      <c r="H733" s="393"/>
      <c r="I733" s="393"/>
      <c r="J733" s="393"/>
      <c r="K733" s="393"/>
      <c r="L733" s="393"/>
      <c r="M733" s="393"/>
      <c r="N733" s="393"/>
      <c r="O733" s="393"/>
      <c r="P733" s="393"/>
      <c r="Q733" s="393"/>
      <c r="R733" s="393"/>
      <c r="S733" s="393"/>
      <c r="T733" s="393"/>
      <c r="U733" s="393"/>
      <c r="V733" s="393"/>
      <c r="W733" s="393"/>
      <c r="X733" s="393"/>
      <c r="Y733" s="393"/>
      <c r="Z733" s="393"/>
    </row>
    <row r="734">
      <c r="A734" s="393"/>
      <c r="B734" s="393"/>
      <c r="C734" s="393"/>
      <c r="D734" s="393"/>
      <c r="E734" s="393"/>
      <c r="F734" s="393"/>
      <c r="G734" s="393"/>
      <c r="H734" s="393"/>
      <c r="I734" s="393"/>
      <c r="J734" s="393"/>
      <c r="K734" s="393"/>
      <c r="L734" s="393"/>
      <c r="M734" s="393"/>
      <c r="N734" s="393"/>
      <c r="O734" s="393"/>
      <c r="P734" s="393"/>
      <c r="Q734" s="393"/>
      <c r="R734" s="393"/>
      <c r="S734" s="393"/>
      <c r="T734" s="393"/>
      <c r="U734" s="393"/>
      <c r="V734" s="393"/>
      <c r="W734" s="393"/>
      <c r="X734" s="393"/>
      <c r="Y734" s="393"/>
      <c r="Z734" s="393"/>
    </row>
    <row r="735">
      <c r="A735" s="393"/>
      <c r="B735" s="393"/>
      <c r="C735" s="393"/>
      <c r="D735" s="393"/>
      <c r="E735" s="393"/>
      <c r="F735" s="393"/>
      <c r="G735" s="393"/>
      <c r="H735" s="393"/>
      <c r="I735" s="393"/>
      <c r="J735" s="393"/>
      <c r="K735" s="393"/>
      <c r="L735" s="393"/>
      <c r="M735" s="393"/>
      <c r="N735" s="393"/>
      <c r="O735" s="393"/>
      <c r="P735" s="393"/>
      <c r="Q735" s="393"/>
      <c r="R735" s="393"/>
      <c r="S735" s="393"/>
      <c r="T735" s="393"/>
      <c r="U735" s="393"/>
      <c r="V735" s="393"/>
      <c r="W735" s="393"/>
      <c r="X735" s="393"/>
      <c r="Y735" s="393"/>
      <c r="Z735" s="393"/>
    </row>
    <row r="736">
      <c r="A736" s="393"/>
      <c r="B736" s="393"/>
      <c r="C736" s="393"/>
      <c r="D736" s="393"/>
      <c r="E736" s="393"/>
      <c r="F736" s="393"/>
      <c r="G736" s="393"/>
      <c r="H736" s="393"/>
      <c r="I736" s="393"/>
      <c r="J736" s="393"/>
      <c r="K736" s="393"/>
      <c r="L736" s="393"/>
      <c r="M736" s="393"/>
      <c r="N736" s="393"/>
      <c r="O736" s="393"/>
      <c r="P736" s="393"/>
      <c r="Q736" s="393"/>
      <c r="R736" s="393"/>
      <c r="S736" s="393"/>
      <c r="T736" s="393"/>
      <c r="U736" s="393"/>
      <c r="V736" s="393"/>
      <c r="W736" s="393"/>
      <c r="X736" s="393"/>
      <c r="Y736" s="393"/>
      <c r="Z736" s="393"/>
    </row>
    <row r="737">
      <c r="A737" s="393"/>
      <c r="B737" s="393"/>
      <c r="C737" s="393"/>
      <c r="D737" s="393"/>
      <c r="E737" s="393"/>
      <c r="F737" s="393"/>
      <c r="G737" s="393"/>
      <c r="H737" s="393"/>
      <c r="I737" s="393"/>
      <c r="J737" s="393"/>
      <c r="K737" s="393"/>
      <c r="L737" s="393"/>
      <c r="M737" s="393"/>
      <c r="N737" s="393"/>
      <c r="O737" s="393"/>
      <c r="P737" s="393"/>
      <c r="Q737" s="393"/>
      <c r="R737" s="393"/>
      <c r="S737" s="393"/>
      <c r="T737" s="393"/>
      <c r="U737" s="393"/>
      <c r="V737" s="393"/>
      <c r="W737" s="393"/>
      <c r="X737" s="393"/>
      <c r="Y737" s="393"/>
      <c r="Z737" s="393"/>
    </row>
    <row r="738">
      <c r="A738" s="393"/>
      <c r="B738" s="393"/>
      <c r="C738" s="393"/>
      <c r="D738" s="393"/>
      <c r="E738" s="393"/>
      <c r="F738" s="393"/>
      <c r="G738" s="393"/>
      <c r="H738" s="393"/>
      <c r="I738" s="393"/>
      <c r="J738" s="393"/>
      <c r="K738" s="393"/>
      <c r="L738" s="393"/>
      <c r="M738" s="393"/>
      <c r="N738" s="393"/>
      <c r="O738" s="393"/>
      <c r="P738" s="393"/>
      <c r="Q738" s="393"/>
      <c r="R738" s="393"/>
      <c r="S738" s="393"/>
      <c r="T738" s="393"/>
      <c r="U738" s="393"/>
      <c r="V738" s="393"/>
      <c r="W738" s="393"/>
      <c r="X738" s="393"/>
      <c r="Y738" s="393"/>
      <c r="Z738" s="393"/>
    </row>
    <row r="739">
      <c r="A739" s="393"/>
      <c r="B739" s="393"/>
      <c r="C739" s="393"/>
      <c r="D739" s="393"/>
      <c r="E739" s="393"/>
      <c r="F739" s="393"/>
      <c r="G739" s="393"/>
      <c r="H739" s="393"/>
      <c r="I739" s="393"/>
      <c r="J739" s="393"/>
      <c r="K739" s="393"/>
      <c r="L739" s="393"/>
      <c r="M739" s="393"/>
      <c r="N739" s="393"/>
      <c r="O739" s="393"/>
      <c r="P739" s="393"/>
      <c r="Q739" s="393"/>
      <c r="R739" s="393"/>
      <c r="S739" s="393"/>
      <c r="T739" s="393"/>
      <c r="U739" s="393"/>
      <c r="V739" s="393"/>
      <c r="W739" s="393"/>
      <c r="X739" s="393"/>
      <c r="Y739" s="393"/>
      <c r="Z739" s="393"/>
    </row>
    <row r="740">
      <c r="A740" s="393"/>
      <c r="B740" s="393"/>
      <c r="C740" s="393"/>
      <c r="D740" s="393"/>
      <c r="E740" s="393"/>
      <c r="F740" s="393"/>
      <c r="G740" s="393"/>
      <c r="H740" s="393"/>
      <c r="I740" s="393"/>
      <c r="J740" s="393"/>
      <c r="K740" s="393"/>
      <c r="L740" s="393"/>
      <c r="M740" s="393"/>
      <c r="N740" s="393"/>
      <c r="O740" s="393"/>
      <c r="P740" s="393"/>
      <c r="Q740" s="393"/>
      <c r="R740" s="393"/>
      <c r="S740" s="393"/>
      <c r="T740" s="393"/>
      <c r="U740" s="393"/>
      <c r="V740" s="393"/>
      <c r="W740" s="393"/>
      <c r="X740" s="393"/>
      <c r="Y740" s="393"/>
      <c r="Z740" s="393"/>
    </row>
    <row r="741">
      <c r="A741" s="393"/>
      <c r="B741" s="393"/>
      <c r="C741" s="393"/>
      <c r="D741" s="393"/>
      <c r="E741" s="393"/>
      <c r="F741" s="393"/>
      <c r="G741" s="393"/>
      <c r="H741" s="393"/>
      <c r="I741" s="393"/>
      <c r="J741" s="393"/>
      <c r="K741" s="393"/>
      <c r="L741" s="393"/>
      <c r="M741" s="393"/>
      <c r="N741" s="393"/>
      <c r="O741" s="393"/>
      <c r="P741" s="393"/>
      <c r="Q741" s="393"/>
      <c r="R741" s="393"/>
      <c r="S741" s="393"/>
      <c r="T741" s="393"/>
      <c r="U741" s="393"/>
      <c r="V741" s="393"/>
      <c r="W741" s="393"/>
      <c r="X741" s="393"/>
      <c r="Y741" s="393"/>
      <c r="Z741" s="393"/>
    </row>
    <row r="742">
      <c r="A742" s="393"/>
      <c r="B742" s="393"/>
      <c r="C742" s="393"/>
      <c r="D742" s="393"/>
      <c r="E742" s="393"/>
      <c r="F742" s="393"/>
      <c r="G742" s="393"/>
      <c r="H742" s="393"/>
      <c r="I742" s="393"/>
      <c r="J742" s="393"/>
      <c r="K742" s="393"/>
      <c r="L742" s="393"/>
      <c r="M742" s="393"/>
      <c r="N742" s="393"/>
      <c r="O742" s="393"/>
      <c r="P742" s="393"/>
      <c r="Q742" s="393"/>
      <c r="R742" s="393"/>
      <c r="S742" s="393"/>
      <c r="T742" s="393"/>
      <c r="U742" s="393"/>
      <c r="V742" s="393"/>
      <c r="W742" s="393"/>
      <c r="X742" s="393"/>
      <c r="Y742" s="393"/>
      <c r="Z742" s="393"/>
    </row>
    <row r="743">
      <c r="A743" s="393"/>
      <c r="B743" s="393"/>
      <c r="C743" s="393"/>
      <c r="D743" s="393"/>
      <c r="E743" s="393"/>
      <c r="F743" s="393"/>
      <c r="G743" s="393"/>
      <c r="H743" s="393"/>
      <c r="I743" s="393"/>
      <c r="J743" s="393"/>
      <c r="K743" s="393"/>
      <c r="L743" s="393"/>
      <c r="M743" s="393"/>
      <c r="N743" s="393"/>
      <c r="O743" s="393"/>
      <c r="P743" s="393"/>
      <c r="Q743" s="393"/>
      <c r="R743" s="393"/>
      <c r="S743" s="393"/>
      <c r="T743" s="393"/>
      <c r="U743" s="393"/>
      <c r="V743" s="393"/>
      <c r="W743" s="393"/>
      <c r="X743" s="393"/>
      <c r="Y743" s="393"/>
      <c r="Z743" s="393"/>
    </row>
    <row r="744">
      <c r="A744" s="393"/>
      <c r="B744" s="393"/>
      <c r="C744" s="393"/>
      <c r="D744" s="393"/>
      <c r="E744" s="393"/>
      <c r="F744" s="393"/>
      <c r="G744" s="393"/>
      <c r="H744" s="393"/>
      <c r="I744" s="393"/>
      <c r="J744" s="393"/>
      <c r="K744" s="393"/>
      <c r="L744" s="393"/>
      <c r="M744" s="393"/>
      <c r="N744" s="393"/>
      <c r="O744" s="393"/>
      <c r="P744" s="393"/>
      <c r="Q744" s="393"/>
      <c r="R744" s="393"/>
      <c r="S744" s="393"/>
      <c r="T744" s="393"/>
      <c r="U744" s="393"/>
      <c r="V744" s="393"/>
      <c r="W744" s="393"/>
      <c r="X744" s="393"/>
      <c r="Y744" s="393"/>
      <c r="Z744" s="393"/>
    </row>
    <row r="745">
      <c r="A745" s="393"/>
      <c r="B745" s="393"/>
      <c r="C745" s="393"/>
      <c r="D745" s="393"/>
      <c r="E745" s="393"/>
      <c r="F745" s="393"/>
      <c r="G745" s="393"/>
      <c r="H745" s="393"/>
      <c r="I745" s="393"/>
      <c r="J745" s="393"/>
      <c r="K745" s="393"/>
      <c r="L745" s="393"/>
      <c r="M745" s="393"/>
      <c r="N745" s="393"/>
      <c r="O745" s="393"/>
      <c r="P745" s="393"/>
      <c r="Q745" s="393"/>
      <c r="R745" s="393"/>
      <c r="S745" s="393"/>
      <c r="T745" s="393"/>
      <c r="U745" s="393"/>
      <c r="V745" s="393"/>
      <c r="W745" s="393"/>
      <c r="X745" s="393"/>
      <c r="Y745" s="393"/>
      <c r="Z745" s="393"/>
    </row>
    <row r="746">
      <c r="A746" s="393"/>
      <c r="B746" s="393"/>
      <c r="C746" s="393"/>
      <c r="D746" s="393"/>
      <c r="E746" s="393"/>
      <c r="F746" s="393"/>
      <c r="G746" s="393"/>
      <c r="H746" s="393"/>
      <c r="I746" s="393"/>
      <c r="J746" s="393"/>
      <c r="K746" s="393"/>
      <c r="L746" s="393"/>
      <c r="M746" s="393"/>
      <c r="N746" s="393"/>
      <c r="O746" s="393"/>
      <c r="P746" s="393"/>
      <c r="Q746" s="393"/>
      <c r="R746" s="393"/>
      <c r="S746" s="393"/>
      <c r="T746" s="393"/>
      <c r="U746" s="393"/>
      <c r="V746" s="393"/>
      <c r="W746" s="393"/>
      <c r="X746" s="393"/>
      <c r="Y746" s="393"/>
      <c r="Z746" s="393"/>
    </row>
    <row r="747">
      <c r="A747" s="393"/>
      <c r="B747" s="393"/>
      <c r="C747" s="393"/>
      <c r="D747" s="393"/>
      <c r="E747" s="393"/>
      <c r="F747" s="393"/>
      <c r="G747" s="393"/>
      <c r="H747" s="393"/>
      <c r="I747" s="393"/>
      <c r="J747" s="393"/>
      <c r="K747" s="393"/>
      <c r="L747" s="393"/>
      <c r="M747" s="393"/>
      <c r="N747" s="393"/>
      <c r="O747" s="393"/>
      <c r="P747" s="393"/>
      <c r="Q747" s="393"/>
      <c r="R747" s="393"/>
      <c r="S747" s="393"/>
      <c r="T747" s="393"/>
      <c r="U747" s="393"/>
      <c r="V747" s="393"/>
      <c r="W747" s="393"/>
      <c r="X747" s="393"/>
      <c r="Y747" s="393"/>
      <c r="Z747" s="393"/>
    </row>
    <row r="748">
      <c r="A748" s="393"/>
      <c r="B748" s="393"/>
      <c r="C748" s="393"/>
      <c r="D748" s="393"/>
      <c r="E748" s="393"/>
      <c r="F748" s="393"/>
      <c r="G748" s="393"/>
      <c r="H748" s="393"/>
      <c r="I748" s="393"/>
      <c r="J748" s="393"/>
      <c r="K748" s="393"/>
      <c r="L748" s="393"/>
      <c r="M748" s="393"/>
      <c r="N748" s="393"/>
      <c r="O748" s="393"/>
      <c r="P748" s="393"/>
      <c r="Q748" s="393"/>
      <c r="R748" s="393"/>
      <c r="S748" s="393"/>
      <c r="T748" s="393"/>
      <c r="U748" s="393"/>
      <c r="V748" s="393"/>
      <c r="W748" s="393"/>
      <c r="X748" s="393"/>
      <c r="Y748" s="393"/>
      <c r="Z748" s="393"/>
    </row>
    <row r="749">
      <c r="A749" s="393"/>
      <c r="B749" s="393"/>
      <c r="C749" s="393"/>
      <c r="D749" s="393"/>
      <c r="E749" s="393"/>
      <c r="F749" s="393"/>
      <c r="G749" s="393"/>
      <c r="H749" s="393"/>
      <c r="I749" s="393"/>
      <c r="J749" s="393"/>
      <c r="K749" s="393"/>
      <c r="L749" s="393"/>
      <c r="M749" s="393"/>
      <c r="N749" s="393"/>
      <c r="O749" s="393"/>
      <c r="P749" s="393"/>
      <c r="Q749" s="393"/>
      <c r="R749" s="393"/>
      <c r="S749" s="393"/>
      <c r="T749" s="393"/>
      <c r="U749" s="393"/>
      <c r="V749" s="393"/>
      <c r="W749" s="393"/>
      <c r="X749" s="393"/>
      <c r="Y749" s="393"/>
      <c r="Z749" s="393"/>
    </row>
    <row r="750">
      <c r="A750" s="393"/>
      <c r="B750" s="393"/>
      <c r="C750" s="393"/>
      <c r="D750" s="393"/>
      <c r="E750" s="393"/>
      <c r="F750" s="393"/>
      <c r="G750" s="393"/>
      <c r="H750" s="393"/>
      <c r="I750" s="393"/>
      <c r="J750" s="393"/>
      <c r="K750" s="393"/>
      <c r="L750" s="393"/>
      <c r="M750" s="393"/>
      <c r="N750" s="393"/>
      <c r="O750" s="393"/>
      <c r="P750" s="393"/>
      <c r="Q750" s="393"/>
      <c r="R750" s="393"/>
      <c r="S750" s="393"/>
      <c r="T750" s="393"/>
      <c r="U750" s="393"/>
      <c r="V750" s="393"/>
      <c r="W750" s="393"/>
      <c r="X750" s="393"/>
      <c r="Y750" s="393"/>
      <c r="Z750" s="393"/>
    </row>
    <row r="751">
      <c r="A751" s="393"/>
      <c r="B751" s="393"/>
      <c r="C751" s="393"/>
      <c r="D751" s="393"/>
      <c r="E751" s="393"/>
      <c r="F751" s="393"/>
      <c r="G751" s="393"/>
      <c r="H751" s="393"/>
      <c r="I751" s="393"/>
      <c r="J751" s="393"/>
      <c r="K751" s="393"/>
      <c r="L751" s="393"/>
      <c r="M751" s="393"/>
      <c r="N751" s="393"/>
      <c r="O751" s="393"/>
      <c r="P751" s="393"/>
      <c r="Q751" s="393"/>
      <c r="R751" s="393"/>
      <c r="S751" s="393"/>
      <c r="T751" s="393"/>
      <c r="U751" s="393"/>
      <c r="V751" s="393"/>
      <c r="W751" s="393"/>
      <c r="X751" s="393"/>
      <c r="Y751" s="393"/>
      <c r="Z751" s="393"/>
    </row>
    <row r="752">
      <c r="A752" s="393"/>
      <c r="B752" s="393"/>
      <c r="C752" s="393"/>
      <c r="D752" s="393"/>
      <c r="E752" s="393"/>
      <c r="F752" s="393"/>
      <c r="G752" s="393"/>
      <c r="H752" s="393"/>
      <c r="I752" s="393"/>
      <c r="J752" s="393"/>
      <c r="K752" s="393"/>
      <c r="L752" s="393"/>
      <c r="M752" s="393"/>
      <c r="N752" s="393"/>
      <c r="O752" s="393"/>
      <c r="P752" s="393"/>
      <c r="Q752" s="393"/>
      <c r="R752" s="393"/>
      <c r="S752" s="393"/>
      <c r="T752" s="393"/>
      <c r="U752" s="393"/>
      <c r="V752" s="393"/>
      <c r="W752" s="393"/>
      <c r="X752" s="393"/>
      <c r="Y752" s="393"/>
      <c r="Z752" s="393"/>
    </row>
    <row r="753">
      <c r="A753" s="393"/>
      <c r="B753" s="393"/>
      <c r="C753" s="393"/>
      <c r="D753" s="393"/>
      <c r="E753" s="393"/>
      <c r="F753" s="393"/>
      <c r="G753" s="393"/>
      <c r="H753" s="393"/>
      <c r="I753" s="393"/>
      <c r="J753" s="393"/>
      <c r="K753" s="393"/>
      <c r="L753" s="393"/>
      <c r="M753" s="393"/>
      <c r="N753" s="393"/>
      <c r="O753" s="393"/>
      <c r="P753" s="393"/>
      <c r="Q753" s="393"/>
      <c r="R753" s="393"/>
      <c r="S753" s="393"/>
      <c r="T753" s="393"/>
      <c r="U753" s="393"/>
      <c r="V753" s="393"/>
      <c r="W753" s="393"/>
      <c r="X753" s="393"/>
      <c r="Y753" s="393"/>
      <c r="Z753" s="393"/>
    </row>
    <row r="754">
      <c r="A754" s="393"/>
      <c r="B754" s="393"/>
      <c r="C754" s="393"/>
      <c r="D754" s="393"/>
      <c r="E754" s="393"/>
      <c r="F754" s="393"/>
      <c r="G754" s="393"/>
      <c r="H754" s="393"/>
      <c r="I754" s="393"/>
      <c r="J754" s="393"/>
      <c r="K754" s="393"/>
      <c r="L754" s="393"/>
      <c r="M754" s="393"/>
      <c r="N754" s="393"/>
      <c r="O754" s="393"/>
      <c r="P754" s="393"/>
      <c r="Q754" s="393"/>
      <c r="R754" s="393"/>
      <c r="S754" s="393"/>
      <c r="T754" s="393"/>
      <c r="U754" s="393"/>
      <c r="V754" s="393"/>
      <c r="W754" s="393"/>
      <c r="X754" s="393"/>
      <c r="Y754" s="393"/>
      <c r="Z754" s="393"/>
    </row>
    <row r="755">
      <c r="A755" s="393"/>
      <c r="B755" s="393"/>
      <c r="C755" s="393"/>
      <c r="D755" s="393"/>
      <c r="E755" s="393"/>
      <c r="F755" s="393"/>
      <c r="G755" s="393"/>
      <c r="H755" s="393"/>
      <c r="I755" s="393"/>
      <c r="J755" s="393"/>
      <c r="K755" s="393"/>
      <c r="L755" s="393"/>
      <c r="M755" s="393"/>
      <c r="N755" s="393"/>
      <c r="O755" s="393"/>
      <c r="P755" s="393"/>
      <c r="Q755" s="393"/>
      <c r="R755" s="393"/>
      <c r="S755" s="393"/>
      <c r="T755" s="393"/>
      <c r="U755" s="393"/>
      <c r="V755" s="393"/>
      <c r="W755" s="393"/>
      <c r="X755" s="393"/>
      <c r="Y755" s="393"/>
      <c r="Z755" s="393"/>
    </row>
    <row r="756">
      <c r="A756" s="393"/>
      <c r="B756" s="393"/>
      <c r="C756" s="393"/>
      <c r="D756" s="393"/>
      <c r="E756" s="393"/>
      <c r="F756" s="393"/>
      <c r="G756" s="393"/>
      <c r="H756" s="393"/>
      <c r="I756" s="393"/>
      <c r="J756" s="393"/>
      <c r="K756" s="393"/>
      <c r="L756" s="393"/>
      <c r="M756" s="393"/>
      <c r="N756" s="393"/>
      <c r="O756" s="393"/>
      <c r="P756" s="393"/>
      <c r="Q756" s="393"/>
      <c r="R756" s="393"/>
      <c r="S756" s="393"/>
      <c r="T756" s="393"/>
      <c r="U756" s="393"/>
      <c r="V756" s="393"/>
      <c r="W756" s="393"/>
      <c r="X756" s="393"/>
      <c r="Y756" s="393"/>
      <c r="Z756" s="393"/>
    </row>
    <row r="757">
      <c r="A757" s="393"/>
      <c r="B757" s="393"/>
      <c r="C757" s="393"/>
      <c r="D757" s="393"/>
      <c r="E757" s="393"/>
      <c r="F757" s="393"/>
      <c r="G757" s="393"/>
      <c r="H757" s="393"/>
      <c r="I757" s="393"/>
      <c r="J757" s="393"/>
      <c r="K757" s="393"/>
      <c r="L757" s="393"/>
      <c r="M757" s="393"/>
      <c r="N757" s="393"/>
      <c r="O757" s="393"/>
      <c r="P757" s="393"/>
      <c r="Q757" s="393"/>
      <c r="R757" s="393"/>
      <c r="S757" s="393"/>
      <c r="T757" s="393"/>
      <c r="U757" s="393"/>
      <c r="V757" s="393"/>
      <c r="W757" s="393"/>
      <c r="X757" s="393"/>
      <c r="Y757" s="393"/>
      <c r="Z757" s="393"/>
    </row>
    <row r="758">
      <c r="A758" s="393"/>
      <c r="B758" s="393"/>
      <c r="C758" s="393"/>
      <c r="D758" s="393"/>
      <c r="E758" s="393"/>
      <c r="F758" s="393"/>
      <c r="G758" s="393"/>
      <c r="H758" s="393"/>
      <c r="I758" s="393"/>
      <c r="J758" s="393"/>
      <c r="K758" s="393"/>
      <c r="L758" s="393"/>
      <c r="M758" s="393"/>
      <c r="N758" s="393"/>
      <c r="O758" s="393"/>
      <c r="P758" s="393"/>
      <c r="Q758" s="393"/>
      <c r="R758" s="393"/>
      <c r="S758" s="393"/>
      <c r="T758" s="393"/>
      <c r="U758" s="393"/>
      <c r="V758" s="393"/>
      <c r="W758" s="393"/>
      <c r="X758" s="393"/>
      <c r="Y758" s="393"/>
      <c r="Z758" s="393"/>
    </row>
    <row r="759">
      <c r="A759" s="393"/>
      <c r="B759" s="393"/>
      <c r="C759" s="393"/>
      <c r="D759" s="393"/>
      <c r="E759" s="393"/>
      <c r="F759" s="393"/>
      <c r="G759" s="393"/>
      <c r="H759" s="393"/>
      <c r="I759" s="393"/>
      <c r="J759" s="393"/>
      <c r="K759" s="393"/>
      <c r="L759" s="393"/>
      <c r="M759" s="393"/>
      <c r="N759" s="393"/>
      <c r="O759" s="393"/>
      <c r="P759" s="393"/>
      <c r="Q759" s="393"/>
      <c r="R759" s="393"/>
      <c r="S759" s="393"/>
      <c r="T759" s="393"/>
      <c r="U759" s="393"/>
      <c r="V759" s="393"/>
      <c r="W759" s="393"/>
      <c r="X759" s="393"/>
      <c r="Y759" s="393"/>
      <c r="Z759" s="393"/>
    </row>
    <row r="760">
      <c r="A760" s="393"/>
      <c r="B760" s="393"/>
      <c r="C760" s="393"/>
      <c r="D760" s="393"/>
      <c r="E760" s="393"/>
      <c r="F760" s="393"/>
      <c r="G760" s="393"/>
      <c r="H760" s="393"/>
      <c r="I760" s="393"/>
      <c r="J760" s="393"/>
      <c r="K760" s="393"/>
      <c r="L760" s="393"/>
      <c r="M760" s="393"/>
      <c r="N760" s="393"/>
      <c r="O760" s="393"/>
      <c r="P760" s="393"/>
      <c r="Q760" s="393"/>
      <c r="R760" s="393"/>
      <c r="S760" s="393"/>
      <c r="T760" s="393"/>
      <c r="U760" s="393"/>
      <c r="V760" s="393"/>
      <c r="W760" s="393"/>
      <c r="X760" s="393"/>
      <c r="Y760" s="393"/>
      <c r="Z760" s="393"/>
    </row>
    <row r="761">
      <c r="A761" s="393"/>
      <c r="B761" s="393"/>
      <c r="C761" s="393"/>
      <c r="D761" s="393"/>
      <c r="E761" s="393"/>
      <c r="F761" s="393"/>
      <c r="G761" s="393"/>
      <c r="H761" s="393"/>
      <c r="I761" s="393"/>
      <c r="J761" s="393"/>
      <c r="K761" s="393"/>
      <c r="L761" s="393"/>
      <c r="M761" s="393"/>
      <c r="N761" s="393"/>
      <c r="O761" s="393"/>
      <c r="P761" s="393"/>
      <c r="Q761" s="393"/>
      <c r="R761" s="393"/>
      <c r="S761" s="393"/>
      <c r="T761" s="393"/>
      <c r="U761" s="393"/>
      <c r="V761" s="393"/>
      <c r="W761" s="393"/>
      <c r="X761" s="393"/>
      <c r="Y761" s="393"/>
      <c r="Z761" s="393"/>
    </row>
    <row r="762">
      <c r="A762" s="393"/>
      <c r="B762" s="393"/>
      <c r="C762" s="393"/>
      <c r="D762" s="393"/>
      <c r="E762" s="393"/>
      <c r="F762" s="393"/>
      <c r="G762" s="393"/>
      <c r="H762" s="393"/>
      <c r="I762" s="393"/>
      <c r="J762" s="393"/>
      <c r="K762" s="393"/>
      <c r="L762" s="393"/>
      <c r="M762" s="393"/>
      <c r="N762" s="393"/>
      <c r="O762" s="393"/>
      <c r="P762" s="393"/>
      <c r="Q762" s="393"/>
      <c r="R762" s="393"/>
      <c r="S762" s="393"/>
      <c r="T762" s="393"/>
      <c r="U762" s="393"/>
      <c r="V762" s="393"/>
      <c r="W762" s="393"/>
      <c r="X762" s="393"/>
      <c r="Y762" s="393"/>
      <c r="Z762" s="393"/>
    </row>
    <row r="763">
      <c r="A763" s="393"/>
      <c r="B763" s="393"/>
      <c r="C763" s="393"/>
      <c r="D763" s="393"/>
      <c r="E763" s="393"/>
      <c r="F763" s="393"/>
      <c r="G763" s="393"/>
      <c r="H763" s="393"/>
      <c r="I763" s="393"/>
      <c r="J763" s="393"/>
      <c r="K763" s="393"/>
      <c r="L763" s="393"/>
      <c r="M763" s="393"/>
      <c r="N763" s="393"/>
      <c r="O763" s="393"/>
      <c r="P763" s="393"/>
      <c r="Q763" s="393"/>
      <c r="R763" s="393"/>
      <c r="S763" s="393"/>
      <c r="T763" s="393"/>
      <c r="U763" s="393"/>
      <c r="V763" s="393"/>
      <c r="W763" s="393"/>
      <c r="X763" s="393"/>
      <c r="Y763" s="393"/>
      <c r="Z763" s="393"/>
    </row>
    <row r="764">
      <c r="A764" s="393"/>
      <c r="B764" s="393"/>
      <c r="C764" s="393"/>
      <c r="D764" s="393"/>
      <c r="E764" s="393"/>
      <c r="F764" s="393"/>
      <c r="G764" s="393"/>
      <c r="H764" s="393"/>
      <c r="I764" s="393"/>
      <c r="J764" s="393"/>
      <c r="K764" s="393"/>
      <c r="L764" s="393"/>
      <c r="M764" s="393"/>
      <c r="N764" s="393"/>
      <c r="O764" s="393"/>
      <c r="P764" s="393"/>
      <c r="Q764" s="393"/>
      <c r="R764" s="393"/>
      <c r="S764" s="393"/>
      <c r="T764" s="393"/>
      <c r="U764" s="393"/>
      <c r="V764" s="393"/>
      <c r="W764" s="393"/>
      <c r="X764" s="393"/>
      <c r="Y764" s="393"/>
      <c r="Z764" s="393"/>
    </row>
    <row r="765">
      <c r="A765" s="393"/>
      <c r="B765" s="393"/>
      <c r="C765" s="393"/>
      <c r="D765" s="393"/>
      <c r="E765" s="393"/>
      <c r="F765" s="393"/>
      <c r="G765" s="393"/>
      <c r="H765" s="393"/>
      <c r="I765" s="393"/>
      <c r="J765" s="393"/>
      <c r="K765" s="393"/>
      <c r="L765" s="393"/>
      <c r="M765" s="393"/>
      <c r="N765" s="393"/>
      <c r="O765" s="393"/>
      <c r="P765" s="393"/>
      <c r="Q765" s="393"/>
      <c r="R765" s="393"/>
      <c r="S765" s="393"/>
      <c r="T765" s="393"/>
      <c r="U765" s="393"/>
      <c r="V765" s="393"/>
      <c r="W765" s="393"/>
      <c r="X765" s="393"/>
      <c r="Y765" s="393"/>
      <c r="Z765" s="393"/>
    </row>
    <row r="766">
      <c r="A766" s="393"/>
      <c r="B766" s="393"/>
      <c r="C766" s="393"/>
      <c r="D766" s="393"/>
      <c r="E766" s="393"/>
      <c r="F766" s="393"/>
      <c r="G766" s="393"/>
      <c r="H766" s="393"/>
      <c r="I766" s="393"/>
      <c r="J766" s="393"/>
      <c r="K766" s="393"/>
      <c r="L766" s="393"/>
      <c r="M766" s="393"/>
      <c r="N766" s="393"/>
      <c r="O766" s="393"/>
      <c r="P766" s="393"/>
      <c r="Q766" s="393"/>
      <c r="R766" s="393"/>
      <c r="S766" s="393"/>
      <c r="T766" s="393"/>
      <c r="U766" s="393"/>
      <c r="V766" s="393"/>
      <c r="W766" s="393"/>
      <c r="X766" s="393"/>
      <c r="Y766" s="393"/>
      <c r="Z766" s="393"/>
    </row>
    <row r="767">
      <c r="A767" s="393"/>
      <c r="B767" s="393"/>
      <c r="C767" s="393"/>
      <c r="D767" s="393"/>
      <c r="E767" s="393"/>
      <c r="F767" s="393"/>
      <c r="G767" s="393"/>
      <c r="H767" s="393"/>
      <c r="I767" s="393"/>
      <c r="J767" s="393"/>
      <c r="K767" s="393"/>
      <c r="L767" s="393"/>
      <c r="M767" s="393"/>
      <c r="N767" s="393"/>
      <c r="O767" s="393"/>
      <c r="P767" s="393"/>
      <c r="Q767" s="393"/>
      <c r="R767" s="393"/>
      <c r="S767" s="393"/>
      <c r="T767" s="393"/>
      <c r="U767" s="393"/>
      <c r="V767" s="393"/>
      <c r="W767" s="393"/>
      <c r="X767" s="393"/>
      <c r="Y767" s="393"/>
      <c r="Z767" s="393"/>
    </row>
    <row r="768">
      <c r="A768" s="393"/>
      <c r="B768" s="393"/>
      <c r="C768" s="393"/>
      <c r="D768" s="393"/>
      <c r="E768" s="393"/>
      <c r="F768" s="393"/>
      <c r="G768" s="393"/>
      <c r="H768" s="393"/>
      <c r="I768" s="393"/>
      <c r="J768" s="393"/>
      <c r="K768" s="393"/>
      <c r="L768" s="393"/>
      <c r="M768" s="393"/>
      <c r="N768" s="393"/>
      <c r="O768" s="393"/>
      <c r="P768" s="393"/>
      <c r="Q768" s="393"/>
      <c r="R768" s="393"/>
      <c r="S768" s="393"/>
      <c r="T768" s="393"/>
      <c r="U768" s="393"/>
      <c r="V768" s="393"/>
      <c r="W768" s="393"/>
      <c r="X768" s="393"/>
      <c r="Y768" s="393"/>
      <c r="Z768" s="393"/>
    </row>
    <row r="769">
      <c r="A769" s="393"/>
      <c r="B769" s="393"/>
      <c r="C769" s="393"/>
      <c r="D769" s="393"/>
      <c r="E769" s="393"/>
      <c r="F769" s="393"/>
      <c r="G769" s="393"/>
      <c r="H769" s="393"/>
      <c r="I769" s="393"/>
      <c r="J769" s="393"/>
      <c r="K769" s="393"/>
      <c r="L769" s="393"/>
      <c r="M769" s="393"/>
      <c r="N769" s="393"/>
      <c r="O769" s="393"/>
      <c r="P769" s="393"/>
      <c r="Q769" s="393"/>
      <c r="R769" s="393"/>
      <c r="S769" s="393"/>
      <c r="T769" s="393"/>
      <c r="U769" s="393"/>
      <c r="V769" s="393"/>
      <c r="W769" s="393"/>
      <c r="X769" s="393"/>
      <c r="Y769" s="393"/>
      <c r="Z769" s="393"/>
    </row>
    <row r="770">
      <c r="A770" s="393"/>
      <c r="B770" s="393"/>
      <c r="C770" s="393"/>
      <c r="D770" s="393"/>
      <c r="E770" s="393"/>
      <c r="F770" s="393"/>
      <c r="G770" s="393"/>
      <c r="H770" s="393"/>
      <c r="I770" s="393"/>
      <c r="J770" s="393"/>
      <c r="K770" s="393"/>
      <c r="L770" s="393"/>
      <c r="M770" s="393"/>
      <c r="N770" s="393"/>
      <c r="O770" s="393"/>
      <c r="P770" s="393"/>
      <c r="Q770" s="393"/>
      <c r="R770" s="393"/>
      <c r="S770" s="393"/>
      <c r="T770" s="393"/>
      <c r="U770" s="393"/>
      <c r="V770" s="393"/>
      <c r="W770" s="393"/>
      <c r="X770" s="393"/>
      <c r="Y770" s="393"/>
      <c r="Z770" s="393"/>
    </row>
    <row r="771">
      <c r="A771" s="393"/>
      <c r="B771" s="393"/>
      <c r="C771" s="393"/>
      <c r="D771" s="393"/>
      <c r="E771" s="393"/>
      <c r="F771" s="393"/>
      <c r="G771" s="393"/>
      <c r="H771" s="393"/>
      <c r="I771" s="393"/>
      <c r="J771" s="393"/>
      <c r="K771" s="393"/>
      <c r="L771" s="393"/>
      <c r="M771" s="393"/>
      <c r="N771" s="393"/>
      <c r="O771" s="393"/>
      <c r="P771" s="393"/>
      <c r="Q771" s="393"/>
      <c r="R771" s="393"/>
      <c r="S771" s="393"/>
      <c r="T771" s="393"/>
      <c r="U771" s="393"/>
      <c r="V771" s="393"/>
      <c r="W771" s="393"/>
      <c r="X771" s="393"/>
      <c r="Y771" s="393"/>
      <c r="Z771" s="393"/>
    </row>
    <row r="772">
      <c r="A772" s="393"/>
      <c r="B772" s="393"/>
      <c r="C772" s="393"/>
      <c r="D772" s="393"/>
      <c r="E772" s="393"/>
      <c r="F772" s="393"/>
      <c r="G772" s="393"/>
      <c r="H772" s="393"/>
      <c r="I772" s="393"/>
      <c r="J772" s="393"/>
      <c r="K772" s="393"/>
      <c r="L772" s="393"/>
      <c r="M772" s="393"/>
      <c r="N772" s="393"/>
      <c r="O772" s="393"/>
      <c r="P772" s="393"/>
      <c r="Q772" s="393"/>
      <c r="R772" s="393"/>
      <c r="S772" s="393"/>
      <c r="T772" s="393"/>
      <c r="U772" s="393"/>
      <c r="V772" s="393"/>
      <c r="W772" s="393"/>
      <c r="X772" s="393"/>
      <c r="Y772" s="393"/>
      <c r="Z772" s="393"/>
    </row>
    <row r="773">
      <c r="A773" s="393"/>
      <c r="B773" s="393"/>
      <c r="C773" s="393"/>
      <c r="D773" s="393"/>
      <c r="E773" s="393"/>
      <c r="F773" s="393"/>
      <c r="G773" s="393"/>
      <c r="H773" s="393"/>
      <c r="I773" s="393"/>
      <c r="J773" s="393"/>
      <c r="K773" s="393"/>
      <c r="L773" s="393"/>
      <c r="M773" s="393"/>
      <c r="N773" s="393"/>
      <c r="O773" s="393"/>
      <c r="P773" s="393"/>
      <c r="Q773" s="393"/>
      <c r="R773" s="393"/>
      <c r="S773" s="393"/>
      <c r="T773" s="393"/>
      <c r="U773" s="393"/>
      <c r="V773" s="393"/>
      <c r="W773" s="393"/>
      <c r="X773" s="393"/>
      <c r="Y773" s="393"/>
      <c r="Z773" s="393"/>
    </row>
    <row r="774">
      <c r="A774" s="393"/>
      <c r="B774" s="393"/>
      <c r="C774" s="393"/>
      <c r="D774" s="393"/>
      <c r="E774" s="393"/>
      <c r="F774" s="393"/>
      <c r="G774" s="393"/>
      <c r="H774" s="393"/>
      <c r="I774" s="393"/>
      <c r="J774" s="393"/>
      <c r="K774" s="393"/>
      <c r="L774" s="393"/>
      <c r="M774" s="393"/>
      <c r="N774" s="393"/>
      <c r="O774" s="393"/>
      <c r="P774" s="393"/>
      <c r="Q774" s="393"/>
      <c r="R774" s="393"/>
      <c r="S774" s="393"/>
      <c r="T774" s="393"/>
      <c r="U774" s="393"/>
      <c r="V774" s="393"/>
      <c r="W774" s="393"/>
      <c r="X774" s="393"/>
      <c r="Y774" s="393"/>
      <c r="Z774" s="393"/>
    </row>
    <row r="775">
      <c r="A775" s="393"/>
      <c r="B775" s="393"/>
      <c r="C775" s="393"/>
      <c r="D775" s="393"/>
      <c r="E775" s="393"/>
      <c r="F775" s="393"/>
      <c r="G775" s="393"/>
      <c r="H775" s="393"/>
      <c r="I775" s="393"/>
      <c r="J775" s="393"/>
      <c r="K775" s="393"/>
      <c r="L775" s="393"/>
      <c r="M775" s="393"/>
      <c r="N775" s="393"/>
      <c r="O775" s="393"/>
      <c r="P775" s="393"/>
      <c r="Q775" s="393"/>
      <c r="R775" s="393"/>
      <c r="S775" s="393"/>
      <c r="T775" s="393"/>
      <c r="U775" s="393"/>
      <c r="V775" s="393"/>
      <c r="W775" s="393"/>
      <c r="X775" s="393"/>
      <c r="Y775" s="393"/>
      <c r="Z775" s="393"/>
    </row>
    <row r="776">
      <c r="A776" s="393"/>
      <c r="B776" s="393"/>
      <c r="C776" s="393"/>
      <c r="D776" s="393"/>
      <c r="E776" s="393"/>
      <c r="F776" s="393"/>
      <c r="G776" s="393"/>
      <c r="H776" s="393"/>
      <c r="I776" s="393"/>
      <c r="J776" s="393"/>
      <c r="K776" s="393"/>
      <c r="L776" s="393"/>
      <c r="M776" s="393"/>
      <c r="N776" s="393"/>
      <c r="O776" s="393"/>
      <c r="P776" s="393"/>
      <c r="Q776" s="393"/>
      <c r="R776" s="393"/>
      <c r="S776" s="393"/>
      <c r="T776" s="393"/>
      <c r="U776" s="393"/>
      <c r="V776" s="393"/>
      <c r="W776" s="393"/>
      <c r="X776" s="393"/>
      <c r="Y776" s="393"/>
      <c r="Z776" s="393"/>
    </row>
    <row r="777">
      <c r="A777" s="393"/>
      <c r="B777" s="393"/>
      <c r="C777" s="393"/>
      <c r="D777" s="393"/>
      <c r="E777" s="393"/>
      <c r="F777" s="393"/>
      <c r="G777" s="393"/>
      <c r="H777" s="393"/>
      <c r="I777" s="393"/>
      <c r="J777" s="393"/>
      <c r="K777" s="393"/>
      <c r="L777" s="393"/>
      <c r="M777" s="393"/>
      <c r="N777" s="393"/>
      <c r="O777" s="393"/>
      <c r="P777" s="393"/>
      <c r="Q777" s="393"/>
      <c r="R777" s="393"/>
      <c r="S777" s="393"/>
      <c r="T777" s="393"/>
      <c r="U777" s="393"/>
      <c r="V777" s="393"/>
      <c r="W777" s="393"/>
      <c r="X777" s="393"/>
      <c r="Y777" s="393"/>
      <c r="Z777" s="393"/>
    </row>
    <row r="778">
      <c r="A778" s="393"/>
      <c r="B778" s="393"/>
      <c r="C778" s="393"/>
      <c r="D778" s="393"/>
      <c r="E778" s="393"/>
      <c r="F778" s="393"/>
      <c r="G778" s="393"/>
      <c r="H778" s="393"/>
      <c r="I778" s="393"/>
      <c r="J778" s="393"/>
      <c r="K778" s="393"/>
      <c r="L778" s="393"/>
      <c r="M778" s="393"/>
      <c r="N778" s="393"/>
      <c r="O778" s="393"/>
      <c r="P778" s="393"/>
      <c r="Q778" s="393"/>
      <c r="R778" s="393"/>
      <c r="S778" s="393"/>
      <c r="T778" s="393"/>
      <c r="U778" s="393"/>
      <c r="V778" s="393"/>
      <c r="W778" s="393"/>
      <c r="X778" s="393"/>
      <c r="Y778" s="393"/>
      <c r="Z778" s="393"/>
    </row>
    <row r="779">
      <c r="A779" s="393"/>
      <c r="B779" s="393"/>
      <c r="C779" s="393"/>
      <c r="D779" s="393"/>
      <c r="E779" s="393"/>
      <c r="F779" s="393"/>
      <c r="G779" s="393"/>
      <c r="H779" s="393"/>
      <c r="I779" s="393"/>
      <c r="J779" s="393"/>
      <c r="K779" s="393"/>
      <c r="L779" s="393"/>
      <c r="M779" s="393"/>
      <c r="N779" s="393"/>
      <c r="O779" s="393"/>
      <c r="P779" s="393"/>
      <c r="Q779" s="393"/>
      <c r="R779" s="393"/>
      <c r="S779" s="393"/>
      <c r="T779" s="393"/>
      <c r="U779" s="393"/>
      <c r="V779" s="393"/>
      <c r="W779" s="393"/>
      <c r="X779" s="393"/>
      <c r="Y779" s="393"/>
      <c r="Z779" s="393"/>
    </row>
    <row r="780">
      <c r="A780" s="393"/>
      <c r="B780" s="393"/>
      <c r="C780" s="393"/>
      <c r="D780" s="393"/>
      <c r="E780" s="393"/>
      <c r="F780" s="393"/>
      <c r="G780" s="393"/>
      <c r="H780" s="393"/>
      <c r="I780" s="393"/>
      <c r="J780" s="393"/>
      <c r="K780" s="393"/>
      <c r="L780" s="393"/>
      <c r="M780" s="393"/>
      <c r="N780" s="393"/>
      <c r="O780" s="393"/>
      <c r="P780" s="393"/>
      <c r="Q780" s="393"/>
      <c r="R780" s="393"/>
      <c r="S780" s="393"/>
      <c r="T780" s="393"/>
      <c r="U780" s="393"/>
      <c r="V780" s="393"/>
      <c r="W780" s="393"/>
      <c r="X780" s="393"/>
      <c r="Y780" s="393"/>
      <c r="Z780" s="393"/>
    </row>
    <row r="781">
      <c r="A781" s="393"/>
      <c r="B781" s="393"/>
      <c r="C781" s="393"/>
      <c r="D781" s="393"/>
      <c r="E781" s="393"/>
      <c r="F781" s="393"/>
      <c r="G781" s="393"/>
      <c r="H781" s="393"/>
      <c r="I781" s="393"/>
      <c r="J781" s="393"/>
      <c r="K781" s="393"/>
      <c r="L781" s="393"/>
      <c r="M781" s="393"/>
      <c r="N781" s="393"/>
      <c r="O781" s="393"/>
      <c r="P781" s="393"/>
      <c r="Q781" s="393"/>
      <c r="R781" s="393"/>
      <c r="S781" s="393"/>
      <c r="T781" s="393"/>
      <c r="U781" s="393"/>
      <c r="V781" s="393"/>
      <c r="W781" s="393"/>
      <c r="X781" s="393"/>
      <c r="Y781" s="393"/>
      <c r="Z781" s="393"/>
    </row>
    <row r="782">
      <c r="A782" s="393"/>
      <c r="B782" s="393"/>
      <c r="C782" s="393"/>
      <c r="D782" s="393"/>
      <c r="E782" s="393"/>
      <c r="F782" s="393"/>
      <c r="G782" s="393"/>
      <c r="H782" s="393"/>
      <c r="I782" s="393"/>
      <c r="J782" s="393"/>
      <c r="K782" s="393"/>
      <c r="L782" s="393"/>
      <c r="M782" s="393"/>
      <c r="N782" s="393"/>
      <c r="O782" s="393"/>
      <c r="P782" s="393"/>
      <c r="Q782" s="393"/>
      <c r="R782" s="393"/>
      <c r="S782" s="393"/>
      <c r="T782" s="393"/>
      <c r="U782" s="393"/>
      <c r="V782" s="393"/>
      <c r="W782" s="393"/>
      <c r="X782" s="393"/>
      <c r="Y782" s="393"/>
      <c r="Z782" s="393"/>
    </row>
    <row r="783">
      <c r="A783" s="393"/>
      <c r="B783" s="393"/>
      <c r="C783" s="393"/>
      <c r="D783" s="393"/>
      <c r="E783" s="393"/>
      <c r="F783" s="393"/>
      <c r="G783" s="393"/>
      <c r="H783" s="393"/>
      <c r="I783" s="393"/>
      <c r="J783" s="393"/>
      <c r="K783" s="393"/>
      <c r="L783" s="393"/>
      <c r="M783" s="393"/>
      <c r="N783" s="393"/>
      <c r="O783" s="393"/>
      <c r="P783" s="393"/>
      <c r="Q783" s="393"/>
      <c r="R783" s="393"/>
      <c r="S783" s="393"/>
      <c r="T783" s="393"/>
      <c r="U783" s="393"/>
      <c r="V783" s="393"/>
      <c r="W783" s="393"/>
      <c r="X783" s="393"/>
      <c r="Y783" s="393"/>
      <c r="Z783" s="393"/>
    </row>
    <row r="784">
      <c r="A784" s="393"/>
      <c r="B784" s="393"/>
      <c r="C784" s="393"/>
      <c r="D784" s="393"/>
      <c r="E784" s="393"/>
      <c r="F784" s="393"/>
      <c r="G784" s="393"/>
      <c r="H784" s="393"/>
      <c r="I784" s="393"/>
      <c r="J784" s="393"/>
      <c r="K784" s="393"/>
      <c r="L784" s="393"/>
      <c r="M784" s="393"/>
      <c r="N784" s="393"/>
      <c r="O784" s="393"/>
      <c r="P784" s="393"/>
      <c r="Q784" s="393"/>
      <c r="R784" s="393"/>
      <c r="S784" s="393"/>
      <c r="T784" s="393"/>
      <c r="U784" s="393"/>
      <c r="V784" s="393"/>
      <c r="W784" s="393"/>
      <c r="X784" s="393"/>
      <c r="Y784" s="393"/>
      <c r="Z784" s="393"/>
    </row>
    <row r="785">
      <c r="A785" s="393"/>
      <c r="B785" s="393"/>
      <c r="C785" s="393"/>
      <c r="D785" s="393"/>
      <c r="E785" s="393"/>
      <c r="F785" s="393"/>
      <c r="G785" s="393"/>
      <c r="H785" s="393"/>
      <c r="I785" s="393"/>
      <c r="J785" s="393"/>
      <c r="K785" s="393"/>
      <c r="L785" s="393"/>
      <c r="M785" s="393"/>
      <c r="N785" s="393"/>
      <c r="O785" s="393"/>
      <c r="P785" s="393"/>
      <c r="Q785" s="393"/>
      <c r="R785" s="393"/>
      <c r="S785" s="393"/>
      <c r="T785" s="393"/>
      <c r="U785" s="393"/>
      <c r="V785" s="393"/>
      <c r="W785" s="393"/>
      <c r="X785" s="393"/>
      <c r="Y785" s="393"/>
      <c r="Z785" s="393"/>
    </row>
    <row r="786">
      <c r="A786" s="393"/>
      <c r="B786" s="393"/>
      <c r="C786" s="393"/>
      <c r="D786" s="393"/>
      <c r="E786" s="393"/>
      <c r="F786" s="393"/>
      <c r="G786" s="393"/>
      <c r="H786" s="393"/>
      <c r="I786" s="393"/>
      <c r="J786" s="393"/>
      <c r="K786" s="393"/>
      <c r="L786" s="393"/>
      <c r="M786" s="393"/>
      <c r="N786" s="393"/>
      <c r="O786" s="393"/>
      <c r="P786" s="393"/>
      <c r="Q786" s="393"/>
      <c r="R786" s="393"/>
      <c r="S786" s="393"/>
      <c r="T786" s="393"/>
      <c r="U786" s="393"/>
      <c r="V786" s="393"/>
      <c r="W786" s="393"/>
      <c r="X786" s="393"/>
      <c r="Y786" s="393"/>
      <c r="Z786" s="393"/>
    </row>
    <row r="787">
      <c r="A787" s="393"/>
      <c r="B787" s="393"/>
      <c r="C787" s="393"/>
      <c r="D787" s="393"/>
      <c r="E787" s="393"/>
      <c r="F787" s="393"/>
      <c r="G787" s="393"/>
      <c r="H787" s="393"/>
      <c r="I787" s="393"/>
      <c r="J787" s="393"/>
      <c r="K787" s="393"/>
      <c r="L787" s="393"/>
      <c r="M787" s="393"/>
      <c r="N787" s="393"/>
      <c r="O787" s="393"/>
      <c r="P787" s="393"/>
      <c r="Q787" s="393"/>
      <c r="R787" s="393"/>
      <c r="S787" s="393"/>
      <c r="T787" s="393"/>
      <c r="U787" s="393"/>
      <c r="V787" s="393"/>
      <c r="W787" s="393"/>
      <c r="X787" s="393"/>
      <c r="Y787" s="393"/>
      <c r="Z787" s="393"/>
    </row>
    <row r="788">
      <c r="A788" s="393"/>
      <c r="B788" s="393"/>
      <c r="C788" s="393"/>
      <c r="D788" s="393"/>
      <c r="E788" s="393"/>
      <c r="F788" s="393"/>
      <c r="G788" s="393"/>
      <c r="H788" s="393"/>
      <c r="I788" s="393"/>
      <c r="J788" s="393"/>
      <c r="K788" s="393"/>
      <c r="L788" s="393"/>
      <c r="M788" s="393"/>
      <c r="N788" s="393"/>
      <c r="O788" s="393"/>
      <c r="P788" s="393"/>
      <c r="Q788" s="393"/>
      <c r="R788" s="393"/>
      <c r="S788" s="393"/>
      <c r="T788" s="393"/>
      <c r="U788" s="393"/>
      <c r="V788" s="393"/>
      <c r="W788" s="393"/>
      <c r="X788" s="393"/>
      <c r="Y788" s="393"/>
      <c r="Z788" s="393"/>
    </row>
    <row r="789">
      <c r="A789" s="393"/>
      <c r="B789" s="393"/>
      <c r="C789" s="393"/>
      <c r="D789" s="393"/>
      <c r="E789" s="393"/>
      <c r="F789" s="393"/>
      <c r="G789" s="393"/>
      <c r="H789" s="393"/>
      <c r="I789" s="393"/>
      <c r="J789" s="393"/>
      <c r="K789" s="393"/>
      <c r="L789" s="393"/>
      <c r="M789" s="393"/>
      <c r="N789" s="393"/>
      <c r="O789" s="393"/>
      <c r="P789" s="393"/>
      <c r="Q789" s="393"/>
      <c r="R789" s="393"/>
      <c r="S789" s="393"/>
      <c r="T789" s="393"/>
      <c r="U789" s="393"/>
      <c r="V789" s="393"/>
      <c r="W789" s="393"/>
      <c r="X789" s="393"/>
      <c r="Y789" s="393"/>
      <c r="Z789" s="393"/>
    </row>
    <row r="790">
      <c r="A790" s="393"/>
      <c r="B790" s="393"/>
      <c r="C790" s="393"/>
      <c r="D790" s="393"/>
      <c r="E790" s="393"/>
      <c r="F790" s="393"/>
      <c r="G790" s="393"/>
      <c r="H790" s="393"/>
      <c r="I790" s="393"/>
      <c r="J790" s="393"/>
      <c r="K790" s="393"/>
      <c r="L790" s="393"/>
      <c r="M790" s="393"/>
      <c r="N790" s="393"/>
      <c r="O790" s="393"/>
      <c r="P790" s="393"/>
      <c r="Q790" s="393"/>
      <c r="R790" s="393"/>
      <c r="S790" s="393"/>
      <c r="T790" s="393"/>
      <c r="U790" s="393"/>
      <c r="V790" s="393"/>
      <c r="W790" s="393"/>
      <c r="X790" s="393"/>
      <c r="Y790" s="393"/>
      <c r="Z790" s="393"/>
    </row>
    <row r="791">
      <c r="A791" s="393"/>
      <c r="B791" s="393"/>
      <c r="C791" s="393"/>
      <c r="D791" s="393"/>
      <c r="E791" s="393"/>
      <c r="F791" s="393"/>
      <c r="G791" s="393"/>
      <c r="H791" s="393"/>
      <c r="I791" s="393"/>
      <c r="J791" s="393"/>
      <c r="K791" s="393"/>
      <c r="L791" s="393"/>
      <c r="M791" s="393"/>
      <c r="N791" s="393"/>
      <c r="O791" s="393"/>
      <c r="P791" s="393"/>
      <c r="Q791" s="393"/>
      <c r="R791" s="393"/>
      <c r="S791" s="393"/>
      <c r="T791" s="393"/>
      <c r="U791" s="393"/>
      <c r="V791" s="393"/>
      <c r="W791" s="393"/>
      <c r="X791" s="393"/>
      <c r="Y791" s="393"/>
      <c r="Z791" s="393"/>
    </row>
    <row r="792">
      <c r="A792" s="393"/>
      <c r="B792" s="393"/>
      <c r="C792" s="393"/>
      <c r="D792" s="393"/>
      <c r="E792" s="393"/>
      <c r="F792" s="393"/>
      <c r="G792" s="393"/>
      <c r="H792" s="393"/>
      <c r="I792" s="393"/>
      <c r="J792" s="393"/>
      <c r="K792" s="393"/>
      <c r="L792" s="393"/>
      <c r="M792" s="393"/>
      <c r="N792" s="393"/>
      <c r="O792" s="393"/>
      <c r="P792" s="393"/>
      <c r="Q792" s="393"/>
      <c r="R792" s="393"/>
      <c r="S792" s="393"/>
      <c r="T792" s="393"/>
      <c r="U792" s="393"/>
      <c r="V792" s="393"/>
      <c r="W792" s="393"/>
      <c r="X792" s="393"/>
      <c r="Y792" s="393"/>
      <c r="Z792" s="393"/>
    </row>
    <row r="793">
      <c r="A793" s="393"/>
      <c r="B793" s="393"/>
      <c r="C793" s="393"/>
      <c r="D793" s="393"/>
      <c r="E793" s="393"/>
      <c r="F793" s="393"/>
      <c r="G793" s="393"/>
      <c r="H793" s="393"/>
      <c r="I793" s="393"/>
      <c r="J793" s="393"/>
      <c r="K793" s="393"/>
      <c r="L793" s="393"/>
      <c r="M793" s="393"/>
      <c r="N793" s="393"/>
      <c r="O793" s="393"/>
      <c r="P793" s="393"/>
      <c r="Q793" s="393"/>
      <c r="R793" s="393"/>
      <c r="S793" s="393"/>
      <c r="T793" s="393"/>
      <c r="U793" s="393"/>
      <c r="V793" s="393"/>
      <c r="W793" s="393"/>
      <c r="X793" s="393"/>
      <c r="Y793" s="393"/>
      <c r="Z793" s="393"/>
    </row>
    <row r="794">
      <c r="A794" s="393"/>
      <c r="B794" s="393"/>
      <c r="C794" s="393"/>
      <c r="D794" s="393"/>
      <c r="E794" s="393"/>
      <c r="F794" s="393"/>
      <c r="G794" s="393"/>
      <c r="H794" s="393"/>
      <c r="I794" s="393"/>
      <c r="J794" s="393"/>
      <c r="K794" s="393"/>
      <c r="L794" s="393"/>
      <c r="M794" s="393"/>
      <c r="N794" s="393"/>
      <c r="O794" s="393"/>
      <c r="P794" s="393"/>
      <c r="Q794" s="393"/>
      <c r="R794" s="393"/>
      <c r="S794" s="393"/>
      <c r="T794" s="393"/>
      <c r="U794" s="393"/>
      <c r="V794" s="393"/>
      <c r="W794" s="393"/>
      <c r="X794" s="393"/>
      <c r="Y794" s="393"/>
      <c r="Z794" s="393"/>
    </row>
    <row r="795">
      <c r="A795" s="393"/>
      <c r="B795" s="393"/>
      <c r="C795" s="393"/>
      <c r="D795" s="393"/>
      <c r="E795" s="393"/>
      <c r="F795" s="393"/>
      <c r="G795" s="393"/>
      <c r="H795" s="393"/>
      <c r="I795" s="393"/>
      <c r="J795" s="393"/>
      <c r="K795" s="393"/>
      <c r="L795" s="393"/>
      <c r="M795" s="393"/>
      <c r="N795" s="393"/>
      <c r="O795" s="393"/>
      <c r="P795" s="393"/>
      <c r="Q795" s="393"/>
      <c r="R795" s="393"/>
      <c r="S795" s="393"/>
      <c r="T795" s="393"/>
      <c r="U795" s="393"/>
      <c r="V795" s="393"/>
      <c r="W795" s="393"/>
      <c r="X795" s="393"/>
      <c r="Y795" s="393"/>
      <c r="Z795" s="393"/>
    </row>
    <row r="796">
      <c r="A796" s="393"/>
      <c r="B796" s="393"/>
      <c r="C796" s="393"/>
      <c r="D796" s="393"/>
      <c r="E796" s="393"/>
      <c r="F796" s="393"/>
      <c r="G796" s="393"/>
      <c r="H796" s="393"/>
      <c r="I796" s="393"/>
      <c r="J796" s="393"/>
      <c r="K796" s="393"/>
      <c r="L796" s="393"/>
      <c r="M796" s="393"/>
      <c r="N796" s="393"/>
      <c r="O796" s="393"/>
      <c r="P796" s="393"/>
      <c r="Q796" s="393"/>
      <c r="R796" s="393"/>
      <c r="S796" s="393"/>
      <c r="T796" s="393"/>
      <c r="U796" s="393"/>
      <c r="V796" s="393"/>
      <c r="W796" s="393"/>
      <c r="X796" s="393"/>
      <c r="Y796" s="393"/>
      <c r="Z796" s="393"/>
    </row>
    <row r="797">
      <c r="A797" s="393"/>
      <c r="B797" s="393"/>
      <c r="C797" s="393"/>
      <c r="D797" s="393"/>
      <c r="E797" s="393"/>
      <c r="F797" s="393"/>
      <c r="G797" s="393"/>
      <c r="H797" s="393"/>
      <c r="I797" s="393"/>
      <c r="J797" s="393"/>
      <c r="K797" s="393"/>
      <c r="L797" s="393"/>
      <c r="M797" s="393"/>
      <c r="N797" s="393"/>
      <c r="O797" s="393"/>
      <c r="P797" s="393"/>
      <c r="Q797" s="393"/>
      <c r="R797" s="393"/>
      <c r="S797" s="393"/>
      <c r="T797" s="393"/>
      <c r="U797" s="393"/>
      <c r="V797" s="393"/>
      <c r="W797" s="393"/>
      <c r="X797" s="393"/>
      <c r="Y797" s="393"/>
      <c r="Z797" s="393"/>
    </row>
    <row r="798">
      <c r="A798" s="393"/>
      <c r="B798" s="393"/>
      <c r="C798" s="393"/>
      <c r="D798" s="393"/>
      <c r="E798" s="393"/>
      <c r="F798" s="393"/>
      <c r="G798" s="393"/>
      <c r="H798" s="393"/>
      <c r="I798" s="393"/>
      <c r="J798" s="393"/>
      <c r="K798" s="393"/>
      <c r="L798" s="393"/>
      <c r="M798" s="393"/>
      <c r="N798" s="393"/>
      <c r="O798" s="393"/>
      <c r="P798" s="393"/>
      <c r="Q798" s="393"/>
      <c r="R798" s="393"/>
      <c r="S798" s="393"/>
      <c r="T798" s="393"/>
      <c r="U798" s="393"/>
      <c r="V798" s="393"/>
      <c r="W798" s="393"/>
      <c r="X798" s="393"/>
      <c r="Y798" s="393"/>
      <c r="Z798" s="393"/>
    </row>
    <row r="799">
      <c r="A799" s="393"/>
      <c r="B799" s="393"/>
      <c r="C799" s="393"/>
      <c r="D799" s="393"/>
      <c r="E799" s="393"/>
      <c r="F799" s="393"/>
      <c r="G799" s="393"/>
      <c r="H799" s="393"/>
      <c r="I799" s="393"/>
      <c r="J799" s="393"/>
      <c r="K799" s="393"/>
      <c r="L799" s="393"/>
      <c r="M799" s="393"/>
      <c r="N799" s="393"/>
      <c r="O799" s="393"/>
      <c r="P799" s="393"/>
      <c r="Q799" s="393"/>
      <c r="R799" s="393"/>
      <c r="S799" s="393"/>
      <c r="T799" s="393"/>
      <c r="U799" s="393"/>
      <c r="V799" s="393"/>
      <c r="W799" s="393"/>
      <c r="X799" s="393"/>
      <c r="Y799" s="393"/>
      <c r="Z799" s="393"/>
    </row>
    <row r="800">
      <c r="A800" s="393"/>
      <c r="B800" s="393"/>
      <c r="C800" s="393"/>
      <c r="D800" s="393"/>
      <c r="E800" s="393"/>
      <c r="F800" s="393"/>
      <c r="G800" s="393"/>
      <c r="H800" s="393"/>
      <c r="I800" s="393"/>
      <c r="J800" s="393"/>
      <c r="K800" s="393"/>
      <c r="L800" s="393"/>
      <c r="M800" s="393"/>
      <c r="N800" s="393"/>
      <c r="O800" s="393"/>
      <c r="P800" s="393"/>
      <c r="Q800" s="393"/>
      <c r="R800" s="393"/>
      <c r="S800" s="393"/>
      <c r="T800" s="393"/>
      <c r="U800" s="393"/>
      <c r="V800" s="393"/>
      <c r="W800" s="393"/>
      <c r="X800" s="393"/>
      <c r="Y800" s="393"/>
      <c r="Z800" s="393"/>
    </row>
    <row r="801">
      <c r="A801" s="393"/>
      <c r="B801" s="393"/>
      <c r="C801" s="393"/>
      <c r="D801" s="393"/>
      <c r="E801" s="393"/>
      <c r="F801" s="393"/>
      <c r="G801" s="393"/>
      <c r="H801" s="393"/>
      <c r="I801" s="393"/>
      <c r="J801" s="393"/>
      <c r="K801" s="393"/>
      <c r="L801" s="393"/>
      <c r="M801" s="393"/>
      <c r="N801" s="393"/>
      <c r="O801" s="393"/>
      <c r="P801" s="393"/>
      <c r="Q801" s="393"/>
      <c r="R801" s="393"/>
      <c r="S801" s="393"/>
      <c r="T801" s="393"/>
      <c r="U801" s="393"/>
      <c r="V801" s="393"/>
      <c r="W801" s="393"/>
      <c r="X801" s="393"/>
      <c r="Y801" s="393"/>
      <c r="Z801" s="393"/>
    </row>
    <row r="802">
      <c r="A802" s="393"/>
      <c r="B802" s="393"/>
      <c r="C802" s="393"/>
      <c r="D802" s="393"/>
      <c r="E802" s="393"/>
      <c r="F802" s="393"/>
      <c r="G802" s="393"/>
      <c r="H802" s="393"/>
      <c r="I802" s="393"/>
      <c r="J802" s="393"/>
      <c r="K802" s="393"/>
      <c r="L802" s="393"/>
      <c r="M802" s="393"/>
      <c r="N802" s="393"/>
      <c r="O802" s="393"/>
      <c r="P802" s="393"/>
      <c r="Q802" s="393"/>
      <c r="R802" s="393"/>
      <c r="S802" s="393"/>
      <c r="T802" s="393"/>
      <c r="U802" s="393"/>
      <c r="V802" s="393"/>
      <c r="W802" s="393"/>
      <c r="X802" s="393"/>
      <c r="Y802" s="393"/>
      <c r="Z802" s="393"/>
    </row>
    <row r="803">
      <c r="A803" s="393"/>
      <c r="B803" s="393"/>
      <c r="C803" s="393"/>
      <c r="D803" s="393"/>
      <c r="E803" s="393"/>
      <c r="F803" s="393"/>
      <c r="G803" s="393"/>
      <c r="H803" s="393"/>
      <c r="I803" s="393"/>
      <c r="J803" s="393"/>
      <c r="K803" s="393"/>
      <c r="L803" s="393"/>
      <c r="M803" s="393"/>
      <c r="N803" s="393"/>
      <c r="O803" s="393"/>
      <c r="P803" s="393"/>
      <c r="Q803" s="393"/>
      <c r="R803" s="393"/>
      <c r="S803" s="393"/>
      <c r="T803" s="393"/>
      <c r="U803" s="393"/>
      <c r="V803" s="393"/>
      <c r="W803" s="393"/>
      <c r="X803" s="393"/>
      <c r="Y803" s="393"/>
      <c r="Z803" s="393"/>
    </row>
    <row r="804">
      <c r="A804" s="393"/>
      <c r="B804" s="393"/>
      <c r="C804" s="393"/>
      <c r="D804" s="393"/>
      <c r="E804" s="393"/>
      <c r="F804" s="393"/>
      <c r="G804" s="393"/>
      <c r="H804" s="393"/>
      <c r="I804" s="393"/>
      <c r="J804" s="393"/>
      <c r="K804" s="393"/>
      <c r="L804" s="393"/>
      <c r="M804" s="393"/>
      <c r="N804" s="393"/>
      <c r="O804" s="393"/>
      <c r="P804" s="393"/>
      <c r="Q804" s="393"/>
      <c r="R804" s="393"/>
      <c r="S804" s="393"/>
      <c r="T804" s="393"/>
      <c r="U804" s="393"/>
      <c r="V804" s="393"/>
      <c r="W804" s="393"/>
      <c r="X804" s="393"/>
      <c r="Y804" s="393"/>
      <c r="Z804" s="393"/>
    </row>
    <row r="805">
      <c r="A805" s="393"/>
      <c r="B805" s="393"/>
      <c r="C805" s="393"/>
      <c r="D805" s="393"/>
      <c r="E805" s="393"/>
      <c r="F805" s="393"/>
      <c r="G805" s="393"/>
      <c r="H805" s="393"/>
      <c r="I805" s="393"/>
      <c r="J805" s="393"/>
      <c r="K805" s="393"/>
      <c r="L805" s="393"/>
      <c r="M805" s="393"/>
      <c r="N805" s="393"/>
      <c r="O805" s="393"/>
      <c r="P805" s="393"/>
      <c r="Q805" s="393"/>
      <c r="R805" s="393"/>
      <c r="S805" s="393"/>
      <c r="T805" s="393"/>
      <c r="U805" s="393"/>
      <c r="V805" s="393"/>
      <c r="W805" s="393"/>
      <c r="X805" s="393"/>
      <c r="Y805" s="393"/>
      <c r="Z805" s="393"/>
    </row>
    <row r="806">
      <c r="A806" s="393"/>
      <c r="B806" s="393"/>
      <c r="C806" s="393"/>
      <c r="D806" s="393"/>
      <c r="E806" s="393"/>
      <c r="F806" s="393"/>
      <c r="G806" s="393"/>
      <c r="H806" s="393"/>
      <c r="I806" s="393"/>
      <c r="J806" s="393"/>
      <c r="K806" s="393"/>
      <c r="L806" s="393"/>
      <c r="M806" s="393"/>
      <c r="N806" s="393"/>
      <c r="O806" s="393"/>
      <c r="P806" s="393"/>
      <c r="Q806" s="393"/>
      <c r="R806" s="393"/>
      <c r="S806" s="393"/>
      <c r="T806" s="393"/>
      <c r="U806" s="393"/>
      <c r="V806" s="393"/>
      <c r="W806" s="393"/>
      <c r="X806" s="393"/>
      <c r="Y806" s="393"/>
      <c r="Z806" s="393"/>
    </row>
    <row r="807">
      <c r="A807" s="393"/>
      <c r="B807" s="393"/>
      <c r="C807" s="393"/>
      <c r="D807" s="393"/>
      <c r="E807" s="393"/>
      <c r="F807" s="393"/>
      <c r="G807" s="393"/>
      <c r="H807" s="393"/>
      <c r="I807" s="393"/>
      <c r="J807" s="393"/>
      <c r="K807" s="393"/>
      <c r="L807" s="393"/>
      <c r="M807" s="393"/>
      <c r="N807" s="393"/>
      <c r="O807" s="393"/>
      <c r="P807" s="393"/>
      <c r="Q807" s="393"/>
      <c r="R807" s="393"/>
      <c r="S807" s="393"/>
      <c r="T807" s="393"/>
      <c r="U807" s="393"/>
      <c r="V807" s="393"/>
      <c r="W807" s="393"/>
      <c r="X807" s="393"/>
      <c r="Y807" s="393"/>
      <c r="Z807" s="393"/>
    </row>
    <row r="808">
      <c r="A808" s="393"/>
      <c r="B808" s="393"/>
      <c r="C808" s="393"/>
      <c r="D808" s="393"/>
      <c r="E808" s="393"/>
      <c r="F808" s="393"/>
      <c r="G808" s="393"/>
      <c r="H808" s="393"/>
      <c r="I808" s="393"/>
      <c r="J808" s="393"/>
      <c r="K808" s="393"/>
      <c r="L808" s="393"/>
      <c r="M808" s="393"/>
      <c r="N808" s="393"/>
      <c r="O808" s="393"/>
      <c r="P808" s="393"/>
      <c r="Q808" s="393"/>
      <c r="R808" s="393"/>
      <c r="S808" s="393"/>
      <c r="T808" s="393"/>
      <c r="U808" s="393"/>
      <c r="V808" s="393"/>
      <c r="W808" s="393"/>
      <c r="X808" s="393"/>
      <c r="Y808" s="393"/>
      <c r="Z808" s="393"/>
    </row>
    <row r="809">
      <c r="A809" s="393"/>
      <c r="B809" s="393"/>
      <c r="C809" s="393"/>
      <c r="D809" s="393"/>
      <c r="E809" s="393"/>
      <c r="F809" s="393"/>
      <c r="G809" s="393"/>
      <c r="H809" s="393"/>
      <c r="I809" s="393"/>
      <c r="J809" s="393"/>
      <c r="K809" s="393"/>
      <c r="L809" s="393"/>
      <c r="M809" s="393"/>
      <c r="N809" s="393"/>
      <c r="O809" s="393"/>
      <c r="P809" s="393"/>
      <c r="Q809" s="393"/>
      <c r="R809" s="393"/>
      <c r="S809" s="393"/>
      <c r="T809" s="393"/>
      <c r="U809" s="393"/>
      <c r="V809" s="393"/>
      <c r="W809" s="393"/>
      <c r="X809" s="393"/>
      <c r="Y809" s="393"/>
      <c r="Z809" s="393"/>
    </row>
    <row r="810">
      <c r="A810" s="393"/>
      <c r="B810" s="393"/>
      <c r="C810" s="393"/>
      <c r="D810" s="393"/>
      <c r="E810" s="393"/>
      <c r="F810" s="393"/>
      <c r="G810" s="393"/>
      <c r="H810" s="393"/>
      <c r="I810" s="393"/>
      <c r="J810" s="393"/>
      <c r="K810" s="393"/>
      <c r="L810" s="393"/>
      <c r="M810" s="393"/>
      <c r="N810" s="393"/>
      <c r="O810" s="393"/>
      <c r="P810" s="393"/>
      <c r="Q810" s="393"/>
      <c r="R810" s="393"/>
      <c r="S810" s="393"/>
      <c r="T810" s="393"/>
      <c r="U810" s="393"/>
      <c r="V810" s="393"/>
      <c r="W810" s="393"/>
      <c r="X810" s="393"/>
      <c r="Y810" s="393"/>
      <c r="Z810" s="393"/>
    </row>
    <row r="811">
      <c r="A811" s="393"/>
      <c r="B811" s="393"/>
      <c r="C811" s="393"/>
      <c r="D811" s="393"/>
      <c r="E811" s="393"/>
      <c r="F811" s="393"/>
      <c r="G811" s="393"/>
      <c r="H811" s="393"/>
      <c r="I811" s="393"/>
      <c r="J811" s="393"/>
      <c r="K811" s="393"/>
      <c r="L811" s="393"/>
      <c r="M811" s="393"/>
      <c r="N811" s="393"/>
      <c r="O811" s="393"/>
      <c r="P811" s="393"/>
      <c r="Q811" s="393"/>
      <c r="R811" s="393"/>
      <c r="S811" s="393"/>
      <c r="T811" s="393"/>
      <c r="U811" s="393"/>
      <c r="V811" s="393"/>
      <c r="W811" s="393"/>
      <c r="X811" s="393"/>
      <c r="Y811" s="393"/>
      <c r="Z811" s="393"/>
    </row>
    <row r="812">
      <c r="A812" s="393"/>
      <c r="B812" s="393"/>
      <c r="C812" s="393"/>
      <c r="D812" s="393"/>
      <c r="E812" s="393"/>
      <c r="F812" s="393"/>
      <c r="G812" s="393"/>
      <c r="H812" s="393"/>
      <c r="I812" s="393"/>
      <c r="J812" s="393"/>
      <c r="K812" s="393"/>
      <c r="L812" s="393"/>
      <c r="M812" s="393"/>
      <c r="N812" s="393"/>
      <c r="O812" s="393"/>
      <c r="P812" s="393"/>
      <c r="Q812" s="393"/>
      <c r="R812" s="393"/>
      <c r="S812" s="393"/>
      <c r="T812" s="393"/>
      <c r="U812" s="393"/>
      <c r="V812" s="393"/>
      <c r="W812" s="393"/>
      <c r="X812" s="393"/>
      <c r="Y812" s="393"/>
      <c r="Z812" s="393"/>
    </row>
    <row r="813">
      <c r="A813" s="393"/>
      <c r="B813" s="393"/>
      <c r="C813" s="393"/>
      <c r="D813" s="393"/>
      <c r="E813" s="393"/>
      <c r="F813" s="393"/>
      <c r="G813" s="393"/>
      <c r="H813" s="393"/>
      <c r="I813" s="393"/>
      <c r="J813" s="393"/>
      <c r="K813" s="393"/>
      <c r="L813" s="393"/>
      <c r="M813" s="393"/>
      <c r="N813" s="393"/>
      <c r="O813" s="393"/>
      <c r="P813" s="393"/>
      <c r="Q813" s="393"/>
      <c r="R813" s="393"/>
      <c r="S813" s="393"/>
      <c r="T813" s="393"/>
      <c r="U813" s="393"/>
      <c r="V813" s="393"/>
      <c r="W813" s="393"/>
      <c r="X813" s="393"/>
      <c r="Y813" s="393"/>
      <c r="Z813" s="393"/>
    </row>
    <row r="814">
      <c r="A814" s="393"/>
      <c r="B814" s="393"/>
      <c r="C814" s="393"/>
      <c r="D814" s="393"/>
      <c r="E814" s="393"/>
      <c r="F814" s="393"/>
      <c r="G814" s="393"/>
      <c r="H814" s="393"/>
      <c r="I814" s="393"/>
      <c r="J814" s="393"/>
      <c r="K814" s="393"/>
      <c r="L814" s="393"/>
      <c r="M814" s="393"/>
      <c r="N814" s="393"/>
      <c r="O814" s="393"/>
      <c r="P814" s="393"/>
      <c r="Q814" s="393"/>
      <c r="R814" s="393"/>
      <c r="S814" s="393"/>
      <c r="T814" s="393"/>
      <c r="U814" s="393"/>
      <c r="V814" s="393"/>
      <c r="W814" s="393"/>
      <c r="X814" s="393"/>
      <c r="Y814" s="393"/>
      <c r="Z814" s="393"/>
    </row>
    <row r="815">
      <c r="A815" s="393"/>
      <c r="B815" s="393"/>
      <c r="C815" s="393"/>
      <c r="D815" s="393"/>
      <c r="E815" s="393"/>
      <c r="F815" s="393"/>
      <c r="G815" s="393"/>
      <c r="H815" s="393"/>
      <c r="I815" s="393"/>
      <c r="J815" s="393"/>
      <c r="K815" s="393"/>
      <c r="L815" s="393"/>
      <c r="M815" s="393"/>
      <c r="N815" s="393"/>
      <c r="O815" s="393"/>
      <c r="P815" s="393"/>
      <c r="Q815" s="393"/>
      <c r="R815" s="393"/>
      <c r="S815" s="393"/>
      <c r="T815" s="393"/>
      <c r="U815" s="393"/>
      <c r="V815" s="393"/>
      <c r="W815" s="393"/>
      <c r="X815" s="393"/>
      <c r="Y815" s="393"/>
      <c r="Z815" s="393"/>
    </row>
    <row r="816">
      <c r="A816" s="393"/>
      <c r="B816" s="393"/>
      <c r="C816" s="393"/>
      <c r="D816" s="393"/>
      <c r="E816" s="393"/>
      <c r="F816" s="393"/>
      <c r="G816" s="393"/>
      <c r="H816" s="393"/>
      <c r="I816" s="393"/>
      <c r="J816" s="393"/>
      <c r="K816" s="393"/>
      <c r="L816" s="393"/>
      <c r="M816" s="393"/>
      <c r="N816" s="393"/>
      <c r="O816" s="393"/>
      <c r="P816" s="393"/>
      <c r="Q816" s="393"/>
      <c r="R816" s="393"/>
      <c r="S816" s="393"/>
      <c r="T816" s="393"/>
      <c r="U816" s="393"/>
      <c r="V816" s="393"/>
      <c r="W816" s="393"/>
      <c r="X816" s="393"/>
      <c r="Y816" s="393"/>
      <c r="Z816" s="393"/>
    </row>
    <row r="817">
      <c r="A817" s="393"/>
      <c r="B817" s="393"/>
      <c r="C817" s="393"/>
      <c r="D817" s="393"/>
      <c r="E817" s="393"/>
      <c r="F817" s="393"/>
      <c r="G817" s="393"/>
      <c r="H817" s="393"/>
      <c r="I817" s="393"/>
      <c r="J817" s="393"/>
      <c r="K817" s="393"/>
      <c r="L817" s="393"/>
      <c r="M817" s="393"/>
      <c r="N817" s="393"/>
      <c r="O817" s="393"/>
      <c r="P817" s="393"/>
      <c r="Q817" s="393"/>
      <c r="R817" s="393"/>
      <c r="S817" s="393"/>
      <c r="T817" s="393"/>
      <c r="U817" s="393"/>
      <c r="V817" s="393"/>
      <c r="W817" s="393"/>
      <c r="X817" s="393"/>
      <c r="Y817" s="393"/>
      <c r="Z817" s="393"/>
    </row>
    <row r="818">
      <c r="A818" s="393"/>
      <c r="B818" s="393"/>
      <c r="C818" s="393"/>
      <c r="D818" s="393"/>
      <c r="E818" s="393"/>
      <c r="F818" s="393"/>
      <c r="G818" s="393"/>
      <c r="H818" s="393"/>
      <c r="I818" s="393"/>
      <c r="J818" s="393"/>
      <c r="K818" s="393"/>
      <c r="L818" s="393"/>
      <c r="M818" s="393"/>
      <c r="N818" s="393"/>
      <c r="O818" s="393"/>
      <c r="P818" s="393"/>
      <c r="Q818" s="393"/>
      <c r="R818" s="393"/>
      <c r="S818" s="393"/>
      <c r="T818" s="393"/>
      <c r="U818" s="393"/>
      <c r="V818" s="393"/>
      <c r="W818" s="393"/>
      <c r="X818" s="393"/>
      <c r="Y818" s="393"/>
      <c r="Z818" s="393"/>
    </row>
    <row r="819">
      <c r="A819" s="393"/>
      <c r="B819" s="393"/>
      <c r="C819" s="393"/>
      <c r="D819" s="393"/>
      <c r="E819" s="393"/>
      <c r="F819" s="393"/>
      <c r="G819" s="393"/>
      <c r="H819" s="393"/>
      <c r="I819" s="393"/>
      <c r="J819" s="393"/>
      <c r="K819" s="393"/>
      <c r="L819" s="393"/>
      <c r="M819" s="393"/>
      <c r="N819" s="393"/>
      <c r="O819" s="393"/>
      <c r="P819" s="393"/>
      <c r="Q819" s="393"/>
      <c r="R819" s="393"/>
      <c r="S819" s="393"/>
      <c r="T819" s="393"/>
      <c r="U819" s="393"/>
      <c r="V819" s="393"/>
      <c r="W819" s="393"/>
      <c r="X819" s="393"/>
      <c r="Y819" s="393"/>
      <c r="Z819" s="393"/>
    </row>
    <row r="820">
      <c r="A820" s="393"/>
      <c r="B820" s="393"/>
      <c r="C820" s="393"/>
      <c r="D820" s="393"/>
      <c r="E820" s="393"/>
      <c r="F820" s="393"/>
      <c r="G820" s="393"/>
      <c r="H820" s="393"/>
      <c r="I820" s="393"/>
      <c r="J820" s="393"/>
      <c r="K820" s="393"/>
      <c r="L820" s="393"/>
      <c r="M820" s="393"/>
      <c r="N820" s="393"/>
      <c r="O820" s="393"/>
      <c r="P820" s="393"/>
      <c r="Q820" s="393"/>
      <c r="R820" s="393"/>
      <c r="S820" s="393"/>
      <c r="T820" s="393"/>
      <c r="U820" s="393"/>
      <c r="V820" s="393"/>
      <c r="W820" s="393"/>
      <c r="X820" s="393"/>
      <c r="Y820" s="393"/>
      <c r="Z820" s="393"/>
    </row>
    <row r="821">
      <c r="A821" s="393"/>
      <c r="B821" s="393"/>
      <c r="C821" s="393"/>
      <c r="D821" s="393"/>
      <c r="E821" s="393"/>
      <c r="F821" s="393"/>
      <c r="G821" s="393"/>
      <c r="H821" s="393"/>
      <c r="I821" s="393"/>
      <c r="J821" s="393"/>
      <c r="K821" s="393"/>
      <c r="L821" s="393"/>
      <c r="M821" s="393"/>
      <c r="N821" s="393"/>
      <c r="O821" s="393"/>
      <c r="P821" s="393"/>
      <c r="Q821" s="393"/>
      <c r="R821" s="393"/>
      <c r="S821" s="393"/>
      <c r="T821" s="393"/>
      <c r="U821" s="393"/>
      <c r="V821" s="393"/>
      <c r="W821" s="393"/>
      <c r="X821" s="393"/>
      <c r="Y821" s="393"/>
      <c r="Z821" s="393"/>
    </row>
    <row r="822">
      <c r="A822" s="393"/>
      <c r="B822" s="393"/>
      <c r="C822" s="393"/>
      <c r="D822" s="393"/>
      <c r="E822" s="393"/>
      <c r="F822" s="393"/>
      <c r="G822" s="393"/>
      <c r="H822" s="393"/>
      <c r="I822" s="393"/>
      <c r="J822" s="393"/>
      <c r="K822" s="393"/>
      <c r="L822" s="393"/>
      <c r="M822" s="393"/>
      <c r="N822" s="393"/>
      <c r="O822" s="393"/>
      <c r="P822" s="393"/>
      <c r="Q822" s="393"/>
      <c r="R822" s="393"/>
      <c r="S822" s="393"/>
      <c r="T822" s="393"/>
      <c r="U822" s="393"/>
      <c r="V822" s="393"/>
      <c r="W822" s="393"/>
      <c r="X822" s="393"/>
      <c r="Y822" s="393"/>
      <c r="Z822" s="393"/>
    </row>
    <row r="823">
      <c r="A823" s="393"/>
      <c r="B823" s="393"/>
      <c r="C823" s="393"/>
      <c r="D823" s="393"/>
      <c r="E823" s="393"/>
      <c r="F823" s="393"/>
      <c r="G823" s="393"/>
      <c r="H823" s="393"/>
      <c r="I823" s="393"/>
      <c r="J823" s="393"/>
      <c r="K823" s="393"/>
      <c r="L823" s="393"/>
      <c r="M823" s="393"/>
      <c r="N823" s="393"/>
      <c r="O823" s="393"/>
      <c r="P823" s="393"/>
      <c r="Q823" s="393"/>
      <c r="R823" s="393"/>
      <c r="S823" s="393"/>
      <c r="T823" s="393"/>
      <c r="U823" s="393"/>
      <c r="V823" s="393"/>
      <c r="W823" s="393"/>
      <c r="X823" s="393"/>
      <c r="Y823" s="393"/>
      <c r="Z823" s="393"/>
    </row>
    <row r="824">
      <c r="A824" s="393"/>
      <c r="B824" s="393"/>
      <c r="C824" s="393"/>
      <c r="D824" s="393"/>
      <c r="E824" s="393"/>
      <c r="F824" s="393"/>
      <c r="G824" s="393"/>
      <c r="H824" s="393"/>
      <c r="I824" s="393"/>
      <c r="J824" s="393"/>
      <c r="K824" s="393"/>
      <c r="L824" s="393"/>
      <c r="M824" s="393"/>
      <c r="N824" s="393"/>
      <c r="O824" s="393"/>
      <c r="P824" s="393"/>
      <c r="Q824" s="393"/>
      <c r="R824" s="393"/>
      <c r="S824" s="393"/>
      <c r="T824" s="393"/>
      <c r="U824" s="393"/>
      <c r="V824" s="393"/>
      <c r="W824" s="393"/>
      <c r="X824" s="393"/>
      <c r="Y824" s="393"/>
      <c r="Z824" s="393"/>
    </row>
    <row r="825">
      <c r="A825" s="393"/>
      <c r="B825" s="393"/>
      <c r="C825" s="393"/>
      <c r="D825" s="393"/>
      <c r="E825" s="393"/>
      <c r="F825" s="393"/>
      <c r="G825" s="393"/>
      <c r="H825" s="393"/>
      <c r="I825" s="393"/>
      <c r="J825" s="393"/>
      <c r="K825" s="393"/>
      <c r="L825" s="393"/>
      <c r="M825" s="393"/>
      <c r="N825" s="393"/>
      <c r="O825" s="393"/>
      <c r="P825" s="393"/>
      <c r="Q825" s="393"/>
      <c r="R825" s="393"/>
      <c r="S825" s="393"/>
      <c r="T825" s="393"/>
      <c r="U825" s="393"/>
      <c r="V825" s="393"/>
      <c r="W825" s="393"/>
      <c r="X825" s="393"/>
      <c r="Y825" s="393"/>
      <c r="Z825" s="393"/>
    </row>
    <row r="826">
      <c r="A826" s="393"/>
      <c r="B826" s="393"/>
      <c r="C826" s="393"/>
      <c r="D826" s="393"/>
      <c r="E826" s="393"/>
      <c r="F826" s="393"/>
      <c r="G826" s="393"/>
      <c r="H826" s="393"/>
      <c r="I826" s="393"/>
      <c r="J826" s="393"/>
      <c r="K826" s="393"/>
      <c r="L826" s="393"/>
      <c r="M826" s="393"/>
      <c r="N826" s="393"/>
      <c r="O826" s="393"/>
      <c r="P826" s="393"/>
      <c r="Q826" s="393"/>
      <c r="R826" s="393"/>
      <c r="S826" s="393"/>
      <c r="T826" s="393"/>
      <c r="U826" s="393"/>
      <c r="V826" s="393"/>
      <c r="W826" s="393"/>
      <c r="X826" s="393"/>
      <c r="Y826" s="393"/>
      <c r="Z826" s="393"/>
    </row>
    <row r="827">
      <c r="A827" s="393"/>
      <c r="B827" s="393"/>
      <c r="C827" s="393"/>
      <c r="D827" s="393"/>
      <c r="E827" s="393"/>
      <c r="F827" s="393"/>
      <c r="G827" s="393"/>
      <c r="H827" s="393"/>
      <c r="I827" s="393"/>
      <c r="J827" s="393"/>
      <c r="K827" s="393"/>
      <c r="L827" s="393"/>
      <c r="M827" s="393"/>
      <c r="N827" s="393"/>
      <c r="O827" s="393"/>
      <c r="P827" s="393"/>
      <c r="Q827" s="393"/>
      <c r="R827" s="393"/>
      <c r="S827" s="393"/>
      <c r="T827" s="393"/>
      <c r="U827" s="393"/>
      <c r="V827" s="393"/>
      <c r="W827" s="393"/>
      <c r="X827" s="393"/>
      <c r="Y827" s="393"/>
      <c r="Z827" s="393"/>
    </row>
    <row r="828">
      <c r="A828" s="393"/>
      <c r="B828" s="393"/>
      <c r="C828" s="393"/>
      <c r="D828" s="393"/>
      <c r="E828" s="393"/>
      <c r="F828" s="393"/>
      <c r="G828" s="393"/>
      <c r="H828" s="393"/>
      <c r="I828" s="393"/>
      <c r="J828" s="393"/>
      <c r="K828" s="393"/>
      <c r="L828" s="393"/>
      <c r="M828" s="393"/>
      <c r="N828" s="393"/>
      <c r="O828" s="393"/>
      <c r="P828" s="393"/>
      <c r="Q828" s="393"/>
      <c r="R828" s="393"/>
      <c r="S828" s="393"/>
      <c r="T828" s="393"/>
      <c r="U828" s="393"/>
      <c r="V828" s="393"/>
      <c r="W828" s="393"/>
      <c r="X828" s="393"/>
      <c r="Y828" s="393"/>
      <c r="Z828" s="393"/>
    </row>
    <row r="829">
      <c r="A829" s="393"/>
      <c r="B829" s="393"/>
      <c r="C829" s="393"/>
      <c r="D829" s="393"/>
      <c r="E829" s="393"/>
      <c r="F829" s="393"/>
      <c r="G829" s="393"/>
      <c r="H829" s="393"/>
      <c r="I829" s="393"/>
      <c r="J829" s="393"/>
      <c r="K829" s="393"/>
      <c r="L829" s="393"/>
      <c r="M829" s="393"/>
      <c r="N829" s="393"/>
      <c r="O829" s="393"/>
      <c r="P829" s="393"/>
      <c r="Q829" s="393"/>
      <c r="R829" s="393"/>
      <c r="S829" s="393"/>
      <c r="T829" s="393"/>
      <c r="U829" s="393"/>
      <c r="V829" s="393"/>
      <c r="W829" s="393"/>
      <c r="X829" s="393"/>
      <c r="Y829" s="393"/>
      <c r="Z829" s="393"/>
    </row>
    <row r="830">
      <c r="A830" s="393"/>
      <c r="B830" s="393"/>
      <c r="C830" s="393"/>
      <c r="D830" s="393"/>
      <c r="E830" s="393"/>
      <c r="F830" s="393"/>
      <c r="G830" s="393"/>
      <c r="H830" s="393"/>
      <c r="I830" s="393"/>
      <c r="J830" s="393"/>
      <c r="K830" s="393"/>
      <c r="L830" s="393"/>
      <c r="M830" s="393"/>
      <c r="N830" s="393"/>
      <c r="O830" s="393"/>
      <c r="P830" s="393"/>
      <c r="Q830" s="393"/>
      <c r="R830" s="393"/>
      <c r="S830" s="393"/>
      <c r="T830" s="393"/>
      <c r="U830" s="393"/>
      <c r="V830" s="393"/>
      <c r="W830" s="393"/>
      <c r="X830" s="393"/>
      <c r="Y830" s="393"/>
      <c r="Z830" s="393"/>
    </row>
    <row r="831">
      <c r="A831" s="393"/>
      <c r="B831" s="393"/>
      <c r="C831" s="393"/>
      <c r="D831" s="393"/>
      <c r="E831" s="393"/>
      <c r="F831" s="393"/>
      <c r="G831" s="393"/>
      <c r="H831" s="393"/>
      <c r="I831" s="393"/>
      <c r="J831" s="393"/>
      <c r="K831" s="393"/>
      <c r="L831" s="393"/>
      <c r="M831" s="393"/>
      <c r="N831" s="393"/>
      <c r="O831" s="393"/>
      <c r="P831" s="393"/>
      <c r="Q831" s="393"/>
      <c r="R831" s="393"/>
      <c r="S831" s="393"/>
      <c r="T831" s="393"/>
      <c r="U831" s="393"/>
      <c r="V831" s="393"/>
      <c r="W831" s="393"/>
      <c r="X831" s="393"/>
      <c r="Y831" s="393"/>
      <c r="Z831" s="393"/>
    </row>
    <row r="832">
      <c r="A832" s="393"/>
      <c r="B832" s="393"/>
      <c r="C832" s="393"/>
      <c r="D832" s="393"/>
      <c r="E832" s="393"/>
      <c r="F832" s="393"/>
      <c r="G832" s="393"/>
      <c r="H832" s="393"/>
      <c r="I832" s="393"/>
      <c r="J832" s="393"/>
      <c r="K832" s="393"/>
      <c r="L832" s="393"/>
      <c r="M832" s="393"/>
      <c r="N832" s="393"/>
      <c r="O832" s="393"/>
      <c r="P832" s="393"/>
      <c r="Q832" s="393"/>
      <c r="R832" s="393"/>
      <c r="S832" s="393"/>
      <c r="T832" s="393"/>
      <c r="U832" s="393"/>
      <c r="V832" s="393"/>
      <c r="W832" s="393"/>
      <c r="X832" s="393"/>
      <c r="Y832" s="393"/>
      <c r="Z832" s="393"/>
    </row>
    <row r="833">
      <c r="A833" s="393"/>
      <c r="B833" s="393"/>
      <c r="C833" s="393"/>
      <c r="D833" s="393"/>
      <c r="E833" s="393"/>
      <c r="F833" s="393"/>
      <c r="G833" s="393"/>
      <c r="H833" s="393"/>
      <c r="I833" s="393"/>
      <c r="J833" s="393"/>
      <c r="K833" s="393"/>
      <c r="L833" s="393"/>
      <c r="M833" s="393"/>
      <c r="N833" s="393"/>
      <c r="O833" s="393"/>
      <c r="P833" s="393"/>
      <c r="Q833" s="393"/>
      <c r="R833" s="393"/>
      <c r="S833" s="393"/>
      <c r="T833" s="393"/>
      <c r="U833" s="393"/>
      <c r="V833" s="393"/>
      <c r="W833" s="393"/>
      <c r="X833" s="393"/>
      <c r="Y833" s="393"/>
      <c r="Z833" s="393"/>
    </row>
    <row r="834">
      <c r="A834" s="393"/>
      <c r="B834" s="393"/>
      <c r="C834" s="393"/>
      <c r="D834" s="393"/>
      <c r="E834" s="393"/>
      <c r="F834" s="393"/>
      <c r="G834" s="393"/>
      <c r="H834" s="393"/>
      <c r="I834" s="393"/>
      <c r="J834" s="393"/>
      <c r="K834" s="393"/>
      <c r="L834" s="393"/>
      <c r="M834" s="393"/>
      <c r="N834" s="393"/>
      <c r="O834" s="393"/>
      <c r="P834" s="393"/>
      <c r="Q834" s="393"/>
      <c r="R834" s="393"/>
      <c r="S834" s="393"/>
      <c r="T834" s="393"/>
      <c r="U834" s="393"/>
      <c r="V834" s="393"/>
      <c r="W834" s="393"/>
      <c r="X834" s="393"/>
      <c r="Y834" s="393"/>
      <c r="Z834" s="393"/>
    </row>
    <row r="835">
      <c r="A835" s="393"/>
      <c r="B835" s="393"/>
      <c r="C835" s="393"/>
      <c r="D835" s="393"/>
      <c r="E835" s="393"/>
      <c r="F835" s="393"/>
      <c r="G835" s="393"/>
      <c r="H835" s="393"/>
      <c r="I835" s="393"/>
      <c r="J835" s="393"/>
      <c r="K835" s="393"/>
      <c r="L835" s="393"/>
      <c r="M835" s="393"/>
      <c r="N835" s="393"/>
      <c r="O835" s="393"/>
      <c r="P835" s="393"/>
      <c r="Q835" s="393"/>
      <c r="R835" s="393"/>
      <c r="S835" s="393"/>
      <c r="T835" s="393"/>
      <c r="U835" s="393"/>
      <c r="V835" s="393"/>
      <c r="W835" s="393"/>
      <c r="X835" s="393"/>
      <c r="Y835" s="393"/>
      <c r="Z835" s="393"/>
    </row>
    <row r="836">
      <c r="A836" s="393"/>
      <c r="B836" s="393"/>
      <c r="C836" s="393"/>
      <c r="D836" s="393"/>
      <c r="E836" s="393"/>
      <c r="F836" s="393"/>
      <c r="G836" s="393"/>
      <c r="H836" s="393"/>
      <c r="I836" s="393"/>
      <c r="J836" s="393"/>
      <c r="K836" s="393"/>
      <c r="L836" s="393"/>
      <c r="M836" s="393"/>
      <c r="N836" s="393"/>
      <c r="O836" s="393"/>
      <c r="P836" s="393"/>
      <c r="Q836" s="393"/>
      <c r="R836" s="393"/>
      <c r="S836" s="393"/>
      <c r="T836" s="393"/>
      <c r="U836" s="393"/>
      <c r="V836" s="393"/>
      <c r="W836" s="393"/>
      <c r="X836" s="393"/>
      <c r="Y836" s="393"/>
      <c r="Z836" s="393"/>
    </row>
    <row r="837">
      <c r="A837" s="393"/>
      <c r="B837" s="393"/>
      <c r="C837" s="393"/>
      <c r="D837" s="393"/>
      <c r="E837" s="393"/>
      <c r="F837" s="393"/>
      <c r="G837" s="393"/>
      <c r="H837" s="393"/>
      <c r="I837" s="393"/>
      <c r="J837" s="393"/>
      <c r="K837" s="393"/>
      <c r="L837" s="393"/>
      <c r="M837" s="393"/>
      <c r="N837" s="393"/>
      <c r="O837" s="393"/>
      <c r="P837" s="393"/>
      <c r="Q837" s="393"/>
      <c r="R837" s="393"/>
      <c r="S837" s="393"/>
      <c r="T837" s="393"/>
      <c r="U837" s="393"/>
      <c r="V837" s="393"/>
      <c r="W837" s="393"/>
      <c r="X837" s="393"/>
      <c r="Y837" s="393"/>
      <c r="Z837" s="393"/>
    </row>
    <row r="838">
      <c r="A838" s="393"/>
      <c r="B838" s="393"/>
      <c r="C838" s="393"/>
      <c r="D838" s="393"/>
      <c r="E838" s="393"/>
      <c r="F838" s="393"/>
      <c r="G838" s="393"/>
      <c r="H838" s="393"/>
      <c r="I838" s="393"/>
      <c r="J838" s="393"/>
      <c r="K838" s="393"/>
      <c r="L838" s="393"/>
      <c r="M838" s="393"/>
      <c r="N838" s="393"/>
      <c r="O838" s="393"/>
      <c r="P838" s="393"/>
      <c r="Q838" s="393"/>
      <c r="R838" s="393"/>
      <c r="S838" s="393"/>
      <c r="T838" s="393"/>
      <c r="U838" s="393"/>
      <c r="V838" s="393"/>
      <c r="W838" s="393"/>
      <c r="X838" s="393"/>
      <c r="Y838" s="393"/>
      <c r="Z838" s="393"/>
    </row>
    <row r="839">
      <c r="A839" s="393"/>
      <c r="B839" s="393"/>
      <c r="C839" s="393"/>
      <c r="D839" s="393"/>
      <c r="E839" s="393"/>
      <c r="F839" s="393"/>
      <c r="G839" s="393"/>
      <c r="H839" s="393"/>
      <c r="I839" s="393"/>
      <c r="J839" s="393"/>
      <c r="K839" s="393"/>
      <c r="L839" s="393"/>
      <c r="M839" s="393"/>
      <c r="N839" s="393"/>
      <c r="O839" s="393"/>
      <c r="P839" s="393"/>
      <c r="Q839" s="393"/>
      <c r="R839" s="393"/>
      <c r="S839" s="393"/>
      <c r="T839" s="393"/>
      <c r="U839" s="393"/>
      <c r="V839" s="393"/>
      <c r="W839" s="393"/>
      <c r="X839" s="393"/>
      <c r="Y839" s="393"/>
      <c r="Z839" s="393"/>
    </row>
    <row r="840">
      <c r="A840" s="393"/>
      <c r="B840" s="393"/>
      <c r="C840" s="393"/>
      <c r="D840" s="393"/>
      <c r="E840" s="393"/>
      <c r="F840" s="393"/>
      <c r="G840" s="393"/>
      <c r="H840" s="393"/>
      <c r="I840" s="393"/>
      <c r="J840" s="393"/>
      <c r="K840" s="393"/>
      <c r="L840" s="393"/>
      <c r="M840" s="393"/>
      <c r="N840" s="393"/>
      <c r="O840" s="393"/>
      <c r="P840" s="393"/>
      <c r="Q840" s="393"/>
      <c r="R840" s="393"/>
      <c r="S840" s="393"/>
      <c r="T840" s="393"/>
      <c r="U840" s="393"/>
      <c r="V840" s="393"/>
      <c r="W840" s="393"/>
      <c r="X840" s="393"/>
      <c r="Y840" s="393"/>
      <c r="Z840" s="393"/>
    </row>
    <row r="841">
      <c r="A841" s="393"/>
      <c r="B841" s="393"/>
      <c r="C841" s="393"/>
      <c r="D841" s="393"/>
      <c r="E841" s="393"/>
      <c r="F841" s="393"/>
      <c r="G841" s="393"/>
      <c r="H841" s="393"/>
      <c r="I841" s="393"/>
      <c r="J841" s="393"/>
      <c r="K841" s="393"/>
      <c r="L841" s="393"/>
      <c r="M841" s="393"/>
      <c r="N841" s="393"/>
      <c r="O841" s="393"/>
      <c r="P841" s="393"/>
      <c r="Q841" s="393"/>
      <c r="R841" s="393"/>
      <c r="S841" s="393"/>
      <c r="T841" s="393"/>
      <c r="U841" s="393"/>
      <c r="V841" s="393"/>
      <c r="W841" s="393"/>
      <c r="X841" s="393"/>
      <c r="Y841" s="393"/>
      <c r="Z841" s="393"/>
    </row>
    <row r="842">
      <c r="A842" s="393"/>
      <c r="B842" s="393"/>
      <c r="C842" s="393"/>
      <c r="D842" s="393"/>
      <c r="E842" s="393"/>
      <c r="F842" s="393"/>
      <c r="G842" s="393"/>
      <c r="H842" s="393"/>
      <c r="I842" s="393"/>
      <c r="J842" s="393"/>
      <c r="K842" s="393"/>
      <c r="L842" s="393"/>
      <c r="M842" s="393"/>
      <c r="N842" s="393"/>
      <c r="O842" s="393"/>
      <c r="P842" s="393"/>
      <c r="Q842" s="393"/>
      <c r="R842" s="393"/>
      <c r="S842" s="393"/>
      <c r="T842" s="393"/>
      <c r="U842" s="393"/>
      <c r="V842" s="393"/>
      <c r="W842" s="393"/>
      <c r="X842" s="393"/>
      <c r="Y842" s="393"/>
      <c r="Z842" s="393"/>
    </row>
    <row r="843">
      <c r="A843" s="393"/>
      <c r="B843" s="393"/>
      <c r="C843" s="393"/>
      <c r="D843" s="393"/>
      <c r="E843" s="393"/>
      <c r="F843" s="393"/>
      <c r="G843" s="393"/>
      <c r="H843" s="393"/>
      <c r="I843" s="393"/>
      <c r="J843" s="393"/>
      <c r="K843" s="393"/>
      <c r="L843" s="393"/>
      <c r="M843" s="393"/>
      <c r="N843" s="393"/>
      <c r="O843" s="393"/>
      <c r="P843" s="393"/>
      <c r="Q843" s="393"/>
      <c r="R843" s="393"/>
      <c r="S843" s="393"/>
      <c r="T843" s="393"/>
      <c r="U843" s="393"/>
      <c r="V843" s="393"/>
      <c r="W843" s="393"/>
      <c r="X843" s="393"/>
      <c r="Y843" s="393"/>
      <c r="Z843" s="393"/>
    </row>
    <row r="844">
      <c r="A844" s="393"/>
      <c r="B844" s="393"/>
      <c r="C844" s="393"/>
      <c r="D844" s="393"/>
      <c r="E844" s="393"/>
      <c r="F844" s="393"/>
      <c r="G844" s="393"/>
      <c r="H844" s="393"/>
      <c r="I844" s="393"/>
      <c r="J844" s="393"/>
      <c r="K844" s="393"/>
      <c r="L844" s="393"/>
      <c r="M844" s="393"/>
      <c r="N844" s="393"/>
      <c r="O844" s="393"/>
      <c r="P844" s="393"/>
      <c r="Q844" s="393"/>
      <c r="R844" s="393"/>
      <c r="S844" s="393"/>
      <c r="T844" s="393"/>
      <c r="U844" s="393"/>
      <c r="V844" s="393"/>
      <c r="W844" s="393"/>
      <c r="X844" s="393"/>
      <c r="Y844" s="393"/>
      <c r="Z844" s="393"/>
    </row>
    <row r="845">
      <c r="A845" s="393"/>
      <c r="B845" s="393"/>
      <c r="C845" s="393"/>
      <c r="D845" s="393"/>
      <c r="E845" s="393"/>
      <c r="F845" s="393"/>
      <c r="G845" s="393"/>
      <c r="H845" s="393"/>
      <c r="I845" s="393"/>
      <c r="J845" s="393"/>
      <c r="K845" s="393"/>
      <c r="L845" s="393"/>
      <c r="M845" s="393"/>
      <c r="N845" s="393"/>
      <c r="O845" s="393"/>
      <c r="P845" s="393"/>
      <c r="Q845" s="393"/>
      <c r="R845" s="393"/>
      <c r="S845" s="393"/>
      <c r="T845" s="393"/>
      <c r="U845" s="393"/>
      <c r="V845" s="393"/>
      <c r="W845" s="393"/>
      <c r="X845" s="393"/>
      <c r="Y845" s="393"/>
      <c r="Z845" s="393"/>
    </row>
    <row r="846">
      <c r="A846" s="393"/>
      <c r="B846" s="393"/>
      <c r="C846" s="393"/>
      <c r="D846" s="393"/>
      <c r="E846" s="393"/>
      <c r="F846" s="393"/>
      <c r="G846" s="393"/>
      <c r="H846" s="393"/>
      <c r="I846" s="393"/>
      <c r="J846" s="393"/>
      <c r="K846" s="393"/>
      <c r="L846" s="393"/>
      <c r="M846" s="393"/>
      <c r="N846" s="393"/>
      <c r="O846" s="393"/>
      <c r="P846" s="393"/>
      <c r="Q846" s="393"/>
      <c r="R846" s="393"/>
      <c r="S846" s="393"/>
      <c r="T846" s="393"/>
      <c r="U846" s="393"/>
      <c r="V846" s="393"/>
      <c r="W846" s="393"/>
      <c r="X846" s="393"/>
      <c r="Y846" s="393"/>
      <c r="Z846" s="393"/>
    </row>
    <row r="847">
      <c r="A847" s="393"/>
      <c r="B847" s="393"/>
      <c r="C847" s="393"/>
      <c r="D847" s="393"/>
      <c r="E847" s="393"/>
      <c r="F847" s="393"/>
      <c r="G847" s="393"/>
      <c r="H847" s="393"/>
      <c r="I847" s="393"/>
      <c r="J847" s="393"/>
      <c r="K847" s="393"/>
      <c r="L847" s="393"/>
      <c r="M847" s="393"/>
      <c r="N847" s="393"/>
      <c r="O847" s="393"/>
      <c r="P847" s="393"/>
      <c r="Q847" s="393"/>
      <c r="R847" s="393"/>
      <c r="S847" s="393"/>
      <c r="T847" s="393"/>
      <c r="U847" s="393"/>
      <c r="V847" s="393"/>
      <c r="W847" s="393"/>
      <c r="X847" s="393"/>
      <c r="Y847" s="393"/>
      <c r="Z847" s="393"/>
    </row>
    <row r="848">
      <c r="A848" s="393"/>
      <c r="B848" s="393"/>
      <c r="C848" s="393"/>
      <c r="D848" s="393"/>
      <c r="E848" s="393"/>
      <c r="F848" s="393"/>
      <c r="G848" s="393"/>
      <c r="H848" s="393"/>
      <c r="I848" s="393"/>
      <c r="J848" s="393"/>
      <c r="K848" s="393"/>
      <c r="L848" s="393"/>
      <c r="M848" s="393"/>
      <c r="N848" s="393"/>
      <c r="O848" s="393"/>
      <c r="P848" s="393"/>
      <c r="Q848" s="393"/>
      <c r="R848" s="393"/>
      <c r="S848" s="393"/>
      <c r="T848" s="393"/>
      <c r="U848" s="393"/>
      <c r="V848" s="393"/>
      <c r="W848" s="393"/>
      <c r="X848" s="393"/>
      <c r="Y848" s="393"/>
      <c r="Z848" s="393"/>
    </row>
    <row r="849">
      <c r="A849" s="393"/>
      <c r="B849" s="393"/>
      <c r="C849" s="393"/>
      <c r="D849" s="393"/>
      <c r="E849" s="393"/>
      <c r="F849" s="393"/>
      <c r="G849" s="393"/>
      <c r="H849" s="393"/>
      <c r="I849" s="393"/>
      <c r="J849" s="393"/>
      <c r="K849" s="393"/>
      <c r="L849" s="393"/>
      <c r="M849" s="393"/>
      <c r="N849" s="393"/>
      <c r="O849" s="393"/>
      <c r="P849" s="393"/>
      <c r="Q849" s="393"/>
      <c r="R849" s="393"/>
      <c r="S849" s="393"/>
      <c r="T849" s="393"/>
      <c r="U849" s="393"/>
      <c r="V849" s="393"/>
      <c r="W849" s="393"/>
      <c r="X849" s="393"/>
      <c r="Y849" s="393"/>
      <c r="Z849" s="393"/>
    </row>
    <row r="850">
      <c r="A850" s="393"/>
      <c r="B850" s="393"/>
      <c r="C850" s="393"/>
      <c r="D850" s="393"/>
      <c r="E850" s="393"/>
      <c r="F850" s="393"/>
      <c r="G850" s="393"/>
      <c r="H850" s="393"/>
      <c r="I850" s="393"/>
      <c r="J850" s="393"/>
      <c r="K850" s="393"/>
      <c r="L850" s="393"/>
      <c r="M850" s="393"/>
      <c r="N850" s="393"/>
      <c r="O850" s="393"/>
      <c r="P850" s="393"/>
      <c r="Q850" s="393"/>
      <c r="R850" s="393"/>
      <c r="S850" s="393"/>
      <c r="T850" s="393"/>
      <c r="U850" s="393"/>
      <c r="V850" s="393"/>
      <c r="W850" s="393"/>
      <c r="X850" s="393"/>
      <c r="Y850" s="393"/>
      <c r="Z850" s="393"/>
    </row>
    <row r="851">
      <c r="A851" s="393"/>
      <c r="B851" s="393"/>
      <c r="C851" s="393"/>
      <c r="D851" s="393"/>
      <c r="E851" s="393"/>
      <c r="F851" s="393"/>
      <c r="G851" s="393"/>
      <c r="H851" s="393"/>
      <c r="I851" s="393"/>
      <c r="J851" s="393"/>
      <c r="K851" s="393"/>
      <c r="L851" s="393"/>
      <c r="M851" s="393"/>
      <c r="N851" s="393"/>
      <c r="O851" s="393"/>
      <c r="P851" s="393"/>
      <c r="Q851" s="393"/>
      <c r="R851" s="393"/>
      <c r="S851" s="393"/>
      <c r="T851" s="393"/>
      <c r="U851" s="393"/>
      <c r="V851" s="393"/>
      <c r="W851" s="393"/>
      <c r="X851" s="393"/>
      <c r="Y851" s="393"/>
      <c r="Z851" s="393"/>
    </row>
    <row r="852">
      <c r="A852" s="393"/>
      <c r="B852" s="393"/>
      <c r="C852" s="393"/>
      <c r="D852" s="393"/>
      <c r="E852" s="393"/>
      <c r="F852" s="393"/>
      <c r="G852" s="393"/>
      <c r="H852" s="393"/>
      <c r="I852" s="393"/>
      <c r="J852" s="393"/>
      <c r="K852" s="393"/>
      <c r="L852" s="393"/>
      <c r="M852" s="393"/>
      <c r="N852" s="393"/>
      <c r="O852" s="393"/>
      <c r="P852" s="393"/>
      <c r="Q852" s="393"/>
      <c r="R852" s="393"/>
      <c r="S852" s="393"/>
      <c r="T852" s="393"/>
      <c r="U852" s="393"/>
      <c r="V852" s="393"/>
      <c r="W852" s="393"/>
      <c r="X852" s="393"/>
      <c r="Y852" s="393"/>
      <c r="Z852" s="393"/>
    </row>
    <row r="853">
      <c r="A853" s="393"/>
      <c r="B853" s="393"/>
      <c r="C853" s="393"/>
      <c r="D853" s="393"/>
      <c r="E853" s="393"/>
      <c r="F853" s="393"/>
      <c r="G853" s="393"/>
      <c r="H853" s="393"/>
      <c r="I853" s="393"/>
      <c r="J853" s="393"/>
      <c r="K853" s="393"/>
      <c r="L853" s="393"/>
      <c r="M853" s="393"/>
      <c r="N853" s="393"/>
      <c r="O853" s="393"/>
      <c r="P853" s="393"/>
      <c r="Q853" s="393"/>
      <c r="R853" s="393"/>
      <c r="S853" s="393"/>
      <c r="T853" s="393"/>
      <c r="U853" s="393"/>
      <c r="V853" s="393"/>
      <c r="W853" s="393"/>
      <c r="X853" s="393"/>
      <c r="Y853" s="393"/>
      <c r="Z853" s="393"/>
    </row>
    <row r="854">
      <c r="A854" s="393"/>
      <c r="B854" s="393"/>
      <c r="C854" s="393"/>
      <c r="D854" s="393"/>
      <c r="E854" s="393"/>
      <c r="F854" s="393"/>
      <c r="G854" s="393"/>
      <c r="H854" s="393"/>
      <c r="I854" s="393"/>
      <c r="J854" s="393"/>
      <c r="K854" s="393"/>
      <c r="L854" s="393"/>
      <c r="M854" s="393"/>
      <c r="N854" s="393"/>
      <c r="O854" s="393"/>
      <c r="P854" s="393"/>
      <c r="Q854" s="393"/>
      <c r="R854" s="393"/>
      <c r="S854" s="393"/>
      <c r="T854" s="393"/>
      <c r="U854" s="393"/>
      <c r="V854" s="393"/>
      <c r="W854" s="393"/>
      <c r="X854" s="393"/>
      <c r="Y854" s="393"/>
      <c r="Z854" s="393"/>
    </row>
    <row r="855">
      <c r="A855" s="393"/>
      <c r="B855" s="393"/>
      <c r="C855" s="393"/>
      <c r="D855" s="393"/>
      <c r="E855" s="393"/>
      <c r="F855" s="393"/>
      <c r="G855" s="393"/>
      <c r="H855" s="393"/>
      <c r="I855" s="393"/>
      <c r="J855" s="393"/>
      <c r="K855" s="393"/>
      <c r="L855" s="393"/>
      <c r="M855" s="393"/>
      <c r="N855" s="393"/>
      <c r="O855" s="393"/>
      <c r="P855" s="393"/>
      <c r="Q855" s="393"/>
      <c r="R855" s="393"/>
      <c r="S855" s="393"/>
      <c r="T855" s="393"/>
      <c r="U855" s="393"/>
      <c r="V855" s="393"/>
      <c r="W855" s="393"/>
      <c r="X855" s="393"/>
      <c r="Y855" s="393"/>
      <c r="Z855" s="393"/>
    </row>
    <row r="856">
      <c r="A856" s="393"/>
      <c r="B856" s="393"/>
      <c r="C856" s="393"/>
      <c r="D856" s="393"/>
      <c r="E856" s="393"/>
      <c r="F856" s="393"/>
      <c r="G856" s="393"/>
      <c r="H856" s="393"/>
      <c r="I856" s="393"/>
      <c r="J856" s="393"/>
      <c r="K856" s="393"/>
      <c r="L856" s="393"/>
      <c r="M856" s="393"/>
      <c r="N856" s="393"/>
      <c r="O856" s="393"/>
      <c r="P856" s="393"/>
      <c r="Q856" s="393"/>
      <c r="R856" s="393"/>
      <c r="S856" s="393"/>
      <c r="T856" s="393"/>
      <c r="U856" s="393"/>
      <c r="V856" s="393"/>
      <c r="W856" s="393"/>
      <c r="X856" s="393"/>
      <c r="Y856" s="393"/>
      <c r="Z856" s="393"/>
    </row>
    <row r="857">
      <c r="A857" s="393"/>
      <c r="B857" s="393"/>
      <c r="C857" s="393"/>
      <c r="D857" s="393"/>
      <c r="E857" s="393"/>
      <c r="F857" s="393"/>
      <c r="G857" s="393"/>
      <c r="H857" s="393"/>
      <c r="I857" s="393"/>
      <c r="J857" s="393"/>
      <c r="K857" s="393"/>
      <c r="L857" s="393"/>
      <c r="M857" s="393"/>
      <c r="N857" s="393"/>
      <c r="O857" s="393"/>
      <c r="P857" s="393"/>
      <c r="Q857" s="393"/>
      <c r="R857" s="393"/>
      <c r="S857" s="393"/>
      <c r="T857" s="393"/>
      <c r="U857" s="393"/>
      <c r="V857" s="393"/>
      <c r="W857" s="393"/>
      <c r="X857" s="393"/>
      <c r="Y857" s="393"/>
      <c r="Z857" s="393"/>
    </row>
    <row r="858">
      <c r="A858" s="393"/>
      <c r="B858" s="393"/>
      <c r="C858" s="393"/>
      <c r="D858" s="393"/>
      <c r="E858" s="393"/>
      <c r="F858" s="393"/>
      <c r="G858" s="393"/>
      <c r="H858" s="393"/>
      <c r="I858" s="393"/>
      <c r="J858" s="393"/>
      <c r="K858" s="393"/>
      <c r="L858" s="393"/>
      <c r="M858" s="393"/>
      <c r="N858" s="393"/>
      <c r="O858" s="393"/>
      <c r="P858" s="393"/>
      <c r="Q858" s="393"/>
      <c r="R858" s="393"/>
      <c r="S858" s="393"/>
      <c r="T858" s="393"/>
      <c r="U858" s="393"/>
      <c r="V858" s="393"/>
      <c r="W858" s="393"/>
      <c r="X858" s="393"/>
      <c r="Y858" s="393"/>
      <c r="Z858" s="393"/>
    </row>
    <row r="859">
      <c r="A859" s="393"/>
      <c r="B859" s="393"/>
      <c r="C859" s="393"/>
      <c r="D859" s="393"/>
      <c r="E859" s="393"/>
      <c r="F859" s="393"/>
      <c r="G859" s="393"/>
      <c r="H859" s="393"/>
      <c r="I859" s="393"/>
      <c r="J859" s="393"/>
      <c r="K859" s="393"/>
      <c r="L859" s="393"/>
      <c r="M859" s="393"/>
      <c r="N859" s="393"/>
      <c r="O859" s="393"/>
      <c r="P859" s="393"/>
      <c r="Q859" s="393"/>
      <c r="R859" s="393"/>
      <c r="S859" s="393"/>
      <c r="T859" s="393"/>
      <c r="U859" s="393"/>
      <c r="V859" s="393"/>
      <c r="W859" s="393"/>
      <c r="X859" s="393"/>
      <c r="Y859" s="393"/>
      <c r="Z859" s="393"/>
    </row>
    <row r="860">
      <c r="A860" s="393"/>
      <c r="B860" s="393"/>
      <c r="C860" s="393"/>
      <c r="D860" s="393"/>
      <c r="E860" s="393"/>
      <c r="F860" s="393"/>
      <c r="G860" s="393"/>
      <c r="H860" s="393"/>
      <c r="I860" s="393"/>
      <c r="J860" s="393"/>
      <c r="K860" s="393"/>
      <c r="L860" s="393"/>
      <c r="M860" s="393"/>
      <c r="N860" s="393"/>
      <c r="O860" s="393"/>
      <c r="P860" s="393"/>
      <c r="Q860" s="393"/>
      <c r="R860" s="393"/>
      <c r="S860" s="393"/>
      <c r="T860" s="393"/>
      <c r="U860" s="393"/>
      <c r="V860" s="393"/>
      <c r="W860" s="393"/>
      <c r="X860" s="393"/>
      <c r="Y860" s="393"/>
      <c r="Z860" s="393"/>
    </row>
    <row r="861">
      <c r="A861" s="393"/>
      <c r="B861" s="393"/>
      <c r="C861" s="393"/>
      <c r="D861" s="393"/>
      <c r="E861" s="393"/>
      <c r="F861" s="393"/>
      <c r="G861" s="393"/>
      <c r="H861" s="393"/>
      <c r="I861" s="393"/>
      <c r="J861" s="393"/>
      <c r="K861" s="393"/>
      <c r="L861" s="393"/>
      <c r="M861" s="393"/>
      <c r="N861" s="393"/>
      <c r="O861" s="393"/>
      <c r="P861" s="393"/>
      <c r="Q861" s="393"/>
      <c r="R861" s="393"/>
      <c r="S861" s="393"/>
      <c r="T861" s="393"/>
      <c r="U861" s="393"/>
      <c r="V861" s="393"/>
      <c r="W861" s="393"/>
      <c r="X861" s="393"/>
      <c r="Y861" s="393"/>
      <c r="Z861" s="393"/>
    </row>
    <row r="862">
      <c r="A862" s="393"/>
      <c r="B862" s="393"/>
      <c r="C862" s="393"/>
      <c r="D862" s="393"/>
      <c r="E862" s="393"/>
      <c r="F862" s="393"/>
      <c r="G862" s="393"/>
      <c r="H862" s="393"/>
      <c r="I862" s="393"/>
      <c r="J862" s="393"/>
      <c r="K862" s="393"/>
      <c r="L862" s="393"/>
      <c r="M862" s="393"/>
      <c r="N862" s="393"/>
      <c r="O862" s="393"/>
      <c r="P862" s="393"/>
      <c r="Q862" s="393"/>
      <c r="R862" s="393"/>
      <c r="S862" s="393"/>
      <c r="T862" s="393"/>
      <c r="U862" s="393"/>
      <c r="V862" s="393"/>
      <c r="W862" s="393"/>
      <c r="X862" s="393"/>
      <c r="Y862" s="393"/>
      <c r="Z862" s="393"/>
    </row>
    <row r="863">
      <c r="A863" s="393"/>
      <c r="B863" s="393"/>
      <c r="C863" s="393"/>
      <c r="D863" s="393"/>
      <c r="E863" s="393"/>
      <c r="F863" s="393"/>
      <c r="G863" s="393"/>
      <c r="H863" s="393"/>
      <c r="I863" s="393"/>
      <c r="J863" s="393"/>
      <c r="K863" s="393"/>
      <c r="L863" s="393"/>
      <c r="M863" s="393"/>
      <c r="N863" s="393"/>
      <c r="O863" s="393"/>
      <c r="P863" s="393"/>
      <c r="Q863" s="393"/>
      <c r="R863" s="393"/>
      <c r="S863" s="393"/>
      <c r="T863" s="393"/>
      <c r="U863" s="393"/>
      <c r="V863" s="393"/>
      <c r="W863" s="393"/>
      <c r="X863" s="393"/>
      <c r="Y863" s="393"/>
      <c r="Z863" s="393"/>
    </row>
    <row r="864">
      <c r="A864" s="393"/>
      <c r="B864" s="393"/>
      <c r="C864" s="393"/>
      <c r="D864" s="393"/>
      <c r="E864" s="393"/>
      <c r="F864" s="393"/>
      <c r="G864" s="393"/>
      <c r="H864" s="393"/>
      <c r="I864" s="393"/>
      <c r="J864" s="393"/>
      <c r="K864" s="393"/>
      <c r="L864" s="393"/>
      <c r="M864" s="393"/>
      <c r="N864" s="393"/>
      <c r="O864" s="393"/>
      <c r="P864" s="393"/>
      <c r="Q864" s="393"/>
      <c r="R864" s="393"/>
      <c r="S864" s="393"/>
      <c r="T864" s="393"/>
      <c r="U864" s="393"/>
      <c r="V864" s="393"/>
      <c r="W864" s="393"/>
      <c r="X864" s="393"/>
      <c r="Y864" s="393"/>
      <c r="Z864" s="393"/>
    </row>
    <row r="865">
      <c r="A865" s="393"/>
      <c r="B865" s="393"/>
      <c r="C865" s="393"/>
      <c r="D865" s="393"/>
      <c r="E865" s="393"/>
      <c r="F865" s="393"/>
      <c r="G865" s="393"/>
      <c r="H865" s="393"/>
      <c r="I865" s="393"/>
      <c r="J865" s="393"/>
      <c r="K865" s="393"/>
      <c r="L865" s="393"/>
      <c r="M865" s="393"/>
      <c r="N865" s="393"/>
      <c r="O865" s="393"/>
      <c r="P865" s="393"/>
      <c r="Q865" s="393"/>
      <c r="R865" s="393"/>
      <c r="S865" s="393"/>
      <c r="T865" s="393"/>
      <c r="U865" s="393"/>
      <c r="V865" s="393"/>
      <c r="W865" s="393"/>
      <c r="X865" s="393"/>
      <c r="Y865" s="393"/>
      <c r="Z865" s="393"/>
    </row>
    <row r="866">
      <c r="A866" s="393"/>
      <c r="B866" s="393"/>
      <c r="C866" s="393"/>
      <c r="D866" s="393"/>
      <c r="E866" s="393"/>
      <c r="F866" s="393"/>
      <c r="G866" s="393"/>
      <c r="H866" s="393"/>
      <c r="I866" s="393"/>
      <c r="J866" s="393"/>
      <c r="K866" s="393"/>
      <c r="L866" s="393"/>
      <c r="M866" s="393"/>
      <c r="N866" s="393"/>
      <c r="O866" s="393"/>
      <c r="P866" s="393"/>
      <c r="Q866" s="393"/>
      <c r="R866" s="393"/>
      <c r="S866" s="393"/>
      <c r="T866" s="393"/>
      <c r="U866" s="393"/>
      <c r="V866" s="393"/>
      <c r="W866" s="393"/>
      <c r="X866" s="393"/>
      <c r="Y866" s="393"/>
      <c r="Z866" s="393"/>
    </row>
    <row r="867">
      <c r="A867" s="393"/>
      <c r="B867" s="393"/>
      <c r="C867" s="393"/>
      <c r="D867" s="393"/>
      <c r="E867" s="393"/>
      <c r="F867" s="393"/>
      <c r="G867" s="393"/>
      <c r="H867" s="393"/>
      <c r="I867" s="393"/>
      <c r="J867" s="393"/>
      <c r="K867" s="393"/>
      <c r="L867" s="393"/>
      <c r="M867" s="393"/>
      <c r="N867" s="393"/>
      <c r="O867" s="393"/>
      <c r="P867" s="393"/>
      <c r="Q867" s="393"/>
      <c r="R867" s="393"/>
      <c r="S867" s="393"/>
      <c r="T867" s="393"/>
      <c r="U867" s="393"/>
      <c r="V867" s="393"/>
      <c r="W867" s="393"/>
      <c r="X867" s="393"/>
      <c r="Y867" s="393"/>
      <c r="Z867" s="393"/>
    </row>
    <row r="868">
      <c r="A868" s="393"/>
      <c r="B868" s="393"/>
      <c r="C868" s="393"/>
      <c r="D868" s="393"/>
      <c r="E868" s="393"/>
      <c r="F868" s="393"/>
      <c r="G868" s="393"/>
      <c r="H868" s="393"/>
      <c r="I868" s="393"/>
      <c r="J868" s="393"/>
      <c r="K868" s="393"/>
      <c r="L868" s="393"/>
      <c r="M868" s="393"/>
      <c r="N868" s="393"/>
      <c r="O868" s="393"/>
      <c r="P868" s="393"/>
      <c r="Q868" s="393"/>
      <c r="R868" s="393"/>
      <c r="S868" s="393"/>
      <c r="T868" s="393"/>
      <c r="U868" s="393"/>
      <c r="V868" s="393"/>
      <c r="W868" s="393"/>
      <c r="X868" s="393"/>
      <c r="Y868" s="393"/>
      <c r="Z868" s="393"/>
    </row>
    <row r="869">
      <c r="A869" s="393"/>
      <c r="B869" s="393"/>
      <c r="C869" s="393"/>
      <c r="D869" s="393"/>
      <c r="E869" s="393"/>
      <c r="F869" s="393"/>
      <c r="G869" s="393"/>
      <c r="H869" s="393"/>
      <c r="I869" s="393"/>
      <c r="J869" s="393"/>
      <c r="K869" s="393"/>
      <c r="L869" s="393"/>
      <c r="M869" s="393"/>
      <c r="N869" s="393"/>
      <c r="O869" s="393"/>
      <c r="P869" s="393"/>
      <c r="Q869" s="393"/>
      <c r="R869" s="393"/>
      <c r="S869" s="393"/>
      <c r="T869" s="393"/>
      <c r="U869" s="393"/>
      <c r="V869" s="393"/>
      <c r="W869" s="393"/>
      <c r="X869" s="393"/>
      <c r="Y869" s="393"/>
      <c r="Z869" s="393"/>
    </row>
    <row r="870">
      <c r="A870" s="393"/>
      <c r="B870" s="393"/>
      <c r="C870" s="393"/>
      <c r="D870" s="393"/>
      <c r="E870" s="393"/>
      <c r="F870" s="393"/>
      <c r="G870" s="393"/>
      <c r="H870" s="393"/>
      <c r="I870" s="393"/>
      <c r="J870" s="393"/>
      <c r="K870" s="393"/>
      <c r="L870" s="393"/>
      <c r="M870" s="393"/>
      <c r="N870" s="393"/>
      <c r="O870" s="393"/>
      <c r="P870" s="393"/>
      <c r="Q870" s="393"/>
      <c r="R870" s="393"/>
      <c r="S870" s="393"/>
      <c r="T870" s="393"/>
      <c r="U870" s="393"/>
      <c r="V870" s="393"/>
      <c r="W870" s="393"/>
      <c r="X870" s="393"/>
      <c r="Y870" s="393"/>
      <c r="Z870" s="393"/>
    </row>
    <row r="871">
      <c r="A871" s="393"/>
      <c r="B871" s="393"/>
      <c r="C871" s="393"/>
      <c r="D871" s="393"/>
      <c r="E871" s="393"/>
      <c r="F871" s="393"/>
      <c r="G871" s="393"/>
      <c r="H871" s="393"/>
      <c r="I871" s="393"/>
      <c r="J871" s="393"/>
      <c r="K871" s="393"/>
      <c r="L871" s="393"/>
      <c r="M871" s="393"/>
      <c r="N871" s="393"/>
      <c r="O871" s="393"/>
      <c r="P871" s="393"/>
      <c r="Q871" s="393"/>
      <c r="R871" s="393"/>
      <c r="S871" s="393"/>
      <c r="T871" s="393"/>
      <c r="U871" s="393"/>
      <c r="V871" s="393"/>
      <c r="W871" s="393"/>
      <c r="X871" s="393"/>
      <c r="Y871" s="393"/>
      <c r="Z871" s="393"/>
    </row>
    <row r="872">
      <c r="A872" s="393"/>
      <c r="B872" s="393"/>
      <c r="C872" s="393"/>
      <c r="D872" s="393"/>
      <c r="E872" s="393"/>
      <c r="F872" s="393"/>
      <c r="G872" s="393"/>
      <c r="H872" s="393"/>
      <c r="I872" s="393"/>
      <c r="J872" s="393"/>
      <c r="K872" s="393"/>
      <c r="L872" s="393"/>
      <c r="M872" s="393"/>
      <c r="N872" s="393"/>
      <c r="O872" s="393"/>
      <c r="P872" s="393"/>
      <c r="Q872" s="393"/>
      <c r="R872" s="393"/>
      <c r="S872" s="393"/>
      <c r="T872" s="393"/>
      <c r="U872" s="393"/>
      <c r="V872" s="393"/>
      <c r="W872" s="393"/>
      <c r="X872" s="393"/>
      <c r="Y872" s="393"/>
      <c r="Z872" s="393"/>
    </row>
    <row r="873">
      <c r="A873" s="393"/>
      <c r="B873" s="393"/>
      <c r="C873" s="393"/>
      <c r="D873" s="393"/>
      <c r="E873" s="393"/>
      <c r="F873" s="393"/>
      <c r="G873" s="393"/>
      <c r="H873" s="393"/>
      <c r="I873" s="393"/>
      <c r="J873" s="393"/>
      <c r="K873" s="393"/>
      <c r="L873" s="393"/>
      <c r="M873" s="393"/>
      <c r="N873" s="393"/>
      <c r="O873" s="393"/>
      <c r="P873" s="393"/>
      <c r="Q873" s="393"/>
      <c r="R873" s="393"/>
      <c r="S873" s="393"/>
      <c r="T873" s="393"/>
      <c r="U873" s="393"/>
      <c r="V873" s="393"/>
      <c r="W873" s="393"/>
      <c r="X873" s="393"/>
      <c r="Y873" s="393"/>
      <c r="Z873" s="393"/>
    </row>
    <row r="874">
      <c r="A874" s="393"/>
      <c r="B874" s="393"/>
      <c r="C874" s="393"/>
      <c r="D874" s="393"/>
      <c r="E874" s="393"/>
      <c r="F874" s="393"/>
      <c r="G874" s="393"/>
      <c r="H874" s="393"/>
      <c r="I874" s="393"/>
      <c r="J874" s="393"/>
      <c r="K874" s="393"/>
      <c r="L874" s="393"/>
      <c r="M874" s="393"/>
      <c r="N874" s="393"/>
      <c r="O874" s="393"/>
      <c r="P874" s="393"/>
      <c r="Q874" s="393"/>
      <c r="R874" s="393"/>
      <c r="S874" s="393"/>
      <c r="T874" s="393"/>
      <c r="U874" s="393"/>
      <c r="V874" s="393"/>
      <c r="W874" s="393"/>
      <c r="X874" s="393"/>
      <c r="Y874" s="393"/>
      <c r="Z874" s="393"/>
    </row>
    <row r="875">
      <c r="A875" s="393"/>
      <c r="B875" s="393"/>
      <c r="C875" s="393"/>
      <c r="D875" s="393"/>
      <c r="E875" s="393"/>
      <c r="F875" s="393"/>
      <c r="G875" s="393"/>
      <c r="H875" s="393"/>
      <c r="I875" s="393"/>
      <c r="J875" s="393"/>
      <c r="K875" s="393"/>
      <c r="L875" s="393"/>
      <c r="M875" s="393"/>
      <c r="N875" s="393"/>
      <c r="O875" s="393"/>
      <c r="P875" s="393"/>
      <c r="Q875" s="393"/>
      <c r="R875" s="393"/>
      <c r="S875" s="393"/>
      <c r="T875" s="393"/>
      <c r="U875" s="393"/>
      <c r="V875" s="393"/>
      <c r="W875" s="393"/>
      <c r="X875" s="393"/>
      <c r="Y875" s="393"/>
      <c r="Z875" s="393"/>
    </row>
    <row r="876">
      <c r="A876" s="393"/>
      <c r="B876" s="393"/>
      <c r="C876" s="393"/>
      <c r="D876" s="393"/>
      <c r="E876" s="393"/>
      <c r="F876" s="393"/>
      <c r="G876" s="393"/>
      <c r="H876" s="393"/>
      <c r="I876" s="393"/>
      <c r="J876" s="393"/>
      <c r="K876" s="393"/>
      <c r="L876" s="393"/>
      <c r="M876" s="393"/>
      <c r="N876" s="393"/>
      <c r="O876" s="393"/>
      <c r="P876" s="393"/>
      <c r="Q876" s="393"/>
      <c r="R876" s="393"/>
      <c r="S876" s="393"/>
      <c r="T876" s="393"/>
      <c r="U876" s="393"/>
      <c r="V876" s="393"/>
      <c r="W876" s="393"/>
      <c r="X876" s="393"/>
      <c r="Y876" s="393"/>
      <c r="Z876" s="393"/>
    </row>
    <row r="877">
      <c r="A877" s="393"/>
      <c r="B877" s="393"/>
      <c r="C877" s="393"/>
      <c r="D877" s="393"/>
      <c r="E877" s="393"/>
      <c r="F877" s="393"/>
      <c r="G877" s="393"/>
      <c r="H877" s="393"/>
      <c r="I877" s="393"/>
      <c r="J877" s="393"/>
      <c r="K877" s="393"/>
      <c r="L877" s="393"/>
      <c r="M877" s="393"/>
      <c r="N877" s="393"/>
      <c r="O877" s="393"/>
      <c r="P877" s="393"/>
      <c r="Q877" s="393"/>
      <c r="R877" s="393"/>
      <c r="S877" s="393"/>
      <c r="T877" s="393"/>
      <c r="U877" s="393"/>
      <c r="V877" s="393"/>
      <c r="W877" s="393"/>
      <c r="X877" s="393"/>
      <c r="Y877" s="393"/>
      <c r="Z877" s="393"/>
    </row>
    <row r="878">
      <c r="A878" s="393"/>
      <c r="B878" s="393"/>
      <c r="C878" s="393"/>
      <c r="D878" s="393"/>
      <c r="E878" s="393"/>
      <c r="F878" s="393"/>
      <c r="G878" s="393"/>
      <c r="H878" s="393"/>
      <c r="I878" s="393"/>
      <c r="J878" s="393"/>
      <c r="K878" s="393"/>
      <c r="L878" s="393"/>
      <c r="M878" s="393"/>
      <c r="N878" s="393"/>
      <c r="O878" s="393"/>
      <c r="P878" s="393"/>
      <c r="Q878" s="393"/>
      <c r="R878" s="393"/>
      <c r="S878" s="393"/>
      <c r="T878" s="393"/>
      <c r="U878" s="393"/>
      <c r="V878" s="393"/>
      <c r="W878" s="393"/>
      <c r="X878" s="393"/>
      <c r="Y878" s="393"/>
      <c r="Z878" s="393"/>
    </row>
    <row r="879">
      <c r="A879" s="393"/>
      <c r="B879" s="393"/>
      <c r="C879" s="393"/>
      <c r="D879" s="393"/>
      <c r="E879" s="393"/>
      <c r="F879" s="393"/>
      <c r="G879" s="393"/>
      <c r="H879" s="393"/>
      <c r="I879" s="393"/>
      <c r="J879" s="393"/>
      <c r="K879" s="393"/>
      <c r="L879" s="393"/>
      <c r="M879" s="393"/>
      <c r="N879" s="393"/>
      <c r="O879" s="393"/>
      <c r="P879" s="393"/>
      <c r="Q879" s="393"/>
      <c r="R879" s="393"/>
      <c r="S879" s="393"/>
      <c r="T879" s="393"/>
      <c r="U879" s="393"/>
      <c r="V879" s="393"/>
      <c r="W879" s="393"/>
      <c r="X879" s="393"/>
      <c r="Y879" s="393"/>
      <c r="Z879" s="393"/>
    </row>
    <row r="880">
      <c r="A880" s="393"/>
      <c r="B880" s="393"/>
      <c r="C880" s="393"/>
      <c r="D880" s="393"/>
      <c r="E880" s="393"/>
      <c r="F880" s="393"/>
      <c r="G880" s="393"/>
      <c r="H880" s="393"/>
      <c r="I880" s="393"/>
      <c r="J880" s="393"/>
      <c r="K880" s="393"/>
      <c r="L880" s="393"/>
      <c r="M880" s="393"/>
      <c r="N880" s="393"/>
      <c r="O880" s="393"/>
      <c r="P880" s="393"/>
      <c r="Q880" s="393"/>
      <c r="R880" s="393"/>
      <c r="S880" s="393"/>
      <c r="T880" s="393"/>
      <c r="U880" s="393"/>
      <c r="V880" s="393"/>
      <c r="W880" s="393"/>
      <c r="X880" s="393"/>
      <c r="Y880" s="393"/>
      <c r="Z880" s="393"/>
    </row>
    <row r="881">
      <c r="A881" s="393"/>
      <c r="B881" s="393"/>
      <c r="C881" s="393"/>
      <c r="D881" s="393"/>
      <c r="E881" s="393"/>
      <c r="F881" s="393"/>
      <c r="G881" s="393"/>
      <c r="H881" s="393"/>
      <c r="I881" s="393"/>
      <c r="J881" s="393"/>
      <c r="K881" s="393"/>
      <c r="L881" s="393"/>
      <c r="M881" s="393"/>
      <c r="N881" s="393"/>
      <c r="O881" s="393"/>
      <c r="P881" s="393"/>
      <c r="Q881" s="393"/>
      <c r="R881" s="393"/>
      <c r="S881" s="393"/>
      <c r="T881" s="393"/>
      <c r="U881" s="393"/>
      <c r="V881" s="393"/>
      <c r="W881" s="393"/>
      <c r="X881" s="393"/>
      <c r="Y881" s="393"/>
      <c r="Z881" s="393"/>
    </row>
    <row r="882">
      <c r="A882" s="393"/>
      <c r="B882" s="393"/>
      <c r="C882" s="393"/>
      <c r="D882" s="393"/>
      <c r="E882" s="393"/>
      <c r="F882" s="393"/>
      <c r="G882" s="393"/>
      <c r="H882" s="393"/>
      <c r="I882" s="393"/>
      <c r="J882" s="393"/>
      <c r="K882" s="393"/>
      <c r="L882" s="393"/>
      <c r="M882" s="393"/>
      <c r="N882" s="393"/>
      <c r="O882" s="393"/>
      <c r="P882" s="393"/>
      <c r="Q882" s="393"/>
      <c r="R882" s="393"/>
      <c r="S882" s="393"/>
      <c r="T882" s="393"/>
      <c r="U882" s="393"/>
      <c r="V882" s="393"/>
      <c r="W882" s="393"/>
      <c r="X882" s="393"/>
      <c r="Y882" s="393"/>
      <c r="Z882" s="393"/>
    </row>
    <row r="883">
      <c r="A883" s="393"/>
      <c r="B883" s="393"/>
      <c r="C883" s="393"/>
      <c r="D883" s="393"/>
      <c r="E883" s="393"/>
      <c r="F883" s="393"/>
      <c r="G883" s="393"/>
      <c r="H883" s="393"/>
      <c r="I883" s="393"/>
      <c r="J883" s="393"/>
      <c r="K883" s="393"/>
      <c r="L883" s="393"/>
      <c r="M883" s="393"/>
      <c r="N883" s="393"/>
      <c r="O883" s="393"/>
      <c r="P883" s="393"/>
      <c r="Q883" s="393"/>
      <c r="R883" s="393"/>
      <c r="S883" s="393"/>
      <c r="T883" s="393"/>
      <c r="U883" s="393"/>
      <c r="V883" s="393"/>
      <c r="W883" s="393"/>
      <c r="X883" s="393"/>
      <c r="Y883" s="393"/>
      <c r="Z883" s="393"/>
    </row>
    <row r="884">
      <c r="A884" s="393"/>
      <c r="B884" s="393"/>
      <c r="C884" s="393"/>
      <c r="D884" s="393"/>
      <c r="E884" s="393"/>
      <c r="F884" s="393"/>
      <c r="G884" s="393"/>
      <c r="H884" s="393"/>
      <c r="I884" s="393"/>
      <c r="J884" s="393"/>
      <c r="K884" s="393"/>
      <c r="L884" s="393"/>
      <c r="M884" s="393"/>
      <c r="N884" s="393"/>
      <c r="O884" s="393"/>
      <c r="P884" s="393"/>
      <c r="Q884" s="393"/>
      <c r="R884" s="393"/>
      <c r="S884" s="393"/>
      <c r="T884" s="393"/>
      <c r="U884" s="393"/>
      <c r="V884" s="393"/>
      <c r="W884" s="393"/>
      <c r="X884" s="393"/>
      <c r="Y884" s="393"/>
      <c r="Z884" s="393"/>
    </row>
    <row r="885">
      <c r="A885" s="393"/>
      <c r="B885" s="393"/>
      <c r="C885" s="393"/>
      <c r="D885" s="393"/>
      <c r="E885" s="393"/>
      <c r="F885" s="393"/>
      <c r="G885" s="393"/>
      <c r="H885" s="393"/>
      <c r="I885" s="393"/>
      <c r="J885" s="393"/>
      <c r="K885" s="393"/>
      <c r="L885" s="393"/>
      <c r="M885" s="393"/>
      <c r="N885" s="393"/>
      <c r="O885" s="393"/>
      <c r="P885" s="393"/>
      <c r="Q885" s="393"/>
      <c r="R885" s="393"/>
      <c r="S885" s="393"/>
      <c r="T885" s="393"/>
      <c r="U885" s="393"/>
      <c r="V885" s="393"/>
      <c r="W885" s="393"/>
      <c r="X885" s="393"/>
      <c r="Y885" s="393"/>
      <c r="Z885" s="393"/>
    </row>
    <row r="886">
      <c r="A886" s="393"/>
      <c r="B886" s="393"/>
      <c r="C886" s="393"/>
      <c r="D886" s="393"/>
      <c r="E886" s="393"/>
      <c r="F886" s="393"/>
      <c r="G886" s="393"/>
      <c r="H886" s="393"/>
      <c r="I886" s="393"/>
      <c r="J886" s="393"/>
      <c r="K886" s="393"/>
      <c r="L886" s="393"/>
      <c r="M886" s="393"/>
      <c r="N886" s="393"/>
      <c r="O886" s="393"/>
      <c r="P886" s="393"/>
      <c r="Q886" s="393"/>
      <c r="R886" s="393"/>
      <c r="S886" s="393"/>
      <c r="T886" s="393"/>
      <c r="U886" s="393"/>
      <c r="V886" s="393"/>
      <c r="W886" s="393"/>
      <c r="X886" s="393"/>
      <c r="Y886" s="393"/>
      <c r="Z886" s="393"/>
    </row>
    <row r="887">
      <c r="A887" s="393"/>
      <c r="B887" s="393"/>
      <c r="C887" s="393"/>
      <c r="D887" s="393"/>
      <c r="E887" s="393"/>
      <c r="F887" s="393"/>
      <c r="G887" s="393"/>
      <c r="H887" s="393"/>
      <c r="I887" s="393"/>
      <c r="J887" s="393"/>
      <c r="K887" s="393"/>
      <c r="L887" s="393"/>
      <c r="M887" s="393"/>
      <c r="N887" s="393"/>
      <c r="O887" s="393"/>
      <c r="P887" s="393"/>
      <c r="Q887" s="393"/>
      <c r="R887" s="393"/>
      <c r="S887" s="393"/>
      <c r="T887" s="393"/>
      <c r="U887" s="393"/>
      <c r="V887" s="393"/>
      <c r="W887" s="393"/>
      <c r="X887" s="393"/>
      <c r="Y887" s="393"/>
      <c r="Z887" s="393"/>
    </row>
    <row r="888">
      <c r="A888" s="393"/>
      <c r="B888" s="393"/>
      <c r="C888" s="393"/>
      <c r="D888" s="393"/>
      <c r="E888" s="393"/>
      <c r="F888" s="393"/>
      <c r="G888" s="393"/>
      <c r="H888" s="393"/>
      <c r="I888" s="393"/>
      <c r="J888" s="393"/>
      <c r="K888" s="393"/>
      <c r="L888" s="393"/>
      <c r="M888" s="393"/>
      <c r="N888" s="393"/>
      <c r="O888" s="393"/>
      <c r="P888" s="393"/>
      <c r="Q888" s="393"/>
      <c r="R888" s="393"/>
      <c r="S888" s="393"/>
      <c r="T888" s="393"/>
      <c r="U888" s="393"/>
      <c r="V888" s="393"/>
      <c r="W888" s="393"/>
      <c r="X888" s="393"/>
      <c r="Y888" s="393"/>
      <c r="Z888" s="393"/>
    </row>
    <row r="889">
      <c r="A889" s="393"/>
      <c r="B889" s="393"/>
      <c r="C889" s="393"/>
      <c r="D889" s="393"/>
      <c r="E889" s="393"/>
      <c r="F889" s="393"/>
      <c r="G889" s="393"/>
      <c r="H889" s="393"/>
      <c r="I889" s="393"/>
      <c r="J889" s="393"/>
      <c r="K889" s="393"/>
      <c r="L889" s="393"/>
      <c r="M889" s="393"/>
      <c r="N889" s="393"/>
      <c r="O889" s="393"/>
      <c r="P889" s="393"/>
      <c r="Q889" s="393"/>
      <c r="R889" s="393"/>
      <c r="S889" s="393"/>
      <c r="T889" s="393"/>
      <c r="U889" s="393"/>
      <c r="V889" s="393"/>
      <c r="W889" s="393"/>
      <c r="X889" s="393"/>
      <c r="Y889" s="393"/>
      <c r="Z889" s="393"/>
    </row>
    <row r="890">
      <c r="A890" s="393"/>
      <c r="B890" s="393"/>
      <c r="C890" s="393"/>
      <c r="D890" s="393"/>
      <c r="E890" s="393"/>
      <c r="F890" s="393"/>
      <c r="G890" s="393"/>
      <c r="H890" s="393"/>
      <c r="I890" s="393"/>
      <c r="J890" s="393"/>
      <c r="K890" s="393"/>
      <c r="L890" s="393"/>
      <c r="M890" s="393"/>
      <c r="N890" s="393"/>
      <c r="O890" s="393"/>
      <c r="P890" s="393"/>
      <c r="Q890" s="393"/>
      <c r="R890" s="393"/>
      <c r="S890" s="393"/>
      <c r="T890" s="393"/>
      <c r="U890" s="393"/>
      <c r="V890" s="393"/>
      <c r="W890" s="393"/>
      <c r="X890" s="393"/>
      <c r="Y890" s="393"/>
      <c r="Z890" s="393"/>
    </row>
    <row r="891">
      <c r="A891" s="393"/>
      <c r="B891" s="393"/>
      <c r="C891" s="393"/>
      <c r="D891" s="393"/>
      <c r="E891" s="393"/>
      <c r="F891" s="393"/>
      <c r="G891" s="393"/>
      <c r="H891" s="393"/>
      <c r="I891" s="393"/>
      <c r="J891" s="393"/>
      <c r="K891" s="393"/>
      <c r="L891" s="393"/>
      <c r="M891" s="393"/>
      <c r="N891" s="393"/>
      <c r="O891" s="393"/>
      <c r="P891" s="393"/>
      <c r="Q891" s="393"/>
      <c r="R891" s="393"/>
      <c r="S891" s="393"/>
      <c r="T891" s="393"/>
      <c r="U891" s="393"/>
      <c r="V891" s="393"/>
      <c r="W891" s="393"/>
      <c r="X891" s="393"/>
      <c r="Y891" s="393"/>
      <c r="Z891" s="393"/>
    </row>
    <row r="892">
      <c r="A892" s="393"/>
      <c r="B892" s="393"/>
      <c r="C892" s="393"/>
      <c r="D892" s="393"/>
      <c r="E892" s="393"/>
      <c r="F892" s="393"/>
      <c r="G892" s="393"/>
      <c r="H892" s="393"/>
      <c r="I892" s="393"/>
      <c r="J892" s="393"/>
      <c r="K892" s="393"/>
      <c r="L892" s="393"/>
      <c r="M892" s="393"/>
      <c r="N892" s="393"/>
      <c r="O892" s="393"/>
      <c r="P892" s="393"/>
      <c r="Q892" s="393"/>
      <c r="R892" s="393"/>
      <c r="S892" s="393"/>
      <c r="T892" s="393"/>
      <c r="U892" s="393"/>
      <c r="V892" s="393"/>
      <c r="W892" s="393"/>
      <c r="X892" s="393"/>
      <c r="Y892" s="393"/>
      <c r="Z892" s="393"/>
    </row>
    <row r="893">
      <c r="A893" s="393"/>
      <c r="B893" s="393"/>
      <c r="C893" s="393"/>
      <c r="D893" s="393"/>
      <c r="E893" s="393"/>
      <c r="F893" s="393"/>
      <c r="G893" s="393"/>
      <c r="H893" s="393"/>
      <c r="I893" s="393"/>
      <c r="J893" s="393"/>
      <c r="K893" s="393"/>
      <c r="L893" s="393"/>
      <c r="M893" s="393"/>
      <c r="N893" s="393"/>
      <c r="O893" s="393"/>
      <c r="P893" s="393"/>
      <c r="Q893" s="393"/>
      <c r="R893" s="393"/>
      <c r="S893" s="393"/>
      <c r="T893" s="393"/>
      <c r="U893" s="393"/>
      <c r="V893" s="393"/>
      <c r="W893" s="393"/>
      <c r="X893" s="393"/>
      <c r="Y893" s="393"/>
      <c r="Z893" s="393"/>
    </row>
    <row r="894">
      <c r="A894" s="393"/>
      <c r="B894" s="393"/>
      <c r="C894" s="393"/>
      <c r="D894" s="393"/>
      <c r="E894" s="393"/>
      <c r="F894" s="393"/>
      <c r="G894" s="393"/>
      <c r="H894" s="393"/>
      <c r="I894" s="393"/>
      <c r="J894" s="393"/>
      <c r="K894" s="393"/>
      <c r="L894" s="393"/>
      <c r="M894" s="393"/>
      <c r="N894" s="393"/>
      <c r="O894" s="393"/>
      <c r="P894" s="393"/>
      <c r="Q894" s="393"/>
      <c r="R894" s="393"/>
      <c r="S894" s="393"/>
      <c r="T894" s="393"/>
      <c r="U894" s="393"/>
      <c r="V894" s="393"/>
      <c r="W894" s="393"/>
      <c r="X894" s="393"/>
      <c r="Y894" s="393"/>
      <c r="Z894" s="393"/>
    </row>
    <row r="895">
      <c r="A895" s="393"/>
      <c r="B895" s="393"/>
      <c r="C895" s="393"/>
      <c r="D895" s="393"/>
      <c r="E895" s="393"/>
      <c r="F895" s="393"/>
      <c r="G895" s="393"/>
      <c r="H895" s="393"/>
      <c r="I895" s="393"/>
      <c r="J895" s="393"/>
      <c r="K895" s="393"/>
      <c r="L895" s="393"/>
      <c r="M895" s="393"/>
      <c r="N895" s="393"/>
      <c r="O895" s="393"/>
      <c r="P895" s="393"/>
      <c r="Q895" s="393"/>
      <c r="R895" s="393"/>
      <c r="S895" s="393"/>
      <c r="T895" s="393"/>
      <c r="U895" s="393"/>
      <c r="V895" s="393"/>
      <c r="W895" s="393"/>
      <c r="X895" s="393"/>
      <c r="Y895" s="393"/>
      <c r="Z895" s="393"/>
    </row>
    <row r="896">
      <c r="A896" s="393"/>
      <c r="B896" s="393"/>
      <c r="C896" s="393"/>
      <c r="D896" s="393"/>
      <c r="E896" s="393"/>
      <c r="F896" s="393"/>
      <c r="G896" s="393"/>
      <c r="H896" s="393"/>
      <c r="I896" s="393"/>
      <c r="J896" s="393"/>
      <c r="K896" s="393"/>
      <c r="L896" s="393"/>
      <c r="M896" s="393"/>
      <c r="N896" s="393"/>
      <c r="O896" s="393"/>
      <c r="P896" s="393"/>
      <c r="Q896" s="393"/>
      <c r="R896" s="393"/>
      <c r="S896" s="393"/>
      <c r="T896" s="393"/>
      <c r="U896" s="393"/>
      <c r="V896" s="393"/>
      <c r="W896" s="393"/>
      <c r="X896" s="393"/>
      <c r="Y896" s="393"/>
      <c r="Z896" s="393"/>
    </row>
    <row r="897">
      <c r="A897" s="393"/>
      <c r="B897" s="393"/>
      <c r="C897" s="393"/>
      <c r="D897" s="393"/>
      <c r="E897" s="393"/>
      <c r="F897" s="393"/>
      <c r="G897" s="393"/>
      <c r="H897" s="393"/>
      <c r="I897" s="393"/>
      <c r="J897" s="393"/>
      <c r="K897" s="393"/>
      <c r="L897" s="393"/>
      <c r="M897" s="393"/>
      <c r="N897" s="393"/>
      <c r="O897" s="393"/>
      <c r="P897" s="393"/>
      <c r="Q897" s="393"/>
      <c r="R897" s="393"/>
      <c r="S897" s="393"/>
      <c r="T897" s="393"/>
      <c r="U897" s="393"/>
      <c r="V897" s="393"/>
      <c r="W897" s="393"/>
      <c r="X897" s="393"/>
      <c r="Y897" s="393"/>
      <c r="Z897" s="393"/>
    </row>
    <row r="898">
      <c r="A898" s="393"/>
      <c r="B898" s="393"/>
      <c r="C898" s="393"/>
      <c r="D898" s="393"/>
      <c r="E898" s="393"/>
      <c r="F898" s="393"/>
      <c r="G898" s="393"/>
      <c r="H898" s="393"/>
      <c r="I898" s="393"/>
      <c r="J898" s="393"/>
      <c r="K898" s="393"/>
      <c r="L898" s="393"/>
      <c r="M898" s="393"/>
      <c r="N898" s="393"/>
      <c r="O898" s="393"/>
      <c r="P898" s="393"/>
      <c r="Q898" s="393"/>
      <c r="R898" s="393"/>
      <c r="S898" s="393"/>
      <c r="T898" s="393"/>
      <c r="U898" s="393"/>
      <c r="V898" s="393"/>
      <c r="W898" s="393"/>
      <c r="X898" s="393"/>
      <c r="Y898" s="393"/>
      <c r="Z898" s="393"/>
    </row>
    <row r="899">
      <c r="A899" s="393"/>
      <c r="B899" s="393"/>
      <c r="C899" s="393"/>
      <c r="D899" s="393"/>
      <c r="E899" s="393"/>
      <c r="F899" s="393"/>
      <c r="G899" s="393"/>
      <c r="H899" s="393"/>
      <c r="I899" s="393"/>
      <c r="J899" s="393"/>
      <c r="K899" s="393"/>
      <c r="L899" s="393"/>
      <c r="M899" s="393"/>
      <c r="N899" s="393"/>
      <c r="O899" s="393"/>
      <c r="P899" s="393"/>
      <c r="Q899" s="393"/>
      <c r="R899" s="393"/>
      <c r="S899" s="393"/>
      <c r="T899" s="393"/>
      <c r="U899" s="393"/>
      <c r="V899" s="393"/>
      <c r="W899" s="393"/>
      <c r="X899" s="393"/>
      <c r="Y899" s="393"/>
      <c r="Z899" s="393"/>
    </row>
    <row r="900">
      <c r="A900" s="393"/>
      <c r="B900" s="393"/>
      <c r="C900" s="393"/>
      <c r="D900" s="393"/>
      <c r="E900" s="393"/>
      <c r="F900" s="393"/>
      <c r="G900" s="393"/>
      <c r="H900" s="393"/>
      <c r="I900" s="393"/>
      <c r="J900" s="393"/>
      <c r="K900" s="393"/>
      <c r="L900" s="393"/>
      <c r="M900" s="393"/>
      <c r="N900" s="393"/>
      <c r="O900" s="393"/>
      <c r="P900" s="393"/>
      <c r="Q900" s="393"/>
      <c r="R900" s="393"/>
      <c r="S900" s="393"/>
      <c r="T900" s="393"/>
      <c r="U900" s="393"/>
      <c r="V900" s="393"/>
      <c r="W900" s="393"/>
      <c r="X900" s="393"/>
      <c r="Y900" s="393"/>
      <c r="Z900" s="393"/>
    </row>
    <row r="901">
      <c r="A901" s="393"/>
      <c r="B901" s="393"/>
      <c r="C901" s="393"/>
      <c r="D901" s="393"/>
      <c r="E901" s="393"/>
      <c r="F901" s="393"/>
      <c r="G901" s="393"/>
      <c r="H901" s="393"/>
      <c r="I901" s="393"/>
      <c r="J901" s="393"/>
      <c r="K901" s="393"/>
      <c r="L901" s="393"/>
      <c r="M901" s="393"/>
      <c r="N901" s="393"/>
      <c r="O901" s="393"/>
      <c r="P901" s="393"/>
      <c r="Q901" s="393"/>
      <c r="R901" s="393"/>
      <c r="S901" s="393"/>
      <c r="T901" s="393"/>
      <c r="U901" s="393"/>
      <c r="V901" s="393"/>
      <c r="W901" s="393"/>
      <c r="X901" s="393"/>
      <c r="Y901" s="393"/>
      <c r="Z901" s="393"/>
    </row>
    <row r="902">
      <c r="A902" s="393"/>
      <c r="B902" s="393"/>
      <c r="C902" s="393"/>
      <c r="D902" s="393"/>
      <c r="E902" s="393"/>
      <c r="F902" s="393"/>
      <c r="G902" s="393"/>
      <c r="H902" s="393"/>
      <c r="I902" s="393"/>
      <c r="J902" s="393"/>
      <c r="K902" s="393"/>
      <c r="L902" s="393"/>
      <c r="M902" s="393"/>
      <c r="N902" s="393"/>
      <c r="O902" s="393"/>
      <c r="P902" s="393"/>
      <c r="Q902" s="393"/>
      <c r="R902" s="393"/>
      <c r="S902" s="393"/>
      <c r="T902" s="393"/>
      <c r="U902" s="393"/>
      <c r="V902" s="393"/>
      <c r="W902" s="393"/>
      <c r="X902" s="393"/>
      <c r="Y902" s="393"/>
      <c r="Z902" s="393"/>
    </row>
    <row r="903">
      <c r="A903" s="393"/>
      <c r="B903" s="393"/>
      <c r="C903" s="393"/>
      <c r="D903" s="393"/>
      <c r="E903" s="393"/>
      <c r="F903" s="393"/>
      <c r="G903" s="393"/>
      <c r="H903" s="393"/>
      <c r="I903" s="393"/>
      <c r="J903" s="393"/>
      <c r="K903" s="393"/>
      <c r="L903" s="393"/>
      <c r="M903" s="393"/>
      <c r="N903" s="393"/>
      <c r="O903" s="393"/>
      <c r="P903" s="393"/>
      <c r="Q903" s="393"/>
      <c r="R903" s="393"/>
      <c r="S903" s="393"/>
      <c r="T903" s="393"/>
      <c r="U903" s="393"/>
      <c r="V903" s="393"/>
      <c r="W903" s="393"/>
      <c r="X903" s="393"/>
      <c r="Y903" s="393"/>
      <c r="Z903" s="393"/>
    </row>
    <row r="904">
      <c r="A904" s="393"/>
      <c r="B904" s="393"/>
      <c r="C904" s="393"/>
      <c r="D904" s="393"/>
      <c r="E904" s="393"/>
      <c r="F904" s="393"/>
      <c r="G904" s="393"/>
      <c r="H904" s="393"/>
      <c r="I904" s="393"/>
      <c r="J904" s="393"/>
      <c r="K904" s="393"/>
      <c r="L904" s="393"/>
      <c r="M904" s="393"/>
      <c r="N904" s="393"/>
      <c r="O904" s="393"/>
      <c r="P904" s="393"/>
      <c r="Q904" s="393"/>
      <c r="R904" s="393"/>
      <c r="S904" s="393"/>
      <c r="T904" s="393"/>
      <c r="U904" s="393"/>
      <c r="V904" s="393"/>
      <c r="W904" s="393"/>
      <c r="X904" s="393"/>
      <c r="Y904" s="393"/>
      <c r="Z904" s="393"/>
    </row>
    <row r="905">
      <c r="A905" s="393"/>
      <c r="B905" s="393"/>
      <c r="C905" s="393"/>
      <c r="D905" s="393"/>
      <c r="E905" s="393"/>
      <c r="F905" s="393"/>
      <c r="G905" s="393"/>
      <c r="H905" s="393"/>
      <c r="I905" s="393"/>
      <c r="J905" s="393"/>
      <c r="K905" s="393"/>
      <c r="L905" s="393"/>
      <c r="M905" s="393"/>
      <c r="N905" s="393"/>
      <c r="O905" s="393"/>
      <c r="P905" s="393"/>
      <c r="Q905" s="393"/>
      <c r="R905" s="393"/>
      <c r="S905" s="393"/>
      <c r="T905" s="393"/>
      <c r="U905" s="393"/>
      <c r="V905" s="393"/>
      <c r="W905" s="393"/>
      <c r="X905" s="393"/>
      <c r="Y905" s="393"/>
      <c r="Z905" s="393"/>
    </row>
    <row r="906">
      <c r="A906" s="393"/>
      <c r="B906" s="393"/>
      <c r="C906" s="393"/>
      <c r="D906" s="393"/>
      <c r="E906" s="393"/>
      <c r="F906" s="393"/>
      <c r="G906" s="393"/>
      <c r="H906" s="393"/>
      <c r="I906" s="393"/>
      <c r="J906" s="393"/>
      <c r="K906" s="393"/>
      <c r="L906" s="393"/>
      <c r="M906" s="393"/>
      <c r="N906" s="393"/>
      <c r="O906" s="393"/>
      <c r="P906" s="393"/>
      <c r="Q906" s="393"/>
      <c r="R906" s="393"/>
      <c r="S906" s="393"/>
      <c r="T906" s="393"/>
      <c r="U906" s="393"/>
      <c r="V906" s="393"/>
      <c r="W906" s="393"/>
      <c r="X906" s="393"/>
      <c r="Y906" s="393"/>
      <c r="Z906" s="393"/>
    </row>
    <row r="907">
      <c r="A907" s="393"/>
      <c r="B907" s="393"/>
      <c r="C907" s="393"/>
      <c r="D907" s="393"/>
      <c r="E907" s="393"/>
      <c r="F907" s="393"/>
      <c r="G907" s="393"/>
      <c r="H907" s="393"/>
      <c r="I907" s="393"/>
      <c r="J907" s="393"/>
      <c r="K907" s="393"/>
      <c r="L907" s="393"/>
      <c r="M907" s="393"/>
      <c r="N907" s="393"/>
      <c r="O907" s="393"/>
      <c r="P907" s="393"/>
      <c r="Q907" s="393"/>
      <c r="R907" s="393"/>
      <c r="S907" s="393"/>
      <c r="T907" s="393"/>
      <c r="U907" s="393"/>
      <c r="V907" s="393"/>
      <c r="W907" s="393"/>
      <c r="X907" s="393"/>
      <c r="Y907" s="393"/>
      <c r="Z907" s="393"/>
    </row>
    <row r="908">
      <c r="A908" s="393"/>
      <c r="B908" s="393"/>
      <c r="C908" s="393"/>
      <c r="D908" s="393"/>
      <c r="E908" s="393"/>
      <c r="F908" s="393"/>
      <c r="G908" s="393"/>
      <c r="H908" s="393"/>
      <c r="I908" s="393"/>
      <c r="J908" s="393"/>
      <c r="K908" s="393"/>
      <c r="L908" s="393"/>
      <c r="M908" s="393"/>
      <c r="N908" s="393"/>
      <c r="O908" s="393"/>
      <c r="P908" s="393"/>
      <c r="Q908" s="393"/>
      <c r="R908" s="393"/>
      <c r="S908" s="393"/>
      <c r="T908" s="393"/>
      <c r="U908" s="393"/>
      <c r="V908" s="393"/>
      <c r="W908" s="393"/>
      <c r="X908" s="393"/>
      <c r="Y908" s="393"/>
      <c r="Z908" s="393"/>
    </row>
    <row r="909">
      <c r="A909" s="393"/>
      <c r="B909" s="393"/>
      <c r="C909" s="393"/>
      <c r="D909" s="393"/>
      <c r="E909" s="393"/>
      <c r="F909" s="393"/>
      <c r="G909" s="393"/>
      <c r="H909" s="393"/>
      <c r="I909" s="393"/>
      <c r="J909" s="393"/>
      <c r="K909" s="393"/>
      <c r="L909" s="393"/>
      <c r="M909" s="393"/>
      <c r="N909" s="393"/>
      <c r="O909" s="393"/>
      <c r="P909" s="393"/>
      <c r="Q909" s="393"/>
      <c r="R909" s="393"/>
      <c r="S909" s="393"/>
      <c r="T909" s="393"/>
      <c r="U909" s="393"/>
      <c r="V909" s="393"/>
      <c r="W909" s="393"/>
      <c r="X909" s="393"/>
      <c r="Y909" s="393"/>
      <c r="Z909" s="393"/>
    </row>
    <row r="910">
      <c r="A910" s="393"/>
      <c r="B910" s="393"/>
      <c r="C910" s="393"/>
      <c r="D910" s="393"/>
      <c r="E910" s="393"/>
      <c r="F910" s="393"/>
      <c r="G910" s="393"/>
      <c r="H910" s="393"/>
      <c r="I910" s="393"/>
      <c r="J910" s="393"/>
      <c r="K910" s="393"/>
      <c r="L910" s="393"/>
      <c r="M910" s="393"/>
      <c r="N910" s="393"/>
      <c r="O910" s="393"/>
      <c r="P910" s="393"/>
      <c r="Q910" s="393"/>
      <c r="R910" s="393"/>
      <c r="S910" s="393"/>
      <c r="T910" s="393"/>
      <c r="U910" s="393"/>
      <c r="V910" s="393"/>
      <c r="W910" s="393"/>
      <c r="X910" s="393"/>
      <c r="Y910" s="393"/>
      <c r="Z910" s="393"/>
    </row>
    <row r="911">
      <c r="A911" s="393"/>
      <c r="B911" s="393"/>
      <c r="C911" s="393"/>
      <c r="D911" s="393"/>
      <c r="E911" s="393"/>
      <c r="F911" s="393"/>
      <c r="G911" s="393"/>
      <c r="H911" s="393"/>
      <c r="I911" s="393"/>
      <c r="J911" s="393"/>
      <c r="K911" s="393"/>
      <c r="L911" s="393"/>
      <c r="M911" s="393"/>
      <c r="N911" s="393"/>
      <c r="O911" s="393"/>
      <c r="P911" s="393"/>
      <c r="Q911" s="393"/>
      <c r="R911" s="393"/>
      <c r="S911" s="393"/>
      <c r="T911" s="393"/>
      <c r="U911" s="393"/>
      <c r="V911" s="393"/>
      <c r="W911" s="393"/>
      <c r="X911" s="393"/>
      <c r="Y911" s="393"/>
      <c r="Z911" s="393"/>
    </row>
    <row r="912">
      <c r="A912" s="393"/>
      <c r="B912" s="393"/>
      <c r="C912" s="393"/>
      <c r="D912" s="393"/>
      <c r="E912" s="393"/>
      <c r="F912" s="393"/>
      <c r="G912" s="393"/>
      <c r="H912" s="393"/>
      <c r="I912" s="393"/>
      <c r="J912" s="393"/>
      <c r="K912" s="393"/>
      <c r="L912" s="393"/>
      <c r="M912" s="393"/>
      <c r="N912" s="393"/>
      <c r="O912" s="393"/>
      <c r="P912" s="393"/>
      <c r="Q912" s="393"/>
      <c r="R912" s="393"/>
      <c r="S912" s="393"/>
      <c r="T912" s="393"/>
      <c r="U912" s="393"/>
      <c r="V912" s="393"/>
      <c r="W912" s="393"/>
      <c r="X912" s="393"/>
      <c r="Y912" s="393"/>
      <c r="Z912" s="393"/>
    </row>
    <row r="913">
      <c r="A913" s="393"/>
      <c r="B913" s="393"/>
      <c r="C913" s="393"/>
      <c r="D913" s="393"/>
      <c r="E913" s="393"/>
      <c r="F913" s="393"/>
      <c r="G913" s="393"/>
      <c r="H913" s="393"/>
      <c r="I913" s="393"/>
      <c r="J913" s="393"/>
      <c r="K913" s="393"/>
      <c r="L913" s="393"/>
      <c r="M913" s="393"/>
      <c r="N913" s="393"/>
      <c r="O913" s="393"/>
      <c r="P913" s="393"/>
      <c r="Q913" s="393"/>
      <c r="R913" s="393"/>
      <c r="S913" s="393"/>
      <c r="T913" s="393"/>
      <c r="U913" s="393"/>
      <c r="V913" s="393"/>
      <c r="W913" s="393"/>
      <c r="X913" s="393"/>
      <c r="Y913" s="393"/>
      <c r="Z913" s="393"/>
    </row>
    <row r="914">
      <c r="A914" s="393"/>
      <c r="B914" s="393"/>
      <c r="C914" s="393"/>
      <c r="D914" s="393"/>
      <c r="E914" s="393"/>
      <c r="F914" s="393"/>
      <c r="G914" s="393"/>
      <c r="H914" s="393"/>
      <c r="I914" s="393"/>
      <c r="J914" s="393"/>
      <c r="K914" s="393"/>
      <c r="L914" s="393"/>
      <c r="M914" s="393"/>
      <c r="N914" s="393"/>
      <c r="O914" s="393"/>
      <c r="P914" s="393"/>
      <c r="Q914" s="393"/>
      <c r="R914" s="393"/>
      <c r="S914" s="393"/>
      <c r="T914" s="393"/>
      <c r="U914" s="393"/>
      <c r="V914" s="393"/>
      <c r="W914" s="393"/>
      <c r="X914" s="393"/>
      <c r="Y914" s="393"/>
      <c r="Z914" s="393"/>
    </row>
    <row r="915">
      <c r="A915" s="393"/>
      <c r="B915" s="393"/>
      <c r="C915" s="393"/>
      <c r="D915" s="393"/>
      <c r="E915" s="393"/>
      <c r="F915" s="393"/>
      <c r="G915" s="393"/>
      <c r="H915" s="393"/>
      <c r="I915" s="393"/>
      <c r="J915" s="393"/>
      <c r="K915" s="393"/>
      <c r="L915" s="393"/>
      <c r="M915" s="393"/>
      <c r="N915" s="393"/>
      <c r="O915" s="393"/>
      <c r="P915" s="393"/>
      <c r="Q915" s="393"/>
      <c r="R915" s="393"/>
      <c r="S915" s="393"/>
      <c r="T915" s="393"/>
      <c r="U915" s="393"/>
      <c r="V915" s="393"/>
      <c r="W915" s="393"/>
      <c r="X915" s="393"/>
      <c r="Y915" s="393"/>
      <c r="Z915" s="393"/>
    </row>
    <row r="916">
      <c r="A916" s="393"/>
      <c r="B916" s="393"/>
      <c r="C916" s="393"/>
      <c r="D916" s="393"/>
      <c r="E916" s="393"/>
      <c r="F916" s="393"/>
      <c r="G916" s="393"/>
      <c r="H916" s="393"/>
      <c r="I916" s="393"/>
      <c r="J916" s="393"/>
      <c r="K916" s="393"/>
      <c r="L916" s="393"/>
      <c r="M916" s="393"/>
      <c r="N916" s="393"/>
      <c r="O916" s="393"/>
      <c r="P916" s="393"/>
      <c r="Q916" s="393"/>
      <c r="R916" s="393"/>
      <c r="S916" s="393"/>
      <c r="T916" s="393"/>
      <c r="U916" s="393"/>
      <c r="V916" s="393"/>
      <c r="W916" s="393"/>
      <c r="X916" s="393"/>
      <c r="Y916" s="393"/>
      <c r="Z916" s="393"/>
    </row>
    <row r="917">
      <c r="A917" s="393"/>
      <c r="B917" s="393"/>
      <c r="C917" s="393"/>
      <c r="D917" s="393"/>
      <c r="E917" s="393"/>
      <c r="F917" s="393"/>
      <c r="G917" s="393"/>
      <c r="H917" s="393"/>
      <c r="I917" s="393"/>
      <c r="J917" s="393"/>
      <c r="K917" s="393"/>
      <c r="L917" s="393"/>
      <c r="M917" s="393"/>
      <c r="N917" s="393"/>
      <c r="O917" s="393"/>
      <c r="P917" s="393"/>
      <c r="Q917" s="393"/>
      <c r="R917" s="393"/>
      <c r="S917" s="393"/>
      <c r="T917" s="393"/>
      <c r="U917" s="393"/>
      <c r="V917" s="393"/>
      <c r="W917" s="393"/>
      <c r="X917" s="393"/>
      <c r="Y917" s="393"/>
      <c r="Z917" s="393"/>
    </row>
    <row r="918">
      <c r="A918" s="393"/>
      <c r="B918" s="393"/>
      <c r="C918" s="393"/>
      <c r="D918" s="393"/>
      <c r="E918" s="393"/>
      <c r="F918" s="393"/>
      <c r="G918" s="393"/>
      <c r="H918" s="393"/>
      <c r="I918" s="393"/>
      <c r="J918" s="393"/>
      <c r="K918" s="393"/>
      <c r="L918" s="393"/>
      <c r="M918" s="393"/>
      <c r="N918" s="393"/>
      <c r="O918" s="393"/>
      <c r="P918" s="393"/>
      <c r="Q918" s="393"/>
      <c r="R918" s="393"/>
      <c r="S918" s="393"/>
      <c r="T918" s="393"/>
      <c r="U918" s="393"/>
      <c r="V918" s="393"/>
      <c r="W918" s="393"/>
      <c r="X918" s="393"/>
      <c r="Y918" s="393"/>
      <c r="Z918" s="393"/>
    </row>
    <row r="919">
      <c r="A919" s="393"/>
      <c r="B919" s="393"/>
      <c r="C919" s="393"/>
      <c r="D919" s="393"/>
      <c r="E919" s="393"/>
      <c r="F919" s="393"/>
      <c r="G919" s="393"/>
      <c r="H919" s="393"/>
      <c r="I919" s="393"/>
      <c r="J919" s="393"/>
      <c r="K919" s="393"/>
      <c r="L919" s="393"/>
      <c r="M919" s="393"/>
      <c r="N919" s="393"/>
      <c r="O919" s="393"/>
      <c r="P919" s="393"/>
      <c r="Q919" s="393"/>
      <c r="R919" s="393"/>
      <c r="S919" s="393"/>
      <c r="T919" s="393"/>
      <c r="U919" s="393"/>
      <c r="V919" s="393"/>
      <c r="W919" s="393"/>
      <c r="X919" s="393"/>
      <c r="Y919" s="393"/>
      <c r="Z919" s="393"/>
    </row>
    <row r="920">
      <c r="A920" s="393"/>
      <c r="B920" s="393"/>
      <c r="C920" s="393"/>
      <c r="D920" s="393"/>
      <c r="E920" s="393"/>
      <c r="F920" s="393"/>
      <c r="G920" s="393"/>
      <c r="H920" s="393"/>
      <c r="I920" s="393"/>
      <c r="J920" s="393"/>
      <c r="K920" s="393"/>
      <c r="L920" s="393"/>
      <c r="M920" s="393"/>
      <c r="N920" s="393"/>
      <c r="O920" s="393"/>
      <c r="P920" s="393"/>
      <c r="Q920" s="393"/>
      <c r="R920" s="393"/>
      <c r="S920" s="393"/>
      <c r="T920" s="393"/>
      <c r="U920" s="393"/>
      <c r="V920" s="393"/>
      <c r="W920" s="393"/>
      <c r="X920" s="393"/>
      <c r="Y920" s="393"/>
      <c r="Z920" s="393"/>
    </row>
    <row r="921">
      <c r="A921" s="393"/>
      <c r="B921" s="393"/>
      <c r="C921" s="393"/>
      <c r="D921" s="393"/>
      <c r="E921" s="393"/>
      <c r="F921" s="393"/>
      <c r="G921" s="393"/>
      <c r="H921" s="393"/>
      <c r="I921" s="393"/>
      <c r="J921" s="393"/>
      <c r="K921" s="393"/>
      <c r="L921" s="393"/>
      <c r="M921" s="393"/>
      <c r="N921" s="393"/>
      <c r="O921" s="393"/>
      <c r="P921" s="393"/>
      <c r="Q921" s="393"/>
      <c r="R921" s="393"/>
      <c r="S921" s="393"/>
      <c r="T921" s="393"/>
      <c r="U921" s="393"/>
      <c r="V921" s="393"/>
      <c r="W921" s="393"/>
      <c r="X921" s="393"/>
      <c r="Y921" s="393"/>
      <c r="Z921" s="393"/>
    </row>
    <row r="922">
      <c r="A922" s="393"/>
      <c r="B922" s="393"/>
      <c r="C922" s="393"/>
      <c r="D922" s="393"/>
      <c r="E922" s="393"/>
      <c r="F922" s="393"/>
      <c r="G922" s="393"/>
      <c r="H922" s="393"/>
      <c r="I922" s="393"/>
      <c r="J922" s="393"/>
      <c r="K922" s="393"/>
      <c r="L922" s="393"/>
      <c r="M922" s="393"/>
      <c r="N922" s="393"/>
      <c r="O922" s="393"/>
      <c r="P922" s="393"/>
      <c r="Q922" s="393"/>
      <c r="R922" s="393"/>
      <c r="S922" s="393"/>
      <c r="T922" s="393"/>
      <c r="U922" s="393"/>
      <c r="V922" s="393"/>
      <c r="W922" s="393"/>
      <c r="X922" s="393"/>
      <c r="Y922" s="393"/>
      <c r="Z922" s="393"/>
    </row>
    <row r="923">
      <c r="A923" s="393"/>
      <c r="B923" s="393"/>
      <c r="C923" s="393"/>
      <c r="D923" s="393"/>
      <c r="E923" s="393"/>
      <c r="F923" s="393"/>
      <c r="G923" s="393"/>
      <c r="H923" s="393"/>
      <c r="I923" s="393"/>
      <c r="J923" s="393"/>
      <c r="K923" s="393"/>
      <c r="L923" s="393"/>
      <c r="M923" s="393"/>
      <c r="N923" s="393"/>
      <c r="O923" s="393"/>
      <c r="P923" s="393"/>
      <c r="Q923" s="393"/>
      <c r="R923" s="393"/>
      <c r="S923" s="393"/>
      <c r="T923" s="393"/>
      <c r="U923" s="393"/>
      <c r="V923" s="393"/>
      <c r="W923" s="393"/>
      <c r="X923" s="393"/>
      <c r="Y923" s="393"/>
      <c r="Z923" s="393"/>
    </row>
    <row r="924">
      <c r="A924" s="393"/>
      <c r="B924" s="393"/>
      <c r="C924" s="393"/>
      <c r="D924" s="393"/>
      <c r="E924" s="393"/>
      <c r="F924" s="393"/>
      <c r="G924" s="393"/>
      <c r="H924" s="393"/>
      <c r="I924" s="393"/>
      <c r="J924" s="393"/>
      <c r="K924" s="393"/>
      <c r="L924" s="393"/>
      <c r="M924" s="393"/>
      <c r="N924" s="393"/>
      <c r="O924" s="393"/>
      <c r="P924" s="393"/>
      <c r="Q924" s="393"/>
      <c r="R924" s="393"/>
      <c r="S924" s="393"/>
      <c r="T924" s="393"/>
      <c r="U924" s="393"/>
      <c r="V924" s="393"/>
      <c r="W924" s="393"/>
      <c r="X924" s="393"/>
      <c r="Y924" s="393"/>
      <c r="Z924" s="393"/>
    </row>
    <row r="925">
      <c r="A925" s="393"/>
      <c r="B925" s="393"/>
      <c r="C925" s="393"/>
      <c r="D925" s="393"/>
      <c r="E925" s="393"/>
      <c r="F925" s="393"/>
      <c r="G925" s="393"/>
      <c r="H925" s="393"/>
      <c r="I925" s="393"/>
      <c r="J925" s="393"/>
      <c r="K925" s="393"/>
      <c r="L925" s="393"/>
      <c r="M925" s="393"/>
      <c r="N925" s="393"/>
      <c r="O925" s="393"/>
      <c r="P925" s="393"/>
      <c r="Q925" s="393"/>
      <c r="R925" s="393"/>
      <c r="S925" s="393"/>
      <c r="T925" s="393"/>
      <c r="U925" s="393"/>
      <c r="V925" s="393"/>
      <c r="W925" s="393"/>
      <c r="X925" s="393"/>
      <c r="Y925" s="393"/>
      <c r="Z925" s="393"/>
    </row>
    <row r="926">
      <c r="A926" s="393"/>
      <c r="B926" s="393"/>
      <c r="C926" s="393"/>
      <c r="D926" s="393"/>
      <c r="E926" s="393"/>
      <c r="F926" s="393"/>
      <c r="G926" s="393"/>
      <c r="H926" s="393"/>
      <c r="I926" s="393"/>
      <c r="J926" s="393"/>
      <c r="K926" s="393"/>
      <c r="L926" s="393"/>
      <c r="M926" s="393"/>
      <c r="N926" s="393"/>
      <c r="O926" s="393"/>
      <c r="P926" s="393"/>
      <c r="Q926" s="393"/>
      <c r="R926" s="393"/>
      <c r="S926" s="393"/>
      <c r="T926" s="393"/>
      <c r="U926" s="393"/>
      <c r="V926" s="393"/>
      <c r="W926" s="393"/>
      <c r="X926" s="393"/>
      <c r="Y926" s="393"/>
      <c r="Z926" s="393"/>
    </row>
    <row r="927">
      <c r="A927" s="393"/>
      <c r="B927" s="393"/>
      <c r="C927" s="393"/>
      <c r="D927" s="393"/>
      <c r="E927" s="393"/>
      <c r="F927" s="393"/>
      <c r="G927" s="393"/>
      <c r="H927" s="393"/>
      <c r="I927" s="393"/>
      <c r="J927" s="393"/>
      <c r="K927" s="393"/>
      <c r="L927" s="393"/>
      <c r="M927" s="393"/>
      <c r="N927" s="393"/>
      <c r="O927" s="393"/>
      <c r="P927" s="393"/>
      <c r="Q927" s="393"/>
      <c r="R927" s="393"/>
      <c r="S927" s="393"/>
      <c r="T927" s="393"/>
      <c r="U927" s="393"/>
      <c r="V927" s="393"/>
      <c r="W927" s="393"/>
      <c r="X927" s="393"/>
      <c r="Y927" s="393"/>
      <c r="Z927" s="393"/>
    </row>
    <row r="928">
      <c r="A928" s="393"/>
      <c r="B928" s="393"/>
      <c r="C928" s="393"/>
      <c r="D928" s="393"/>
      <c r="E928" s="393"/>
      <c r="F928" s="393"/>
      <c r="G928" s="393"/>
      <c r="H928" s="393"/>
      <c r="I928" s="393"/>
      <c r="J928" s="393"/>
      <c r="K928" s="393"/>
      <c r="L928" s="393"/>
      <c r="M928" s="393"/>
      <c r="N928" s="393"/>
      <c r="O928" s="393"/>
      <c r="P928" s="393"/>
      <c r="Q928" s="393"/>
      <c r="R928" s="393"/>
      <c r="S928" s="393"/>
      <c r="T928" s="393"/>
      <c r="U928" s="393"/>
      <c r="V928" s="393"/>
      <c r="W928" s="393"/>
      <c r="X928" s="393"/>
      <c r="Y928" s="393"/>
      <c r="Z928" s="393"/>
    </row>
    <row r="929">
      <c r="A929" s="393"/>
      <c r="B929" s="393"/>
      <c r="C929" s="393"/>
      <c r="D929" s="393"/>
      <c r="E929" s="393"/>
      <c r="F929" s="393"/>
      <c r="G929" s="393"/>
      <c r="H929" s="393"/>
      <c r="I929" s="393"/>
      <c r="J929" s="393"/>
      <c r="K929" s="393"/>
      <c r="L929" s="393"/>
      <c r="M929" s="393"/>
      <c r="N929" s="393"/>
      <c r="O929" s="393"/>
      <c r="P929" s="393"/>
      <c r="Q929" s="393"/>
      <c r="R929" s="393"/>
      <c r="S929" s="393"/>
      <c r="T929" s="393"/>
      <c r="U929" s="393"/>
      <c r="V929" s="393"/>
      <c r="W929" s="393"/>
      <c r="X929" s="393"/>
      <c r="Y929" s="393"/>
      <c r="Z929" s="393"/>
    </row>
    <row r="930">
      <c r="A930" s="393"/>
      <c r="B930" s="393"/>
      <c r="C930" s="393"/>
      <c r="D930" s="393"/>
      <c r="E930" s="393"/>
      <c r="F930" s="393"/>
      <c r="G930" s="393"/>
      <c r="H930" s="393"/>
      <c r="I930" s="393"/>
      <c r="J930" s="393"/>
      <c r="K930" s="393"/>
      <c r="L930" s="393"/>
      <c r="M930" s="393"/>
      <c r="N930" s="393"/>
      <c r="O930" s="393"/>
      <c r="P930" s="393"/>
      <c r="Q930" s="393"/>
      <c r="R930" s="393"/>
      <c r="S930" s="393"/>
      <c r="T930" s="393"/>
      <c r="U930" s="393"/>
      <c r="V930" s="393"/>
      <c r="W930" s="393"/>
      <c r="X930" s="393"/>
      <c r="Y930" s="393"/>
      <c r="Z930" s="393"/>
    </row>
    <row r="931">
      <c r="A931" s="393"/>
      <c r="B931" s="393"/>
      <c r="C931" s="393"/>
      <c r="D931" s="393"/>
      <c r="E931" s="393"/>
      <c r="F931" s="393"/>
      <c r="G931" s="393"/>
      <c r="H931" s="393"/>
      <c r="I931" s="393"/>
      <c r="J931" s="393"/>
      <c r="K931" s="393"/>
      <c r="L931" s="393"/>
      <c r="M931" s="393"/>
      <c r="N931" s="393"/>
      <c r="O931" s="393"/>
      <c r="P931" s="393"/>
      <c r="Q931" s="393"/>
      <c r="R931" s="393"/>
      <c r="S931" s="393"/>
      <c r="T931" s="393"/>
      <c r="U931" s="393"/>
      <c r="V931" s="393"/>
      <c r="W931" s="393"/>
      <c r="X931" s="393"/>
      <c r="Y931" s="393"/>
      <c r="Z931" s="393"/>
    </row>
    <row r="932">
      <c r="A932" s="393"/>
      <c r="B932" s="393"/>
      <c r="C932" s="393"/>
      <c r="D932" s="393"/>
      <c r="E932" s="393"/>
      <c r="F932" s="393"/>
      <c r="G932" s="393"/>
      <c r="H932" s="393"/>
      <c r="I932" s="393"/>
      <c r="J932" s="393"/>
      <c r="K932" s="393"/>
      <c r="L932" s="393"/>
      <c r="M932" s="393"/>
      <c r="N932" s="393"/>
      <c r="O932" s="393"/>
      <c r="P932" s="393"/>
      <c r="Q932" s="393"/>
      <c r="R932" s="393"/>
      <c r="S932" s="393"/>
      <c r="T932" s="393"/>
      <c r="U932" s="393"/>
      <c r="V932" s="393"/>
      <c r="W932" s="393"/>
      <c r="X932" s="393"/>
      <c r="Y932" s="393"/>
      <c r="Z932" s="393"/>
    </row>
    <row r="933">
      <c r="A933" s="393"/>
      <c r="B933" s="393"/>
      <c r="C933" s="393"/>
      <c r="D933" s="393"/>
      <c r="E933" s="393"/>
      <c r="F933" s="393"/>
      <c r="G933" s="393"/>
      <c r="H933" s="393"/>
      <c r="I933" s="393"/>
      <c r="J933" s="393"/>
      <c r="K933" s="393"/>
      <c r="L933" s="393"/>
      <c r="M933" s="393"/>
      <c r="N933" s="393"/>
      <c r="O933" s="393"/>
      <c r="P933" s="393"/>
      <c r="Q933" s="393"/>
      <c r="R933" s="393"/>
      <c r="S933" s="393"/>
      <c r="T933" s="393"/>
      <c r="U933" s="393"/>
      <c r="V933" s="393"/>
      <c r="W933" s="393"/>
      <c r="X933" s="393"/>
      <c r="Y933" s="393"/>
      <c r="Z933" s="393"/>
    </row>
    <row r="934">
      <c r="A934" s="393"/>
      <c r="B934" s="393"/>
      <c r="C934" s="393"/>
      <c r="D934" s="393"/>
      <c r="E934" s="393"/>
      <c r="F934" s="393"/>
      <c r="G934" s="393"/>
      <c r="H934" s="393"/>
      <c r="I934" s="393"/>
      <c r="J934" s="393"/>
      <c r="K934" s="393"/>
      <c r="L934" s="393"/>
      <c r="M934" s="393"/>
      <c r="N934" s="393"/>
      <c r="O934" s="393"/>
      <c r="P934" s="393"/>
      <c r="Q934" s="393"/>
      <c r="R934" s="393"/>
      <c r="S934" s="393"/>
      <c r="T934" s="393"/>
      <c r="U934" s="393"/>
      <c r="V934" s="393"/>
      <c r="W934" s="393"/>
      <c r="X934" s="393"/>
      <c r="Y934" s="393"/>
      <c r="Z934" s="393"/>
    </row>
    <row r="935">
      <c r="A935" s="393"/>
      <c r="B935" s="393"/>
      <c r="C935" s="393"/>
      <c r="D935" s="393"/>
      <c r="E935" s="393"/>
      <c r="F935" s="393"/>
      <c r="G935" s="393"/>
      <c r="H935" s="393"/>
      <c r="I935" s="393"/>
      <c r="J935" s="393"/>
      <c r="K935" s="393"/>
      <c r="L935" s="393"/>
      <c r="M935" s="393"/>
      <c r="N935" s="393"/>
      <c r="O935" s="393"/>
      <c r="P935" s="393"/>
      <c r="Q935" s="393"/>
      <c r="R935" s="393"/>
      <c r="S935" s="393"/>
      <c r="T935" s="393"/>
      <c r="U935" s="393"/>
      <c r="V935" s="393"/>
      <c r="W935" s="393"/>
      <c r="X935" s="393"/>
      <c r="Y935" s="393"/>
      <c r="Z935" s="393"/>
    </row>
    <row r="936">
      <c r="A936" s="393"/>
      <c r="B936" s="393"/>
      <c r="C936" s="393"/>
      <c r="D936" s="393"/>
      <c r="E936" s="393"/>
      <c r="F936" s="393"/>
      <c r="G936" s="393"/>
      <c r="H936" s="393"/>
      <c r="I936" s="393"/>
      <c r="J936" s="393"/>
      <c r="K936" s="393"/>
      <c r="L936" s="393"/>
      <c r="M936" s="393"/>
      <c r="N936" s="393"/>
      <c r="O936" s="393"/>
      <c r="P936" s="393"/>
      <c r="Q936" s="393"/>
      <c r="R936" s="393"/>
      <c r="S936" s="393"/>
      <c r="T936" s="393"/>
      <c r="U936" s="393"/>
      <c r="V936" s="393"/>
      <c r="W936" s="393"/>
      <c r="X936" s="393"/>
      <c r="Y936" s="393"/>
      <c r="Z936" s="393"/>
    </row>
    <row r="937">
      <c r="A937" s="393"/>
      <c r="B937" s="393"/>
      <c r="C937" s="393"/>
      <c r="D937" s="393"/>
      <c r="E937" s="393"/>
      <c r="F937" s="393"/>
      <c r="G937" s="393"/>
      <c r="H937" s="393"/>
      <c r="I937" s="393"/>
      <c r="J937" s="393"/>
      <c r="K937" s="393"/>
      <c r="L937" s="393"/>
      <c r="M937" s="393"/>
      <c r="N937" s="393"/>
      <c r="O937" s="393"/>
      <c r="P937" s="393"/>
      <c r="Q937" s="393"/>
      <c r="R937" s="393"/>
      <c r="S937" s="393"/>
      <c r="T937" s="393"/>
      <c r="U937" s="393"/>
      <c r="V937" s="393"/>
      <c r="W937" s="393"/>
      <c r="X937" s="393"/>
      <c r="Y937" s="393"/>
      <c r="Z937" s="393"/>
    </row>
    <row r="938">
      <c r="A938" s="393"/>
      <c r="B938" s="393"/>
      <c r="C938" s="393"/>
      <c r="D938" s="393"/>
      <c r="E938" s="393"/>
      <c r="F938" s="393"/>
      <c r="G938" s="393"/>
      <c r="H938" s="393"/>
      <c r="I938" s="393"/>
      <c r="J938" s="393"/>
      <c r="K938" s="393"/>
      <c r="L938" s="393"/>
      <c r="M938" s="393"/>
      <c r="N938" s="393"/>
      <c r="O938" s="393"/>
      <c r="P938" s="393"/>
      <c r="Q938" s="393"/>
      <c r="R938" s="393"/>
      <c r="S938" s="393"/>
      <c r="T938" s="393"/>
      <c r="U938" s="393"/>
      <c r="V938" s="393"/>
      <c r="W938" s="393"/>
      <c r="X938" s="393"/>
      <c r="Y938" s="393"/>
      <c r="Z938" s="393"/>
    </row>
    <row r="939">
      <c r="A939" s="393"/>
      <c r="B939" s="393"/>
      <c r="C939" s="393"/>
      <c r="D939" s="393"/>
      <c r="E939" s="393"/>
      <c r="F939" s="393"/>
      <c r="G939" s="393"/>
      <c r="H939" s="393"/>
      <c r="I939" s="393"/>
      <c r="J939" s="393"/>
      <c r="K939" s="393"/>
      <c r="L939" s="393"/>
      <c r="M939" s="393"/>
      <c r="N939" s="393"/>
      <c r="O939" s="393"/>
      <c r="P939" s="393"/>
      <c r="Q939" s="393"/>
      <c r="R939" s="393"/>
      <c r="S939" s="393"/>
      <c r="T939" s="393"/>
      <c r="U939" s="393"/>
      <c r="V939" s="393"/>
      <c r="W939" s="393"/>
      <c r="X939" s="393"/>
      <c r="Y939" s="393"/>
      <c r="Z939" s="393"/>
    </row>
    <row r="940">
      <c r="A940" s="393"/>
      <c r="B940" s="393"/>
      <c r="C940" s="393"/>
      <c r="D940" s="393"/>
      <c r="E940" s="393"/>
      <c r="F940" s="393"/>
      <c r="G940" s="393"/>
      <c r="H940" s="393"/>
      <c r="I940" s="393"/>
      <c r="J940" s="393"/>
      <c r="K940" s="393"/>
      <c r="L940" s="393"/>
      <c r="M940" s="393"/>
      <c r="N940" s="393"/>
      <c r="O940" s="393"/>
      <c r="P940" s="393"/>
      <c r="Q940" s="393"/>
      <c r="R940" s="393"/>
      <c r="S940" s="393"/>
      <c r="T940" s="393"/>
      <c r="U940" s="393"/>
      <c r="V940" s="393"/>
      <c r="W940" s="393"/>
      <c r="X940" s="393"/>
      <c r="Y940" s="393"/>
      <c r="Z940" s="393"/>
    </row>
    <row r="941">
      <c r="A941" s="393"/>
      <c r="B941" s="393"/>
      <c r="C941" s="393"/>
      <c r="D941" s="393"/>
      <c r="E941" s="393"/>
      <c r="F941" s="393"/>
      <c r="G941" s="393"/>
      <c r="H941" s="393"/>
      <c r="I941" s="393"/>
      <c r="J941" s="393"/>
      <c r="K941" s="393"/>
      <c r="L941" s="393"/>
      <c r="M941" s="393"/>
      <c r="N941" s="393"/>
      <c r="O941" s="393"/>
      <c r="P941" s="393"/>
      <c r="Q941" s="393"/>
      <c r="R941" s="393"/>
      <c r="S941" s="393"/>
      <c r="T941" s="393"/>
      <c r="U941" s="393"/>
      <c r="V941" s="393"/>
      <c r="W941" s="393"/>
      <c r="X941" s="393"/>
      <c r="Y941" s="393"/>
      <c r="Z941" s="393"/>
    </row>
    <row r="942">
      <c r="A942" s="393"/>
      <c r="B942" s="393"/>
      <c r="C942" s="393"/>
      <c r="D942" s="393"/>
      <c r="E942" s="393"/>
      <c r="F942" s="393"/>
      <c r="G942" s="393"/>
      <c r="H942" s="393"/>
      <c r="I942" s="393"/>
      <c r="J942" s="393"/>
      <c r="K942" s="393"/>
      <c r="L942" s="393"/>
      <c r="M942" s="393"/>
      <c r="N942" s="393"/>
      <c r="O942" s="393"/>
      <c r="P942" s="393"/>
      <c r="Q942" s="393"/>
      <c r="R942" s="393"/>
      <c r="S942" s="393"/>
      <c r="T942" s="393"/>
      <c r="U942" s="393"/>
      <c r="V942" s="393"/>
      <c r="W942" s="393"/>
      <c r="X942" s="393"/>
      <c r="Y942" s="393"/>
      <c r="Z942" s="393"/>
    </row>
    <row r="943">
      <c r="A943" s="393"/>
      <c r="B943" s="393"/>
      <c r="C943" s="393"/>
      <c r="D943" s="393"/>
      <c r="E943" s="393"/>
      <c r="F943" s="393"/>
      <c r="G943" s="393"/>
      <c r="H943" s="393"/>
      <c r="I943" s="393"/>
      <c r="J943" s="393"/>
      <c r="K943" s="393"/>
      <c r="L943" s="393"/>
      <c r="M943" s="393"/>
      <c r="N943" s="393"/>
      <c r="O943" s="393"/>
      <c r="P943" s="393"/>
      <c r="Q943" s="393"/>
      <c r="R943" s="393"/>
      <c r="S943" s="393"/>
      <c r="T943" s="393"/>
      <c r="U943" s="393"/>
      <c r="V943" s="393"/>
      <c r="W943" s="393"/>
      <c r="X943" s="393"/>
      <c r="Y943" s="393"/>
      <c r="Z943" s="393"/>
    </row>
    <row r="944">
      <c r="A944" s="393"/>
      <c r="B944" s="393"/>
      <c r="C944" s="393"/>
      <c r="D944" s="393"/>
      <c r="E944" s="393"/>
      <c r="F944" s="393"/>
      <c r="G944" s="393"/>
      <c r="H944" s="393"/>
      <c r="I944" s="393"/>
      <c r="J944" s="393"/>
      <c r="K944" s="393"/>
      <c r="L944" s="393"/>
      <c r="M944" s="393"/>
      <c r="N944" s="393"/>
      <c r="O944" s="393"/>
      <c r="P944" s="393"/>
      <c r="Q944" s="393"/>
      <c r="R944" s="393"/>
      <c r="S944" s="393"/>
      <c r="T944" s="393"/>
      <c r="U944" s="393"/>
      <c r="V944" s="393"/>
      <c r="W944" s="393"/>
      <c r="X944" s="393"/>
      <c r="Y944" s="393"/>
      <c r="Z944" s="393"/>
    </row>
    <row r="945">
      <c r="A945" s="393"/>
      <c r="B945" s="393"/>
      <c r="C945" s="393"/>
      <c r="D945" s="393"/>
      <c r="E945" s="393"/>
      <c r="F945" s="393"/>
      <c r="G945" s="393"/>
      <c r="H945" s="393"/>
      <c r="I945" s="393"/>
      <c r="J945" s="393"/>
      <c r="K945" s="393"/>
      <c r="L945" s="393"/>
      <c r="M945" s="393"/>
      <c r="N945" s="393"/>
      <c r="O945" s="393"/>
      <c r="P945" s="393"/>
      <c r="Q945" s="393"/>
      <c r="R945" s="393"/>
      <c r="S945" s="393"/>
      <c r="T945" s="393"/>
      <c r="U945" s="393"/>
      <c r="V945" s="393"/>
      <c r="W945" s="393"/>
      <c r="X945" s="393"/>
      <c r="Y945" s="393"/>
      <c r="Z945" s="393"/>
    </row>
    <row r="946">
      <c r="A946" s="393"/>
      <c r="B946" s="393"/>
      <c r="C946" s="393"/>
      <c r="D946" s="393"/>
      <c r="E946" s="393"/>
      <c r="F946" s="393"/>
      <c r="G946" s="393"/>
      <c r="H946" s="393"/>
      <c r="I946" s="393"/>
      <c r="J946" s="393"/>
      <c r="K946" s="393"/>
      <c r="L946" s="393"/>
      <c r="M946" s="393"/>
      <c r="N946" s="393"/>
      <c r="O946" s="393"/>
      <c r="P946" s="393"/>
      <c r="Q946" s="393"/>
      <c r="R946" s="393"/>
      <c r="S946" s="393"/>
      <c r="T946" s="393"/>
      <c r="U946" s="393"/>
      <c r="V946" s="393"/>
      <c r="W946" s="393"/>
      <c r="X946" s="393"/>
      <c r="Y946" s="393"/>
      <c r="Z946" s="393"/>
    </row>
    <row r="947">
      <c r="A947" s="393"/>
      <c r="B947" s="393"/>
      <c r="C947" s="393"/>
      <c r="D947" s="393"/>
      <c r="E947" s="393"/>
      <c r="F947" s="393"/>
      <c r="G947" s="393"/>
      <c r="H947" s="393"/>
      <c r="I947" s="393"/>
      <c r="J947" s="393"/>
      <c r="K947" s="393"/>
      <c r="L947" s="393"/>
      <c r="M947" s="393"/>
      <c r="N947" s="393"/>
      <c r="O947" s="393"/>
      <c r="P947" s="393"/>
      <c r="Q947" s="393"/>
      <c r="R947" s="393"/>
      <c r="S947" s="393"/>
      <c r="T947" s="393"/>
      <c r="U947" s="393"/>
      <c r="V947" s="393"/>
      <c r="W947" s="393"/>
      <c r="X947" s="393"/>
      <c r="Y947" s="393"/>
      <c r="Z947" s="393"/>
    </row>
    <row r="948">
      <c r="A948" s="393"/>
      <c r="B948" s="393"/>
      <c r="C948" s="393"/>
      <c r="D948" s="393"/>
      <c r="E948" s="393"/>
      <c r="F948" s="393"/>
      <c r="G948" s="393"/>
      <c r="H948" s="393"/>
      <c r="I948" s="393"/>
      <c r="J948" s="393"/>
      <c r="K948" s="393"/>
      <c r="L948" s="393"/>
      <c r="M948" s="393"/>
      <c r="N948" s="393"/>
      <c r="O948" s="393"/>
      <c r="P948" s="393"/>
      <c r="Q948" s="393"/>
      <c r="R948" s="393"/>
      <c r="S948" s="393"/>
      <c r="T948" s="393"/>
      <c r="U948" s="393"/>
      <c r="V948" s="393"/>
      <c r="W948" s="393"/>
      <c r="X948" s="393"/>
      <c r="Y948" s="393"/>
      <c r="Z948" s="393"/>
    </row>
    <row r="949">
      <c r="A949" s="393"/>
      <c r="B949" s="393"/>
      <c r="C949" s="393"/>
      <c r="D949" s="393"/>
      <c r="E949" s="393"/>
      <c r="F949" s="393"/>
      <c r="G949" s="393"/>
      <c r="H949" s="393"/>
      <c r="I949" s="393"/>
      <c r="J949" s="393"/>
      <c r="K949" s="393"/>
      <c r="L949" s="393"/>
      <c r="M949" s="393"/>
      <c r="N949" s="393"/>
      <c r="O949" s="393"/>
      <c r="P949" s="393"/>
      <c r="Q949" s="393"/>
      <c r="R949" s="393"/>
      <c r="S949" s="393"/>
      <c r="T949" s="393"/>
      <c r="U949" s="393"/>
      <c r="V949" s="393"/>
      <c r="W949" s="393"/>
      <c r="X949" s="393"/>
      <c r="Y949" s="393"/>
      <c r="Z949" s="393"/>
    </row>
    <row r="950">
      <c r="A950" s="393"/>
      <c r="B950" s="393"/>
      <c r="C950" s="393"/>
      <c r="D950" s="393"/>
      <c r="E950" s="393"/>
      <c r="F950" s="393"/>
      <c r="G950" s="393"/>
      <c r="H950" s="393"/>
      <c r="I950" s="393"/>
      <c r="J950" s="393"/>
      <c r="K950" s="393"/>
      <c r="L950" s="393"/>
      <c r="M950" s="393"/>
      <c r="N950" s="393"/>
      <c r="O950" s="393"/>
      <c r="P950" s="393"/>
      <c r="Q950" s="393"/>
      <c r="R950" s="393"/>
      <c r="S950" s="393"/>
      <c r="T950" s="393"/>
      <c r="U950" s="393"/>
      <c r="V950" s="393"/>
      <c r="W950" s="393"/>
      <c r="X950" s="393"/>
      <c r="Y950" s="393"/>
      <c r="Z950" s="393"/>
    </row>
    <row r="951">
      <c r="A951" s="393"/>
      <c r="B951" s="393"/>
      <c r="C951" s="393"/>
      <c r="D951" s="393"/>
      <c r="E951" s="393"/>
      <c r="F951" s="393"/>
      <c r="G951" s="393"/>
      <c r="H951" s="393"/>
      <c r="I951" s="393"/>
      <c r="J951" s="393"/>
      <c r="K951" s="393"/>
      <c r="L951" s="393"/>
      <c r="M951" s="393"/>
      <c r="N951" s="393"/>
      <c r="O951" s="393"/>
      <c r="P951" s="393"/>
      <c r="Q951" s="393"/>
      <c r="R951" s="393"/>
      <c r="S951" s="393"/>
      <c r="T951" s="393"/>
      <c r="U951" s="393"/>
      <c r="V951" s="393"/>
      <c r="W951" s="393"/>
      <c r="X951" s="393"/>
      <c r="Y951" s="393"/>
      <c r="Z951" s="393"/>
    </row>
    <row r="952">
      <c r="A952" s="393"/>
      <c r="B952" s="393"/>
      <c r="C952" s="393"/>
      <c r="D952" s="393"/>
      <c r="E952" s="393"/>
      <c r="F952" s="393"/>
      <c r="G952" s="393"/>
      <c r="H952" s="393"/>
      <c r="I952" s="393"/>
      <c r="J952" s="393"/>
      <c r="K952" s="393"/>
      <c r="L952" s="393"/>
      <c r="M952" s="393"/>
      <c r="N952" s="393"/>
      <c r="O952" s="393"/>
      <c r="P952" s="393"/>
      <c r="Q952" s="393"/>
      <c r="R952" s="393"/>
      <c r="S952" s="393"/>
      <c r="T952" s="393"/>
      <c r="U952" s="393"/>
      <c r="V952" s="393"/>
      <c r="W952" s="393"/>
      <c r="X952" s="393"/>
      <c r="Y952" s="393"/>
      <c r="Z952" s="393"/>
    </row>
    <row r="953">
      <c r="A953" s="393"/>
      <c r="B953" s="393"/>
      <c r="C953" s="393"/>
      <c r="D953" s="393"/>
      <c r="E953" s="393"/>
      <c r="F953" s="393"/>
      <c r="G953" s="393"/>
      <c r="H953" s="393"/>
      <c r="I953" s="393"/>
      <c r="J953" s="393"/>
      <c r="K953" s="393"/>
      <c r="L953" s="393"/>
      <c r="M953" s="393"/>
      <c r="N953" s="393"/>
      <c r="O953" s="393"/>
      <c r="P953" s="393"/>
      <c r="Q953" s="393"/>
      <c r="R953" s="393"/>
      <c r="S953" s="393"/>
      <c r="T953" s="393"/>
      <c r="U953" s="393"/>
      <c r="V953" s="393"/>
      <c r="W953" s="393"/>
      <c r="X953" s="393"/>
      <c r="Y953" s="393"/>
      <c r="Z953" s="393"/>
    </row>
    <row r="954">
      <c r="A954" s="393"/>
      <c r="B954" s="393"/>
      <c r="C954" s="393"/>
      <c r="D954" s="393"/>
      <c r="E954" s="393"/>
      <c r="F954" s="393"/>
      <c r="G954" s="393"/>
      <c r="H954" s="393"/>
      <c r="I954" s="393"/>
      <c r="J954" s="393"/>
      <c r="K954" s="393"/>
      <c r="L954" s="393"/>
      <c r="M954" s="393"/>
      <c r="N954" s="393"/>
      <c r="O954" s="393"/>
      <c r="P954" s="393"/>
      <c r="Q954" s="393"/>
      <c r="R954" s="393"/>
      <c r="S954" s="393"/>
      <c r="T954" s="393"/>
      <c r="U954" s="393"/>
      <c r="V954" s="393"/>
      <c r="W954" s="393"/>
      <c r="X954" s="393"/>
      <c r="Y954" s="393"/>
      <c r="Z954" s="393"/>
    </row>
    <row r="955">
      <c r="A955" s="393"/>
      <c r="B955" s="393"/>
      <c r="C955" s="393"/>
      <c r="D955" s="393"/>
      <c r="E955" s="393"/>
      <c r="F955" s="393"/>
      <c r="G955" s="393"/>
      <c r="H955" s="393"/>
      <c r="I955" s="393"/>
      <c r="J955" s="393"/>
      <c r="K955" s="393"/>
      <c r="L955" s="393"/>
      <c r="M955" s="393"/>
      <c r="N955" s="393"/>
      <c r="O955" s="393"/>
      <c r="P955" s="393"/>
      <c r="Q955" s="393"/>
      <c r="R955" s="393"/>
      <c r="S955" s="393"/>
      <c r="T955" s="393"/>
      <c r="U955" s="393"/>
      <c r="V955" s="393"/>
      <c r="W955" s="393"/>
      <c r="X955" s="393"/>
      <c r="Y955" s="393"/>
      <c r="Z955" s="393"/>
    </row>
    <row r="956">
      <c r="A956" s="393"/>
      <c r="B956" s="393"/>
      <c r="C956" s="393"/>
      <c r="D956" s="393"/>
      <c r="E956" s="393"/>
      <c r="F956" s="393"/>
      <c r="G956" s="393"/>
      <c r="H956" s="393"/>
      <c r="I956" s="393"/>
      <c r="J956" s="393"/>
      <c r="K956" s="393"/>
      <c r="L956" s="393"/>
      <c r="M956" s="393"/>
      <c r="N956" s="393"/>
      <c r="O956" s="393"/>
      <c r="P956" s="393"/>
      <c r="Q956" s="393"/>
      <c r="R956" s="393"/>
      <c r="S956" s="393"/>
      <c r="T956" s="393"/>
      <c r="U956" s="393"/>
      <c r="V956" s="393"/>
      <c r="W956" s="393"/>
      <c r="X956" s="393"/>
      <c r="Y956" s="393"/>
      <c r="Z956" s="393"/>
    </row>
    <row r="957">
      <c r="A957" s="393"/>
      <c r="B957" s="393"/>
      <c r="C957" s="393"/>
      <c r="D957" s="393"/>
      <c r="E957" s="393"/>
      <c r="F957" s="393"/>
      <c r="G957" s="393"/>
      <c r="H957" s="393"/>
      <c r="I957" s="393"/>
      <c r="J957" s="393"/>
      <c r="K957" s="393"/>
      <c r="L957" s="393"/>
      <c r="M957" s="393"/>
      <c r="N957" s="393"/>
      <c r="O957" s="393"/>
      <c r="P957" s="393"/>
      <c r="Q957" s="393"/>
      <c r="R957" s="393"/>
      <c r="S957" s="393"/>
      <c r="T957" s="393"/>
      <c r="U957" s="393"/>
      <c r="V957" s="393"/>
      <c r="W957" s="393"/>
      <c r="X957" s="393"/>
      <c r="Y957" s="393"/>
      <c r="Z957" s="393"/>
    </row>
    <row r="958">
      <c r="A958" s="393"/>
      <c r="B958" s="393"/>
      <c r="C958" s="393"/>
      <c r="D958" s="393"/>
      <c r="E958" s="393"/>
      <c r="F958" s="393"/>
      <c r="G958" s="393"/>
      <c r="H958" s="393"/>
      <c r="I958" s="393"/>
      <c r="J958" s="393"/>
      <c r="K958" s="393"/>
      <c r="L958" s="393"/>
      <c r="M958" s="393"/>
      <c r="N958" s="393"/>
      <c r="O958" s="393"/>
      <c r="P958" s="393"/>
      <c r="Q958" s="393"/>
      <c r="R958" s="393"/>
      <c r="S958" s="393"/>
      <c r="T958" s="393"/>
      <c r="U958" s="393"/>
      <c r="V958" s="393"/>
      <c r="W958" s="393"/>
      <c r="X958" s="393"/>
      <c r="Y958" s="393"/>
      <c r="Z958" s="393"/>
    </row>
    <row r="959">
      <c r="A959" s="393"/>
      <c r="B959" s="393"/>
      <c r="C959" s="393"/>
      <c r="D959" s="393"/>
      <c r="E959" s="393"/>
      <c r="F959" s="393"/>
      <c r="G959" s="393"/>
      <c r="H959" s="393"/>
      <c r="I959" s="393"/>
      <c r="J959" s="393"/>
      <c r="K959" s="393"/>
      <c r="L959" s="393"/>
      <c r="M959" s="393"/>
      <c r="N959" s="393"/>
      <c r="O959" s="393"/>
      <c r="P959" s="393"/>
      <c r="Q959" s="393"/>
      <c r="R959" s="393"/>
      <c r="S959" s="393"/>
      <c r="T959" s="393"/>
      <c r="U959" s="393"/>
      <c r="V959" s="393"/>
      <c r="W959" s="393"/>
      <c r="X959" s="393"/>
      <c r="Y959" s="393"/>
      <c r="Z959" s="393"/>
    </row>
    <row r="960">
      <c r="A960" s="393"/>
      <c r="B960" s="393"/>
      <c r="C960" s="393"/>
      <c r="D960" s="393"/>
      <c r="E960" s="393"/>
      <c r="F960" s="393"/>
      <c r="G960" s="393"/>
      <c r="H960" s="393"/>
      <c r="I960" s="393"/>
      <c r="J960" s="393"/>
      <c r="K960" s="393"/>
      <c r="L960" s="393"/>
      <c r="M960" s="393"/>
      <c r="N960" s="393"/>
      <c r="O960" s="393"/>
      <c r="P960" s="393"/>
      <c r="Q960" s="393"/>
      <c r="R960" s="393"/>
      <c r="S960" s="393"/>
      <c r="T960" s="393"/>
      <c r="U960" s="393"/>
      <c r="V960" s="393"/>
      <c r="W960" s="393"/>
      <c r="X960" s="393"/>
      <c r="Y960" s="393"/>
      <c r="Z960" s="393"/>
    </row>
    <row r="961">
      <c r="A961" s="393"/>
      <c r="B961" s="393"/>
      <c r="C961" s="393"/>
      <c r="D961" s="393"/>
      <c r="E961" s="393"/>
      <c r="F961" s="393"/>
      <c r="G961" s="393"/>
      <c r="H961" s="393"/>
      <c r="I961" s="393"/>
      <c r="J961" s="393"/>
      <c r="K961" s="393"/>
      <c r="L961" s="393"/>
      <c r="M961" s="393"/>
      <c r="N961" s="393"/>
      <c r="O961" s="393"/>
      <c r="P961" s="393"/>
      <c r="Q961" s="393"/>
      <c r="R961" s="393"/>
      <c r="S961" s="393"/>
      <c r="T961" s="393"/>
      <c r="U961" s="393"/>
      <c r="V961" s="393"/>
      <c r="W961" s="393"/>
      <c r="X961" s="393"/>
      <c r="Y961" s="393"/>
      <c r="Z961" s="393"/>
    </row>
    <row r="962">
      <c r="A962" s="393"/>
      <c r="B962" s="393"/>
      <c r="C962" s="393"/>
      <c r="D962" s="393"/>
      <c r="E962" s="393"/>
      <c r="F962" s="393"/>
      <c r="G962" s="393"/>
      <c r="H962" s="393"/>
      <c r="I962" s="393"/>
      <c r="J962" s="393"/>
      <c r="K962" s="393"/>
      <c r="L962" s="393"/>
      <c r="M962" s="393"/>
      <c r="N962" s="393"/>
      <c r="O962" s="393"/>
      <c r="P962" s="393"/>
      <c r="Q962" s="393"/>
      <c r="R962" s="393"/>
      <c r="S962" s="393"/>
      <c r="T962" s="393"/>
      <c r="U962" s="393"/>
      <c r="V962" s="393"/>
      <c r="W962" s="393"/>
      <c r="X962" s="393"/>
      <c r="Y962" s="393"/>
      <c r="Z962" s="393"/>
    </row>
    <row r="963">
      <c r="A963" s="393"/>
      <c r="B963" s="393"/>
      <c r="C963" s="393"/>
      <c r="D963" s="393"/>
      <c r="E963" s="393"/>
      <c r="F963" s="393"/>
      <c r="G963" s="393"/>
      <c r="H963" s="393"/>
      <c r="I963" s="393"/>
      <c r="J963" s="393"/>
      <c r="K963" s="393"/>
      <c r="L963" s="393"/>
      <c r="M963" s="393"/>
      <c r="N963" s="393"/>
      <c r="O963" s="393"/>
      <c r="P963" s="393"/>
      <c r="Q963" s="393"/>
      <c r="R963" s="393"/>
      <c r="S963" s="393"/>
      <c r="T963" s="393"/>
      <c r="U963" s="393"/>
      <c r="V963" s="393"/>
      <c r="W963" s="393"/>
      <c r="X963" s="393"/>
      <c r="Y963" s="393"/>
      <c r="Z963" s="393"/>
    </row>
    <row r="964">
      <c r="A964" s="393"/>
      <c r="B964" s="393"/>
      <c r="C964" s="393"/>
      <c r="D964" s="393"/>
      <c r="E964" s="393"/>
      <c r="F964" s="393"/>
      <c r="G964" s="393"/>
      <c r="H964" s="393"/>
      <c r="I964" s="393"/>
      <c r="J964" s="393"/>
      <c r="K964" s="393"/>
      <c r="L964" s="393"/>
      <c r="M964" s="393"/>
      <c r="N964" s="393"/>
      <c r="O964" s="393"/>
      <c r="P964" s="393"/>
      <c r="Q964" s="393"/>
      <c r="R964" s="393"/>
      <c r="S964" s="393"/>
      <c r="T964" s="393"/>
      <c r="U964" s="393"/>
      <c r="V964" s="393"/>
      <c r="W964" s="393"/>
      <c r="X964" s="393"/>
      <c r="Y964" s="393"/>
      <c r="Z964" s="393"/>
    </row>
    <row r="965">
      <c r="A965" s="393"/>
      <c r="B965" s="393"/>
      <c r="C965" s="393"/>
      <c r="D965" s="393"/>
      <c r="E965" s="393"/>
      <c r="F965" s="393"/>
      <c r="G965" s="393"/>
      <c r="H965" s="393"/>
      <c r="I965" s="393"/>
      <c r="J965" s="393"/>
      <c r="K965" s="393"/>
      <c r="L965" s="393"/>
      <c r="M965" s="393"/>
      <c r="N965" s="393"/>
      <c r="O965" s="393"/>
      <c r="P965" s="393"/>
      <c r="Q965" s="393"/>
      <c r="R965" s="393"/>
      <c r="S965" s="393"/>
      <c r="T965" s="393"/>
      <c r="U965" s="393"/>
      <c r="V965" s="393"/>
      <c r="W965" s="393"/>
      <c r="X965" s="393"/>
      <c r="Y965" s="393"/>
      <c r="Z965" s="393"/>
    </row>
    <row r="966">
      <c r="A966" s="393"/>
      <c r="B966" s="393"/>
      <c r="C966" s="393"/>
      <c r="D966" s="393"/>
      <c r="E966" s="393"/>
      <c r="F966" s="393"/>
      <c r="G966" s="393"/>
      <c r="H966" s="393"/>
      <c r="I966" s="393"/>
      <c r="J966" s="393"/>
      <c r="K966" s="393"/>
      <c r="L966" s="393"/>
      <c r="M966" s="393"/>
      <c r="N966" s="393"/>
      <c r="O966" s="393"/>
      <c r="P966" s="393"/>
      <c r="Q966" s="393"/>
      <c r="R966" s="393"/>
      <c r="S966" s="393"/>
      <c r="T966" s="393"/>
      <c r="U966" s="393"/>
      <c r="V966" s="393"/>
      <c r="W966" s="393"/>
      <c r="X966" s="393"/>
      <c r="Y966" s="393"/>
      <c r="Z966" s="393"/>
    </row>
    <row r="967">
      <c r="A967" s="393"/>
      <c r="B967" s="393"/>
      <c r="C967" s="393"/>
      <c r="D967" s="393"/>
      <c r="E967" s="393"/>
      <c r="F967" s="393"/>
      <c r="G967" s="393"/>
      <c r="H967" s="393"/>
      <c r="I967" s="393"/>
      <c r="J967" s="393"/>
      <c r="K967" s="393"/>
      <c r="L967" s="393"/>
      <c r="M967" s="393"/>
      <c r="N967" s="393"/>
      <c r="O967" s="393"/>
      <c r="P967" s="393"/>
      <c r="Q967" s="393"/>
      <c r="R967" s="393"/>
      <c r="S967" s="393"/>
      <c r="T967" s="393"/>
      <c r="U967" s="393"/>
      <c r="V967" s="393"/>
      <c r="W967" s="393"/>
      <c r="X967" s="393"/>
      <c r="Y967" s="393"/>
      <c r="Z967" s="393"/>
    </row>
    <row r="968">
      <c r="A968" s="393"/>
      <c r="B968" s="393"/>
      <c r="C968" s="393"/>
      <c r="D968" s="393"/>
      <c r="E968" s="393"/>
      <c r="F968" s="393"/>
      <c r="G968" s="393"/>
      <c r="H968" s="393"/>
      <c r="I968" s="393"/>
      <c r="J968" s="393"/>
      <c r="K968" s="393"/>
      <c r="L968" s="393"/>
      <c r="M968" s="393"/>
      <c r="N968" s="393"/>
      <c r="O968" s="393"/>
      <c r="P968" s="393"/>
      <c r="Q968" s="393"/>
      <c r="R968" s="393"/>
      <c r="S968" s="393"/>
      <c r="T968" s="393"/>
      <c r="U968" s="393"/>
      <c r="V968" s="393"/>
      <c r="W968" s="393"/>
      <c r="X968" s="393"/>
      <c r="Y968" s="393"/>
      <c r="Z968" s="393"/>
    </row>
    <row r="969">
      <c r="A969" s="393"/>
      <c r="B969" s="393"/>
      <c r="C969" s="393"/>
      <c r="D969" s="393"/>
      <c r="E969" s="393"/>
      <c r="F969" s="393"/>
      <c r="G969" s="393"/>
      <c r="H969" s="393"/>
      <c r="I969" s="393"/>
      <c r="J969" s="393"/>
      <c r="K969" s="393"/>
      <c r="L969" s="393"/>
      <c r="M969" s="393"/>
      <c r="N969" s="393"/>
      <c r="O969" s="393"/>
      <c r="P969" s="393"/>
      <c r="Q969" s="393"/>
      <c r="R969" s="393"/>
      <c r="S969" s="393"/>
      <c r="T969" s="393"/>
      <c r="U969" s="393"/>
      <c r="V969" s="393"/>
      <c r="W969" s="393"/>
      <c r="X969" s="393"/>
      <c r="Y969" s="393"/>
      <c r="Z969" s="393"/>
    </row>
    <row r="970">
      <c r="A970" s="393"/>
      <c r="B970" s="393"/>
      <c r="C970" s="393"/>
      <c r="D970" s="393"/>
      <c r="E970" s="393"/>
      <c r="F970" s="393"/>
      <c r="G970" s="393"/>
      <c r="H970" s="393"/>
      <c r="I970" s="393"/>
      <c r="J970" s="393"/>
      <c r="K970" s="393"/>
      <c r="L970" s="393"/>
      <c r="M970" s="393"/>
      <c r="N970" s="393"/>
      <c r="O970" s="393"/>
      <c r="P970" s="393"/>
      <c r="Q970" s="393"/>
      <c r="R970" s="393"/>
      <c r="S970" s="393"/>
      <c r="T970" s="393"/>
      <c r="U970" s="393"/>
      <c r="V970" s="393"/>
      <c r="W970" s="393"/>
      <c r="X970" s="393"/>
      <c r="Y970" s="393"/>
      <c r="Z970" s="393"/>
    </row>
    <row r="971">
      <c r="A971" s="393"/>
      <c r="B971" s="393"/>
      <c r="C971" s="393"/>
      <c r="D971" s="393"/>
      <c r="E971" s="393"/>
      <c r="F971" s="393"/>
      <c r="G971" s="393"/>
      <c r="H971" s="393"/>
      <c r="I971" s="393"/>
      <c r="J971" s="393"/>
      <c r="K971" s="393"/>
      <c r="L971" s="393"/>
      <c r="M971" s="393"/>
      <c r="N971" s="393"/>
      <c r="O971" s="393"/>
      <c r="P971" s="393"/>
      <c r="Q971" s="393"/>
      <c r="R971" s="393"/>
      <c r="S971" s="393"/>
      <c r="T971" s="393"/>
      <c r="U971" s="393"/>
      <c r="V971" s="393"/>
      <c r="W971" s="393"/>
      <c r="X971" s="393"/>
      <c r="Y971" s="393"/>
      <c r="Z971" s="393"/>
    </row>
    <row r="972">
      <c r="A972" s="393"/>
      <c r="B972" s="393"/>
      <c r="C972" s="393"/>
      <c r="D972" s="393"/>
      <c r="E972" s="393"/>
      <c r="F972" s="393"/>
      <c r="G972" s="393"/>
      <c r="H972" s="393"/>
      <c r="I972" s="393"/>
      <c r="J972" s="393"/>
      <c r="K972" s="393"/>
      <c r="L972" s="393"/>
      <c r="M972" s="393"/>
      <c r="N972" s="393"/>
      <c r="O972" s="393"/>
      <c r="P972" s="393"/>
      <c r="Q972" s="393"/>
      <c r="R972" s="393"/>
      <c r="S972" s="393"/>
      <c r="T972" s="393"/>
      <c r="U972" s="393"/>
      <c r="V972" s="393"/>
      <c r="W972" s="393"/>
      <c r="X972" s="393"/>
      <c r="Y972" s="393"/>
      <c r="Z972" s="393"/>
    </row>
    <row r="973">
      <c r="A973" s="393"/>
      <c r="B973" s="393"/>
      <c r="C973" s="393"/>
      <c r="D973" s="393"/>
      <c r="E973" s="393"/>
      <c r="F973" s="393"/>
      <c r="G973" s="393"/>
      <c r="H973" s="393"/>
      <c r="I973" s="393"/>
      <c r="J973" s="393"/>
      <c r="K973" s="393"/>
      <c r="L973" s="393"/>
      <c r="M973" s="393"/>
      <c r="N973" s="393"/>
      <c r="O973" s="393"/>
      <c r="P973" s="393"/>
      <c r="Q973" s="393"/>
      <c r="R973" s="393"/>
      <c r="S973" s="393"/>
      <c r="T973" s="393"/>
      <c r="U973" s="393"/>
      <c r="V973" s="393"/>
      <c r="W973" s="393"/>
      <c r="X973" s="393"/>
      <c r="Y973" s="393"/>
      <c r="Z973" s="393"/>
    </row>
    <row r="974">
      <c r="A974" s="393"/>
      <c r="B974" s="393"/>
      <c r="C974" s="393"/>
      <c r="D974" s="393"/>
      <c r="E974" s="393"/>
      <c r="F974" s="393"/>
      <c r="G974" s="393"/>
      <c r="H974" s="393"/>
      <c r="I974" s="393"/>
      <c r="J974" s="393"/>
      <c r="K974" s="393"/>
      <c r="L974" s="393"/>
      <c r="M974" s="393"/>
      <c r="N974" s="393"/>
      <c r="O974" s="393"/>
      <c r="P974" s="393"/>
      <c r="Q974" s="393"/>
      <c r="R974" s="393"/>
      <c r="S974" s="393"/>
      <c r="T974" s="393"/>
      <c r="U974" s="393"/>
      <c r="V974" s="393"/>
      <c r="W974" s="393"/>
      <c r="X974" s="393"/>
      <c r="Y974" s="393"/>
      <c r="Z974" s="393"/>
    </row>
    <row r="975">
      <c r="A975" s="393"/>
      <c r="B975" s="393"/>
      <c r="C975" s="393"/>
      <c r="D975" s="393"/>
      <c r="E975" s="393"/>
      <c r="F975" s="393"/>
      <c r="G975" s="393"/>
      <c r="H975" s="393"/>
      <c r="I975" s="393"/>
      <c r="J975" s="393"/>
      <c r="K975" s="393"/>
      <c r="L975" s="393"/>
      <c r="M975" s="393"/>
      <c r="N975" s="393"/>
      <c r="O975" s="393"/>
      <c r="P975" s="393"/>
      <c r="Q975" s="393"/>
      <c r="R975" s="393"/>
      <c r="S975" s="393"/>
      <c r="T975" s="393"/>
      <c r="U975" s="393"/>
      <c r="V975" s="393"/>
      <c r="W975" s="393"/>
      <c r="X975" s="393"/>
      <c r="Y975" s="393"/>
      <c r="Z975" s="393"/>
    </row>
    <row r="976">
      <c r="A976" s="393"/>
      <c r="B976" s="393"/>
      <c r="C976" s="393"/>
      <c r="D976" s="393"/>
      <c r="E976" s="393"/>
      <c r="F976" s="393"/>
      <c r="G976" s="393"/>
      <c r="H976" s="393"/>
      <c r="I976" s="393"/>
      <c r="J976" s="393"/>
      <c r="K976" s="393"/>
      <c r="L976" s="393"/>
      <c r="M976" s="393"/>
      <c r="N976" s="393"/>
      <c r="O976" s="393"/>
      <c r="P976" s="393"/>
      <c r="Q976" s="393"/>
      <c r="R976" s="393"/>
      <c r="S976" s="393"/>
      <c r="T976" s="393"/>
      <c r="U976" s="393"/>
      <c r="V976" s="393"/>
      <c r="W976" s="393"/>
      <c r="X976" s="393"/>
      <c r="Y976" s="393"/>
      <c r="Z976" s="393"/>
    </row>
    <row r="977">
      <c r="A977" s="393"/>
      <c r="B977" s="393"/>
      <c r="C977" s="393"/>
      <c r="D977" s="393"/>
      <c r="E977" s="393"/>
      <c r="F977" s="393"/>
      <c r="G977" s="393"/>
      <c r="H977" s="393"/>
      <c r="I977" s="393"/>
      <c r="J977" s="393"/>
      <c r="K977" s="393"/>
      <c r="L977" s="393"/>
      <c r="M977" s="393"/>
      <c r="N977" s="393"/>
      <c r="O977" s="393"/>
      <c r="P977" s="393"/>
      <c r="Q977" s="393"/>
      <c r="R977" s="393"/>
      <c r="S977" s="393"/>
      <c r="T977" s="393"/>
      <c r="U977" s="393"/>
      <c r="V977" s="393"/>
      <c r="W977" s="393"/>
      <c r="X977" s="393"/>
      <c r="Y977" s="393"/>
      <c r="Z977" s="393"/>
    </row>
    <row r="978">
      <c r="A978" s="393"/>
      <c r="B978" s="393"/>
      <c r="C978" s="393"/>
      <c r="D978" s="393"/>
      <c r="E978" s="393"/>
      <c r="F978" s="393"/>
      <c r="G978" s="393"/>
      <c r="H978" s="393"/>
      <c r="I978" s="393"/>
      <c r="J978" s="393"/>
      <c r="K978" s="393"/>
      <c r="L978" s="393"/>
      <c r="M978" s="393"/>
      <c r="N978" s="393"/>
      <c r="O978" s="393"/>
      <c r="P978" s="393"/>
      <c r="Q978" s="393"/>
      <c r="R978" s="393"/>
      <c r="S978" s="393"/>
      <c r="T978" s="393"/>
      <c r="U978" s="393"/>
      <c r="V978" s="393"/>
      <c r="W978" s="393"/>
      <c r="X978" s="393"/>
      <c r="Y978" s="393"/>
      <c r="Z978" s="393"/>
    </row>
    <row r="979">
      <c r="A979" s="393"/>
      <c r="B979" s="393"/>
      <c r="C979" s="393"/>
      <c r="D979" s="393"/>
      <c r="E979" s="393"/>
      <c r="F979" s="393"/>
      <c r="G979" s="393"/>
      <c r="H979" s="393"/>
      <c r="I979" s="393"/>
      <c r="J979" s="393"/>
      <c r="K979" s="393"/>
      <c r="L979" s="393"/>
      <c r="M979" s="393"/>
      <c r="N979" s="393"/>
      <c r="O979" s="393"/>
      <c r="P979" s="393"/>
      <c r="Q979" s="393"/>
      <c r="R979" s="393"/>
      <c r="S979" s="393"/>
      <c r="T979" s="393"/>
      <c r="U979" s="393"/>
      <c r="V979" s="393"/>
      <c r="W979" s="393"/>
      <c r="X979" s="393"/>
      <c r="Y979" s="393"/>
      <c r="Z979" s="393"/>
    </row>
    <row r="980">
      <c r="A980" s="393"/>
      <c r="B980" s="393"/>
      <c r="C980" s="393"/>
      <c r="D980" s="393"/>
      <c r="E980" s="393"/>
      <c r="F980" s="393"/>
      <c r="G980" s="393"/>
      <c r="H980" s="393"/>
      <c r="I980" s="393"/>
      <c r="J980" s="393"/>
      <c r="K980" s="393"/>
      <c r="L980" s="393"/>
      <c r="M980" s="393"/>
      <c r="N980" s="393"/>
      <c r="O980" s="393"/>
      <c r="P980" s="393"/>
      <c r="Q980" s="393"/>
      <c r="R980" s="393"/>
      <c r="S980" s="393"/>
      <c r="T980" s="393"/>
      <c r="U980" s="393"/>
      <c r="V980" s="393"/>
      <c r="W980" s="393"/>
      <c r="X980" s="393"/>
      <c r="Y980" s="393"/>
      <c r="Z980" s="393"/>
    </row>
    <row r="981">
      <c r="A981" s="393"/>
      <c r="B981" s="393"/>
      <c r="C981" s="393"/>
      <c r="D981" s="393"/>
      <c r="E981" s="393"/>
      <c r="F981" s="393"/>
      <c r="G981" s="393"/>
      <c r="H981" s="393"/>
      <c r="I981" s="393"/>
      <c r="J981" s="393"/>
      <c r="K981" s="393"/>
      <c r="L981" s="393"/>
      <c r="M981" s="393"/>
      <c r="N981" s="393"/>
      <c r="O981" s="393"/>
      <c r="P981" s="393"/>
      <c r="Q981" s="393"/>
      <c r="R981" s="393"/>
      <c r="S981" s="393"/>
      <c r="T981" s="393"/>
      <c r="U981" s="393"/>
      <c r="V981" s="393"/>
      <c r="W981" s="393"/>
      <c r="X981" s="393"/>
      <c r="Y981" s="393"/>
      <c r="Z981" s="393"/>
    </row>
    <row r="982">
      <c r="A982" s="393"/>
      <c r="B982" s="393"/>
      <c r="C982" s="393"/>
      <c r="D982" s="393"/>
      <c r="E982" s="393"/>
      <c r="F982" s="393"/>
      <c r="G982" s="393"/>
      <c r="H982" s="393"/>
      <c r="I982" s="393"/>
      <c r="J982" s="393"/>
      <c r="K982" s="393"/>
      <c r="L982" s="393"/>
      <c r="M982" s="393"/>
      <c r="N982" s="393"/>
      <c r="O982" s="393"/>
      <c r="P982" s="393"/>
      <c r="Q982" s="393"/>
      <c r="R982" s="393"/>
      <c r="S982" s="393"/>
      <c r="T982" s="393"/>
      <c r="U982" s="393"/>
      <c r="V982" s="393"/>
      <c r="W982" s="393"/>
      <c r="X982" s="393"/>
      <c r="Y982" s="393"/>
      <c r="Z982" s="393"/>
    </row>
    <row r="983">
      <c r="A983" s="393"/>
      <c r="B983" s="393"/>
      <c r="C983" s="393"/>
      <c r="D983" s="393"/>
      <c r="E983" s="393"/>
      <c r="F983" s="393"/>
      <c r="G983" s="393"/>
      <c r="H983" s="393"/>
      <c r="I983" s="393"/>
      <c r="J983" s="393"/>
      <c r="K983" s="393"/>
      <c r="L983" s="393"/>
      <c r="M983" s="393"/>
      <c r="N983" s="393"/>
      <c r="O983" s="393"/>
      <c r="P983" s="393"/>
      <c r="Q983" s="393"/>
      <c r="R983" s="393"/>
      <c r="S983" s="393"/>
      <c r="T983" s="393"/>
      <c r="U983" s="393"/>
      <c r="V983" s="393"/>
      <c r="W983" s="393"/>
      <c r="X983" s="393"/>
      <c r="Y983" s="393"/>
      <c r="Z983" s="393"/>
    </row>
    <row r="984">
      <c r="A984" s="393"/>
      <c r="B984" s="393"/>
      <c r="C984" s="393"/>
      <c r="D984" s="393"/>
      <c r="E984" s="393"/>
      <c r="F984" s="393"/>
      <c r="G984" s="393"/>
      <c r="H984" s="393"/>
      <c r="I984" s="393"/>
      <c r="J984" s="393"/>
      <c r="K984" s="393"/>
      <c r="L984" s="393"/>
      <c r="M984" s="393"/>
      <c r="N984" s="393"/>
      <c r="O984" s="393"/>
      <c r="P984" s="393"/>
      <c r="Q984" s="393"/>
      <c r="R984" s="393"/>
      <c r="S984" s="393"/>
      <c r="T984" s="393"/>
      <c r="U984" s="393"/>
      <c r="V984" s="393"/>
      <c r="W984" s="393"/>
      <c r="X984" s="393"/>
      <c r="Y984" s="393"/>
      <c r="Z984" s="393"/>
    </row>
    <row r="985">
      <c r="A985" s="393"/>
      <c r="B985" s="393"/>
      <c r="C985" s="393"/>
      <c r="D985" s="393"/>
      <c r="E985" s="393"/>
      <c r="F985" s="393"/>
      <c r="G985" s="393"/>
      <c r="H985" s="393"/>
      <c r="I985" s="393"/>
      <c r="J985" s="393"/>
      <c r="K985" s="393"/>
      <c r="L985" s="393"/>
      <c r="M985" s="393"/>
      <c r="N985" s="393"/>
      <c r="O985" s="393"/>
      <c r="P985" s="393"/>
      <c r="Q985" s="393"/>
      <c r="R985" s="393"/>
      <c r="S985" s="393"/>
      <c r="T985" s="393"/>
      <c r="U985" s="393"/>
      <c r="V985" s="393"/>
      <c r="W985" s="393"/>
      <c r="X985" s="393"/>
      <c r="Y985" s="393"/>
      <c r="Z985" s="393"/>
    </row>
    <row r="986">
      <c r="A986" s="393"/>
      <c r="B986" s="393"/>
      <c r="C986" s="393"/>
      <c r="D986" s="393"/>
      <c r="E986" s="393"/>
      <c r="F986" s="393"/>
      <c r="G986" s="393"/>
      <c r="H986" s="393"/>
      <c r="I986" s="393"/>
      <c r="J986" s="393"/>
      <c r="K986" s="393"/>
      <c r="L986" s="393"/>
      <c r="M986" s="393"/>
      <c r="N986" s="393"/>
      <c r="O986" s="393"/>
      <c r="P986" s="393"/>
      <c r="Q986" s="393"/>
      <c r="R986" s="393"/>
      <c r="S986" s="393"/>
      <c r="T986" s="393"/>
      <c r="U986" s="393"/>
      <c r="V986" s="393"/>
      <c r="W986" s="393"/>
      <c r="X986" s="393"/>
      <c r="Y986" s="393"/>
      <c r="Z986" s="393"/>
    </row>
    <row r="987">
      <c r="A987" s="393"/>
      <c r="B987" s="393"/>
      <c r="C987" s="393"/>
      <c r="D987" s="393"/>
      <c r="E987" s="393"/>
      <c r="F987" s="393"/>
      <c r="G987" s="393"/>
      <c r="H987" s="393"/>
      <c r="I987" s="393"/>
      <c r="J987" s="393"/>
      <c r="K987" s="393"/>
      <c r="L987" s="393"/>
      <c r="M987" s="393"/>
      <c r="N987" s="393"/>
      <c r="O987" s="393"/>
      <c r="P987" s="393"/>
      <c r="Q987" s="393"/>
      <c r="R987" s="393"/>
      <c r="S987" s="393"/>
      <c r="T987" s="393"/>
      <c r="U987" s="393"/>
      <c r="V987" s="393"/>
      <c r="W987" s="393"/>
      <c r="X987" s="393"/>
      <c r="Y987" s="393"/>
      <c r="Z987" s="393"/>
    </row>
    <row r="988">
      <c r="A988" s="393"/>
      <c r="B988" s="393"/>
      <c r="C988" s="393"/>
      <c r="D988" s="393"/>
      <c r="E988" s="393"/>
      <c r="F988" s="393"/>
      <c r="G988" s="393"/>
      <c r="H988" s="393"/>
      <c r="I988" s="393"/>
      <c r="J988" s="393"/>
      <c r="K988" s="393"/>
      <c r="L988" s="393"/>
      <c r="M988" s="393"/>
      <c r="N988" s="393"/>
      <c r="O988" s="393"/>
      <c r="P988" s="393"/>
      <c r="Q988" s="393"/>
      <c r="R988" s="393"/>
      <c r="S988" s="393"/>
      <c r="T988" s="393"/>
      <c r="U988" s="393"/>
      <c r="V988" s="393"/>
      <c r="W988" s="393"/>
      <c r="X988" s="393"/>
      <c r="Y988" s="393"/>
      <c r="Z988" s="393"/>
    </row>
    <row r="989">
      <c r="A989" s="393"/>
      <c r="B989" s="393"/>
      <c r="C989" s="393"/>
      <c r="D989" s="393"/>
      <c r="E989" s="393"/>
      <c r="F989" s="393"/>
      <c r="G989" s="393"/>
      <c r="H989" s="393"/>
      <c r="I989" s="393"/>
      <c r="J989" s="393"/>
      <c r="K989" s="393"/>
      <c r="L989" s="393"/>
      <c r="M989" s="393"/>
      <c r="N989" s="393"/>
      <c r="O989" s="393"/>
      <c r="P989" s="393"/>
      <c r="Q989" s="393"/>
      <c r="R989" s="393"/>
      <c r="S989" s="393"/>
      <c r="T989" s="393"/>
      <c r="U989" s="393"/>
      <c r="V989" s="393"/>
      <c r="W989" s="393"/>
      <c r="X989" s="393"/>
      <c r="Y989" s="393"/>
      <c r="Z989" s="393"/>
    </row>
    <row r="990">
      <c r="A990" s="393"/>
      <c r="B990" s="393"/>
      <c r="C990" s="393"/>
      <c r="D990" s="393"/>
      <c r="E990" s="393"/>
      <c r="F990" s="393"/>
      <c r="G990" s="393"/>
      <c r="H990" s="393"/>
      <c r="I990" s="393"/>
      <c r="J990" s="393"/>
      <c r="K990" s="393"/>
      <c r="L990" s="393"/>
      <c r="M990" s="393"/>
      <c r="N990" s="393"/>
      <c r="O990" s="393"/>
      <c r="P990" s="393"/>
      <c r="Q990" s="393"/>
      <c r="R990" s="393"/>
      <c r="S990" s="393"/>
      <c r="T990" s="393"/>
      <c r="U990" s="393"/>
      <c r="V990" s="393"/>
      <c r="W990" s="393"/>
      <c r="X990" s="393"/>
      <c r="Y990" s="393"/>
      <c r="Z990" s="393"/>
    </row>
    <row r="991">
      <c r="A991" s="393"/>
      <c r="B991" s="393"/>
      <c r="C991" s="393"/>
      <c r="D991" s="393"/>
      <c r="E991" s="393"/>
      <c r="F991" s="393"/>
      <c r="G991" s="393"/>
      <c r="H991" s="393"/>
      <c r="I991" s="393"/>
      <c r="J991" s="393"/>
      <c r="K991" s="393"/>
      <c r="L991" s="393"/>
      <c r="M991" s="393"/>
      <c r="N991" s="393"/>
      <c r="O991" s="393"/>
      <c r="P991" s="393"/>
      <c r="Q991" s="393"/>
      <c r="R991" s="393"/>
      <c r="S991" s="393"/>
      <c r="T991" s="393"/>
      <c r="U991" s="393"/>
      <c r="V991" s="393"/>
      <c r="W991" s="393"/>
      <c r="X991" s="393"/>
      <c r="Y991" s="393"/>
      <c r="Z991" s="393"/>
    </row>
    <row r="992">
      <c r="A992" s="393"/>
      <c r="B992" s="393"/>
      <c r="C992" s="393"/>
      <c r="D992" s="393"/>
      <c r="E992" s="393"/>
      <c r="F992" s="393"/>
      <c r="G992" s="393"/>
      <c r="H992" s="393"/>
      <c r="I992" s="393"/>
      <c r="J992" s="393"/>
      <c r="K992" s="393"/>
      <c r="L992" s="393"/>
      <c r="M992" s="393"/>
      <c r="N992" s="393"/>
      <c r="O992" s="393"/>
      <c r="P992" s="393"/>
      <c r="Q992" s="393"/>
      <c r="R992" s="393"/>
      <c r="S992" s="393"/>
      <c r="T992" s="393"/>
      <c r="U992" s="393"/>
      <c r="V992" s="393"/>
      <c r="W992" s="393"/>
      <c r="X992" s="393"/>
      <c r="Y992" s="393"/>
      <c r="Z992" s="393"/>
    </row>
    <row r="993">
      <c r="A993" s="393"/>
      <c r="B993" s="393"/>
      <c r="C993" s="393"/>
      <c r="D993" s="393"/>
      <c r="E993" s="393"/>
      <c r="F993" s="393"/>
      <c r="G993" s="393"/>
      <c r="H993" s="393"/>
      <c r="I993" s="393"/>
      <c r="J993" s="393"/>
      <c r="K993" s="393"/>
      <c r="L993" s="393"/>
      <c r="M993" s="393"/>
      <c r="N993" s="393"/>
      <c r="O993" s="393"/>
      <c r="P993" s="393"/>
      <c r="Q993" s="393"/>
      <c r="R993" s="393"/>
      <c r="S993" s="393"/>
      <c r="T993" s="393"/>
      <c r="U993" s="393"/>
      <c r="V993" s="393"/>
      <c r="W993" s="393"/>
      <c r="X993" s="393"/>
      <c r="Y993" s="393"/>
      <c r="Z993" s="393"/>
    </row>
    <row r="994">
      <c r="A994" s="393"/>
      <c r="B994" s="393"/>
      <c r="C994" s="393"/>
      <c r="D994" s="393"/>
      <c r="E994" s="393"/>
      <c r="F994" s="393"/>
      <c r="G994" s="393"/>
      <c r="H994" s="393"/>
      <c r="I994" s="393"/>
      <c r="J994" s="393"/>
      <c r="K994" s="393"/>
      <c r="L994" s="393"/>
      <c r="M994" s="393"/>
      <c r="N994" s="393"/>
      <c r="O994" s="393"/>
      <c r="P994" s="393"/>
      <c r="Q994" s="393"/>
      <c r="R994" s="393"/>
      <c r="S994" s="393"/>
      <c r="T994" s="393"/>
      <c r="U994" s="393"/>
      <c r="V994" s="393"/>
      <c r="W994" s="393"/>
      <c r="X994" s="393"/>
      <c r="Y994" s="393"/>
      <c r="Z994" s="393"/>
    </row>
    <row r="995">
      <c r="A995" s="393"/>
      <c r="B995" s="393"/>
      <c r="C995" s="393"/>
      <c r="D995" s="393"/>
      <c r="E995" s="393"/>
      <c r="F995" s="393"/>
      <c r="G995" s="393"/>
      <c r="H995" s="393"/>
      <c r="I995" s="393"/>
      <c r="J995" s="393"/>
      <c r="K995" s="393"/>
      <c r="L995" s="393"/>
      <c r="M995" s="393"/>
      <c r="N995" s="393"/>
      <c r="O995" s="393"/>
      <c r="P995" s="393"/>
      <c r="Q995" s="393"/>
      <c r="R995" s="393"/>
      <c r="S995" s="393"/>
      <c r="T995" s="393"/>
      <c r="U995" s="393"/>
      <c r="V995" s="393"/>
      <c r="W995" s="393"/>
      <c r="X995" s="393"/>
      <c r="Y995" s="393"/>
      <c r="Z995" s="393"/>
    </row>
    <row r="996">
      <c r="A996" s="393"/>
      <c r="B996" s="393"/>
      <c r="C996" s="393"/>
      <c r="D996" s="393"/>
      <c r="E996" s="393"/>
      <c r="F996" s="393"/>
      <c r="G996" s="393"/>
      <c r="H996" s="393"/>
      <c r="I996" s="393"/>
      <c r="J996" s="393"/>
      <c r="K996" s="393"/>
      <c r="L996" s="393"/>
      <c r="M996" s="393"/>
      <c r="N996" s="393"/>
      <c r="O996" s="393"/>
      <c r="P996" s="393"/>
      <c r="Q996" s="393"/>
      <c r="R996" s="393"/>
      <c r="S996" s="393"/>
      <c r="T996" s="393"/>
      <c r="U996" s="393"/>
      <c r="V996" s="393"/>
      <c r="W996" s="393"/>
      <c r="X996" s="393"/>
      <c r="Y996" s="393"/>
      <c r="Z996" s="393"/>
    </row>
    <row r="997">
      <c r="A997" s="393"/>
      <c r="B997" s="393"/>
      <c r="C997" s="393"/>
      <c r="D997" s="393"/>
      <c r="E997" s="393"/>
      <c r="F997" s="393"/>
      <c r="G997" s="393"/>
      <c r="H997" s="393"/>
      <c r="I997" s="393"/>
      <c r="J997" s="393"/>
      <c r="K997" s="393"/>
      <c r="L997" s="393"/>
      <c r="M997" s="393"/>
      <c r="N997" s="393"/>
      <c r="O997" s="393"/>
      <c r="P997" s="393"/>
      <c r="Q997" s="393"/>
      <c r="R997" s="393"/>
      <c r="S997" s="393"/>
      <c r="T997" s="393"/>
      <c r="U997" s="393"/>
      <c r="V997" s="393"/>
      <c r="W997" s="393"/>
      <c r="X997" s="393"/>
      <c r="Y997" s="393"/>
      <c r="Z997" s="393"/>
    </row>
    <row r="998">
      <c r="A998" s="393"/>
      <c r="B998" s="393"/>
      <c r="C998" s="393"/>
      <c r="D998" s="393"/>
      <c r="E998" s="393"/>
      <c r="F998" s="393"/>
      <c r="G998" s="393"/>
      <c r="H998" s="393"/>
      <c r="I998" s="393"/>
      <c r="J998" s="393"/>
      <c r="K998" s="393"/>
      <c r="L998" s="393"/>
      <c r="M998" s="393"/>
      <c r="N998" s="393"/>
      <c r="O998" s="393"/>
      <c r="P998" s="393"/>
      <c r="Q998" s="393"/>
      <c r="R998" s="393"/>
      <c r="S998" s="393"/>
      <c r="T998" s="393"/>
      <c r="U998" s="393"/>
      <c r="V998" s="393"/>
      <c r="W998" s="393"/>
      <c r="X998" s="393"/>
      <c r="Y998" s="393"/>
      <c r="Z998" s="393"/>
    </row>
    <row r="999">
      <c r="A999" s="393"/>
      <c r="B999" s="393"/>
      <c r="C999" s="393"/>
      <c r="D999" s="393"/>
      <c r="E999" s="393"/>
      <c r="F999" s="393"/>
      <c r="G999" s="393"/>
      <c r="H999" s="393"/>
      <c r="I999" s="393"/>
      <c r="J999" s="393"/>
      <c r="K999" s="393"/>
      <c r="L999" s="393"/>
      <c r="M999" s="393"/>
      <c r="N999" s="393"/>
      <c r="O999" s="393"/>
      <c r="P999" s="393"/>
      <c r="Q999" s="393"/>
      <c r="R999" s="393"/>
      <c r="S999" s="393"/>
      <c r="T999" s="393"/>
      <c r="U999" s="393"/>
      <c r="V999" s="393"/>
      <c r="W999" s="393"/>
      <c r="X999" s="393"/>
      <c r="Y999" s="393"/>
      <c r="Z999" s="393"/>
    </row>
    <row r="1000">
      <c r="A1000" s="393"/>
      <c r="B1000" s="393"/>
      <c r="C1000" s="393"/>
      <c r="D1000" s="393"/>
      <c r="E1000" s="393"/>
      <c r="F1000" s="393"/>
      <c r="G1000" s="393"/>
      <c r="H1000" s="393"/>
      <c r="I1000" s="393"/>
      <c r="J1000" s="393"/>
      <c r="K1000" s="393"/>
      <c r="L1000" s="393"/>
      <c r="M1000" s="393"/>
      <c r="N1000" s="393"/>
      <c r="O1000" s="393"/>
      <c r="P1000" s="393"/>
      <c r="Q1000" s="393"/>
      <c r="R1000" s="393"/>
      <c r="S1000" s="393"/>
      <c r="T1000" s="393"/>
      <c r="U1000" s="393"/>
      <c r="V1000" s="393"/>
      <c r="W1000" s="393"/>
      <c r="X1000" s="393"/>
      <c r="Y1000" s="393"/>
      <c r="Z1000" s="393"/>
    </row>
  </sheetData>
  <mergeCells count="4">
    <mergeCell ref="A1:L1"/>
    <mergeCell ref="A33:J33"/>
    <mergeCell ref="A59:H59"/>
    <mergeCell ref="A80:H80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4.5"/>
    <col customWidth="1" min="3" max="3" width="21.75"/>
    <col customWidth="1" min="4" max="4" width="24.63"/>
    <col customWidth="1" min="5" max="5" width="24.88"/>
    <col customWidth="1" min="6" max="6" width="21.0"/>
    <col customWidth="1" min="7" max="7" width="21.75"/>
    <col customWidth="1" min="8" max="8" width="24.63"/>
    <col customWidth="1" min="9" max="9" width="32.13"/>
    <col customWidth="1" min="10" max="11" width="23.25"/>
    <col customWidth="1" min="13" max="13" width="20.38"/>
    <col customWidth="1" min="14" max="14" width="18.0"/>
  </cols>
  <sheetData>
    <row r="1">
      <c r="A1" s="410" t="s">
        <v>6313</v>
      </c>
    </row>
    <row r="2">
      <c r="A2" s="394" t="s">
        <v>9</v>
      </c>
      <c r="B2" s="394" t="s">
        <v>5</v>
      </c>
      <c r="C2" s="394" t="s">
        <v>8</v>
      </c>
      <c r="D2" s="394" t="s">
        <v>10</v>
      </c>
      <c r="E2" s="394" t="s">
        <v>12</v>
      </c>
      <c r="F2" s="394" t="s">
        <v>13</v>
      </c>
      <c r="G2" s="394" t="s">
        <v>4</v>
      </c>
      <c r="H2" s="394" t="s">
        <v>6</v>
      </c>
      <c r="I2" s="394" t="s">
        <v>11</v>
      </c>
      <c r="J2" s="394" t="s">
        <v>14</v>
      </c>
      <c r="K2" s="394" t="s">
        <v>15</v>
      </c>
      <c r="L2" s="394" t="s">
        <v>16</v>
      </c>
      <c r="M2" s="394" t="s">
        <v>17</v>
      </c>
      <c r="N2" s="394" t="s">
        <v>6314</v>
      </c>
    </row>
    <row r="3">
      <c r="A3" s="411" t="s">
        <v>5909</v>
      </c>
      <c r="B3" s="31" t="s">
        <v>3078</v>
      </c>
      <c r="C3" s="31" t="s">
        <v>2080</v>
      </c>
      <c r="D3" s="411" t="s">
        <v>3357</v>
      </c>
      <c r="E3" s="411" t="s">
        <v>2757</v>
      </c>
      <c r="F3" s="411" t="s">
        <v>6315</v>
      </c>
      <c r="G3" s="31" t="s">
        <v>6316</v>
      </c>
      <c r="H3" s="31" t="s">
        <v>6317</v>
      </c>
      <c r="I3" s="31" t="s">
        <v>2636</v>
      </c>
      <c r="J3" s="31" t="s">
        <v>1155</v>
      </c>
      <c r="K3" s="31" t="s">
        <v>5912</v>
      </c>
      <c r="M3" s="31" t="s">
        <v>6318</v>
      </c>
      <c r="N3" s="31" t="s">
        <v>1787</v>
      </c>
    </row>
    <row r="4">
      <c r="A4" s="412" t="s">
        <v>6319</v>
      </c>
      <c r="B4" s="31" t="s">
        <v>6320</v>
      </c>
      <c r="C4" s="31" t="s">
        <v>6321</v>
      </c>
      <c r="D4" s="31" t="s">
        <v>6322</v>
      </c>
      <c r="E4" s="31" t="s">
        <v>6323</v>
      </c>
      <c r="F4" s="31" t="s">
        <v>6324</v>
      </c>
      <c r="G4" s="31" t="s">
        <v>509</v>
      </c>
      <c r="H4" s="31" t="s">
        <v>1551</v>
      </c>
      <c r="I4" s="31" t="s">
        <v>6325</v>
      </c>
      <c r="J4" s="31" t="s">
        <v>1179</v>
      </c>
      <c r="K4" s="31" t="s">
        <v>5202</v>
      </c>
      <c r="M4" s="31" t="s">
        <v>4244</v>
      </c>
      <c r="N4" s="31" t="s">
        <v>1637</v>
      </c>
    </row>
    <row r="5">
      <c r="A5" s="412" t="s">
        <v>5007</v>
      </c>
      <c r="B5" s="31" t="s">
        <v>4962</v>
      </c>
      <c r="C5" s="31" t="s">
        <v>6326</v>
      </c>
      <c r="D5" s="31" t="s">
        <v>6327</v>
      </c>
      <c r="E5" s="31" t="s">
        <v>6328</v>
      </c>
      <c r="F5" s="31" t="s">
        <v>6329</v>
      </c>
      <c r="G5" s="31" t="s">
        <v>860</v>
      </c>
      <c r="H5" s="31" t="s">
        <v>6330</v>
      </c>
      <c r="I5" s="31" t="s">
        <v>2829</v>
      </c>
      <c r="J5" s="31" t="s">
        <v>6331</v>
      </c>
      <c r="K5" s="31" t="s">
        <v>3691</v>
      </c>
      <c r="M5" s="31" t="s">
        <v>4144</v>
      </c>
      <c r="N5" s="31" t="s">
        <v>6332</v>
      </c>
    </row>
    <row r="6">
      <c r="A6" s="412" t="s">
        <v>6333</v>
      </c>
      <c r="B6" s="31" t="s">
        <v>6334</v>
      </c>
      <c r="C6" s="31" t="s">
        <v>2087</v>
      </c>
      <c r="D6" s="31" t="s">
        <v>6335</v>
      </c>
      <c r="E6" s="31" t="s">
        <v>6336</v>
      </c>
      <c r="F6" s="31" t="s">
        <v>6337</v>
      </c>
      <c r="G6" s="31" t="s">
        <v>5925</v>
      </c>
      <c r="H6" s="31" t="s">
        <v>1504</v>
      </c>
      <c r="I6" s="31" t="s">
        <v>6338</v>
      </c>
      <c r="J6" s="31" t="s">
        <v>3557</v>
      </c>
      <c r="K6" s="31" t="s">
        <v>3708</v>
      </c>
      <c r="M6" s="31" t="s">
        <v>6339</v>
      </c>
      <c r="N6" s="31" t="s">
        <v>1736</v>
      </c>
    </row>
    <row r="7">
      <c r="A7" s="412" t="s">
        <v>6340</v>
      </c>
      <c r="B7" s="31" t="s">
        <v>6341</v>
      </c>
      <c r="C7" s="31" t="s">
        <v>6342</v>
      </c>
      <c r="D7" s="31" t="s">
        <v>6343</v>
      </c>
      <c r="E7" s="31" t="s">
        <v>3035</v>
      </c>
      <c r="F7" s="31" t="s">
        <v>6344</v>
      </c>
      <c r="G7" s="31" t="s">
        <v>6345</v>
      </c>
      <c r="H7" s="31" t="s">
        <v>1452</v>
      </c>
      <c r="I7" s="31" t="s">
        <v>5938</v>
      </c>
      <c r="J7" s="31" t="s">
        <v>6346</v>
      </c>
      <c r="K7" s="31" t="s">
        <v>5211</v>
      </c>
      <c r="M7" s="31" t="s">
        <v>6347</v>
      </c>
      <c r="N7" s="31" t="s">
        <v>6348</v>
      </c>
    </row>
    <row r="8">
      <c r="A8" s="412" t="s">
        <v>6349</v>
      </c>
      <c r="B8" s="31" t="s">
        <v>6350</v>
      </c>
      <c r="C8" s="31" t="s">
        <v>6351</v>
      </c>
      <c r="D8" s="31" t="s">
        <v>6352</v>
      </c>
      <c r="E8" s="31" t="s">
        <v>6353</v>
      </c>
      <c r="F8" s="31" t="s">
        <v>6354</v>
      </c>
      <c r="G8" s="31" t="s">
        <v>5942</v>
      </c>
      <c r="H8" s="31" t="s">
        <v>6355</v>
      </c>
      <c r="I8" s="31" t="s">
        <v>2705</v>
      </c>
      <c r="J8" s="31" t="s">
        <v>6356</v>
      </c>
      <c r="K8" s="31" t="s">
        <v>4975</v>
      </c>
      <c r="M8" s="31" t="s">
        <v>6357</v>
      </c>
      <c r="N8" s="31" t="s">
        <v>6358</v>
      </c>
    </row>
    <row r="9">
      <c r="A9" s="412" t="s">
        <v>6359</v>
      </c>
      <c r="B9" s="31" t="s">
        <v>6360</v>
      </c>
      <c r="C9" s="31" t="s">
        <v>6361</v>
      </c>
      <c r="D9" s="31" t="s">
        <v>6362</v>
      </c>
      <c r="E9" s="31" t="s">
        <v>6363</v>
      </c>
      <c r="F9" s="31" t="s">
        <v>6364</v>
      </c>
      <c r="G9" s="31" t="s">
        <v>595</v>
      </c>
      <c r="H9" s="31" t="s">
        <v>6365</v>
      </c>
      <c r="I9" s="31" t="s">
        <v>6366</v>
      </c>
      <c r="J9" s="31" t="s">
        <v>6367</v>
      </c>
      <c r="K9" s="31" t="s">
        <v>5222</v>
      </c>
      <c r="M9" s="31" t="s">
        <v>6368</v>
      </c>
      <c r="N9" s="31" t="s">
        <v>6369</v>
      </c>
    </row>
    <row r="10">
      <c r="A10" s="412" t="s">
        <v>6370</v>
      </c>
      <c r="B10" s="31" t="s">
        <v>6371</v>
      </c>
      <c r="C10" s="31" t="s">
        <v>6372</v>
      </c>
      <c r="D10" s="31" t="s">
        <v>6373</v>
      </c>
      <c r="E10" s="31" t="s">
        <v>6374</v>
      </c>
      <c r="F10" s="31" t="s">
        <v>6375</v>
      </c>
      <c r="G10" s="31" t="s">
        <v>6376</v>
      </c>
      <c r="H10" s="31" t="s">
        <v>4990</v>
      </c>
      <c r="I10" s="31" t="s">
        <v>6377</v>
      </c>
      <c r="J10" s="31" t="s">
        <v>6378</v>
      </c>
      <c r="K10" s="31" t="s">
        <v>6379</v>
      </c>
      <c r="M10" s="31" t="s">
        <v>6380</v>
      </c>
      <c r="N10" s="31" t="s">
        <v>6381</v>
      </c>
    </row>
    <row r="11">
      <c r="A11" s="412" t="s">
        <v>6382</v>
      </c>
      <c r="B11" s="31" t="s">
        <v>6383</v>
      </c>
      <c r="C11" s="31" t="s">
        <v>6384</v>
      </c>
      <c r="D11" s="31" t="s">
        <v>6385</v>
      </c>
      <c r="E11" s="31" t="s">
        <v>6386</v>
      </c>
      <c r="F11" s="31" t="s">
        <v>6387</v>
      </c>
      <c r="G11" s="31" t="s">
        <v>6388</v>
      </c>
      <c r="H11" s="31" t="s">
        <v>6389</v>
      </c>
      <c r="I11" s="31" t="s">
        <v>6390</v>
      </c>
      <c r="J11" s="31" t="s">
        <v>6391</v>
      </c>
      <c r="K11" s="31" t="s">
        <v>6392</v>
      </c>
      <c r="M11" s="31" t="s">
        <v>6393</v>
      </c>
      <c r="N11" s="31" t="s">
        <v>6394</v>
      </c>
    </row>
    <row r="12">
      <c r="A12" s="412" t="s">
        <v>6395</v>
      </c>
      <c r="B12" s="31" t="s">
        <v>6396</v>
      </c>
      <c r="C12" s="31" t="s">
        <v>3841</v>
      </c>
      <c r="D12" s="31" t="s">
        <v>6397</v>
      </c>
      <c r="E12" s="31" t="s">
        <v>6398</v>
      </c>
      <c r="F12" s="31" t="s">
        <v>6399</v>
      </c>
      <c r="G12" s="31" t="s">
        <v>681</v>
      </c>
      <c r="H12" s="31" t="s">
        <v>6400</v>
      </c>
      <c r="I12" s="31" t="s">
        <v>6401</v>
      </c>
      <c r="J12" s="31" t="s">
        <v>6402</v>
      </c>
      <c r="K12" s="31" t="s">
        <v>4507</v>
      </c>
      <c r="M12" s="31" t="s">
        <v>6403</v>
      </c>
      <c r="N12" s="31" t="s">
        <v>6404</v>
      </c>
    </row>
    <row r="13">
      <c r="A13" s="412" t="s">
        <v>6405</v>
      </c>
      <c r="B13" s="31" t="s">
        <v>6406</v>
      </c>
      <c r="C13" s="31" t="s">
        <v>6407</v>
      </c>
      <c r="D13" s="31" t="s">
        <v>6408</v>
      </c>
      <c r="E13" s="31"/>
      <c r="F13" s="31" t="s">
        <v>6409</v>
      </c>
      <c r="G13" s="31" t="s">
        <v>5983</v>
      </c>
      <c r="H13" s="31" t="s">
        <v>6410</v>
      </c>
      <c r="I13" s="31" t="s">
        <v>6411</v>
      </c>
      <c r="J13" s="31" t="s">
        <v>6412</v>
      </c>
      <c r="K13" s="31" t="s">
        <v>6413</v>
      </c>
      <c r="M13" s="31" t="s">
        <v>6414</v>
      </c>
      <c r="N13" s="31" t="s">
        <v>6415</v>
      </c>
    </row>
    <row r="14">
      <c r="A14" s="412" t="s">
        <v>6416</v>
      </c>
      <c r="B14" s="31" t="s">
        <v>6417</v>
      </c>
      <c r="C14" s="31" t="s">
        <v>6418</v>
      </c>
      <c r="D14" s="31" t="s">
        <v>6419</v>
      </c>
      <c r="F14" s="31" t="s">
        <v>6420</v>
      </c>
      <c r="G14" s="31" t="s">
        <v>6421</v>
      </c>
      <c r="H14" s="31" t="s">
        <v>6422</v>
      </c>
      <c r="I14" s="31" t="s">
        <v>6423</v>
      </c>
      <c r="J14" s="31" t="s">
        <v>5618</v>
      </c>
      <c r="K14" s="31" t="s">
        <v>6424</v>
      </c>
      <c r="M14" s="31" t="s">
        <v>6425</v>
      </c>
      <c r="N14" s="31" t="s">
        <v>6426</v>
      </c>
    </row>
    <row r="15">
      <c r="A15" s="412" t="s">
        <v>6427</v>
      </c>
      <c r="B15" s="31" t="s">
        <v>6428</v>
      </c>
      <c r="C15" s="31" t="s">
        <v>6429</v>
      </c>
      <c r="D15" s="31" t="s">
        <v>6430</v>
      </c>
      <c r="F15" s="31" t="s">
        <v>6431</v>
      </c>
      <c r="G15" s="31" t="s">
        <v>6432</v>
      </c>
      <c r="H15" s="31" t="s">
        <v>6433</v>
      </c>
      <c r="I15" s="31" t="s">
        <v>6434</v>
      </c>
      <c r="J15" s="31" t="s">
        <v>6435</v>
      </c>
      <c r="K15" s="31" t="s">
        <v>6436</v>
      </c>
      <c r="M15" s="31" t="s">
        <v>6437</v>
      </c>
    </row>
    <row r="16">
      <c r="A16" s="412" t="s">
        <v>6438</v>
      </c>
      <c r="B16" s="31" t="s">
        <v>6439</v>
      </c>
      <c r="C16" s="31" t="s">
        <v>6440</v>
      </c>
      <c r="D16" s="31" t="s">
        <v>2434</v>
      </c>
      <c r="G16" s="31" t="s">
        <v>6441</v>
      </c>
      <c r="I16" s="31" t="s">
        <v>6442</v>
      </c>
      <c r="J16" s="31" t="s">
        <v>6443</v>
      </c>
      <c r="K16" s="31" t="s">
        <v>5244</v>
      </c>
      <c r="M16" s="31" t="s">
        <v>6444</v>
      </c>
    </row>
    <row r="17">
      <c r="A17" s="31" t="s">
        <v>6445</v>
      </c>
      <c r="B17" s="31" t="s">
        <v>6446</v>
      </c>
      <c r="C17" s="31" t="s">
        <v>6447</v>
      </c>
      <c r="F17" s="33" t="s">
        <v>6448</v>
      </c>
      <c r="G17" s="31" t="s">
        <v>6449</v>
      </c>
      <c r="H17" s="33" t="s">
        <v>6450</v>
      </c>
      <c r="I17" s="31" t="s">
        <v>6451</v>
      </c>
      <c r="J17" s="31" t="s">
        <v>6452</v>
      </c>
      <c r="K17" s="31" t="s">
        <v>6453</v>
      </c>
      <c r="M17" s="31" t="s">
        <v>6454</v>
      </c>
    </row>
    <row r="18">
      <c r="B18" s="31" t="s">
        <v>6455</v>
      </c>
      <c r="C18" s="31" t="s">
        <v>6456</v>
      </c>
      <c r="D18" s="31" t="s">
        <v>518</v>
      </c>
      <c r="F18" s="31" t="s">
        <v>3357</v>
      </c>
      <c r="G18" s="31" t="s">
        <v>4548</v>
      </c>
      <c r="H18" s="31" t="s">
        <v>6457</v>
      </c>
      <c r="I18" s="31" t="s">
        <v>6458</v>
      </c>
      <c r="J18" s="31" t="s">
        <v>6459</v>
      </c>
      <c r="K18" s="31" t="s">
        <v>6460</v>
      </c>
    </row>
    <row r="19">
      <c r="B19" s="31" t="s">
        <v>6461</v>
      </c>
      <c r="C19" s="31" t="s">
        <v>6462</v>
      </c>
      <c r="D19" s="33" t="s">
        <v>6463</v>
      </c>
      <c r="F19" s="31" t="s">
        <v>6464</v>
      </c>
      <c r="G19" s="31" t="s">
        <v>6465</v>
      </c>
      <c r="H19" s="31" t="s">
        <v>3465</v>
      </c>
      <c r="I19" s="31" t="s">
        <v>6466</v>
      </c>
      <c r="K19" s="31" t="s">
        <v>6019</v>
      </c>
      <c r="M19" s="33" t="s">
        <v>6467</v>
      </c>
    </row>
    <row r="20">
      <c r="B20" s="31" t="s">
        <v>6468</v>
      </c>
      <c r="C20" s="31" t="s">
        <v>6469</v>
      </c>
      <c r="D20" s="31" t="s">
        <v>2603</v>
      </c>
      <c r="F20" s="31" t="s">
        <v>6470</v>
      </c>
      <c r="G20" s="31" t="s">
        <v>6471</v>
      </c>
      <c r="H20" s="31" t="s">
        <v>1422</v>
      </c>
      <c r="I20" s="31" t="s">
        <v>6472</v>
      </c>
      <c r="M20" s="45" t="s">
        <v>4220</v>
      </c>
    </row>
    <row r="21">
      <c r="B21" s="31" t="s">
        <v>6473</v>
      </c>
      <c r="D21" s="31" t="s">
        <v>6474</v>
      </c>
      <c r="F21" s="31" t="s">
        <v>6475</v>
      </c>
      <c r="G21" s="31" t="s">
        <v>6476</v>
      </c>
      <c r="H21" s="31" t="s">
        <v>6477</v>
      </c>
      <c r="I21" s="31" t="s">
        <v>6478</v>
      </c>
      <c r="J21" s="33" t="s">
        <v>6479</v>
      </c>
      <c r="M21" s="45" t="s">
        <v>1854</v>
      </c>
    </row>
    <row r="22">
      <c r="B22" s="31" t="s">
        <v>6480</v>
      </c>
      <c r="D22" s="31" t="s">
        <v>4837</v>
      </c>
      <c r="F22" s="31" t="s">
        <v>6481</v>
      </c>
      <c r="G22" s="31" t="s">
        <v>6482</v>
      </c>
      <c r="I22" s="31" t="s">
        <v>6483</v>
      </c>
      <c r="J22" s="31" t="s">
        <v>3549</v>
      </c>
      <c r="M22" s="45" t="s">
        <v>6484</v>
      </c>
    </row>
    <row r="23">
      <c r="B23" s="31" t="s">
        <v>6485</v>
      </c>
      <c r="F23" s="31" t="s">
        <v>6486</v>
      </c>
      <c r="J23" s="31" t="s">
        <v>6487</v>
      </c>
      <c r="M23" s="45" t="s">
        <v>6488</v>
      </c>
    </row>
    <row r="24">
      <c r="B24" s="31" t="s">
        <v>6489</v>
      </c>
      <c r="F24" s="31" t="s">
        <v>6490</v>
      </c>
      <c r="M24" s="45"/>
    </row>
    <row r="25">
      <c r="B25" s="31" t="s">
        <v>6491</v>
      </c>
      <c r="M25" s="45"/>
    </row>
    <row r="26">
      <c r="M26" s="45"/>
    </row>
    <row r="27">
      <c r="M27" s="45"/>
    </row>
    <row r="28">
      <c r="M28" s="45"/>
    </row>
    <row r="31">
      <c r="A31" s="410" t="s">
        <v>6492</v>
      </c>
    </row>
    <row r="32">
      <c r="A32" s="50" t="s">
        <v>873</v>
      </c>
      <c r="B32" s="50" t="s">
        <v>874</v>
      </c>
      <c r="C32" s="50" t="s">
        <v>875</v>
      </c>
      <c r="D32" s="50" t="s">
        <v>876</v>
      </c>
      <c r="E32" s="50" t="s">
        <v>877</v>
      </c>
      <c r="F32" s="50" t="s">
        <v>878</v>
      </c>
      <c r="G32" s="94" t="s">
        <v>879</v>
      </c>
      <c r="H32" s="99" t="s">
        <v>880</v>
      </c>
      <c r="I32" s="99" t="s">
        <v>881</v>
      </c>
      <c r="J32" s="99" t="s">
        <v>882</v>
      </c>
    </row>
    <row r="33">
      <c r="A33" s="75" t="s">
        <v>6493</v>
      </c>
      <c r="B33" s="75" t="s">
        <v>6494</v>
      </c>
      <c r="C33" s="75" t="s">
        <v>6495</v>
      </c>
      <c r="D33" s="75" t="s">
        <v>6496</v>
      </c>
      <c r="E33" s="75" t="s">
        <v>6497</v>
      </c>
      <c r="F33" s="75" t="s">
        <v>6498</v>
      </c>
      <c r="G33" s="75" t="s">
        <v>6499</v>
      </c>
      <c r="H33" s="75" t="s">
        <v>6500</v>
      </c>
      <c r="I33" s="75" t="s">
        <v>6501</v>
      </c>
      <c r="J33" s="75" t="s">
        <v>6502</v>
      </c>
      <c r="K33" s="105"/>
    </row>
    <row r="34">
      <c r="A34" s="75" t="s">
        <v>6503</v>
      </c>
      <c r="B34" s="75" t="s">
        <v>6504</v>
      </c>
      <c r="C34" s="75" t="s">
        <v>6505</v>
      </c>
      <c r="D34" s="75" t="s">
        <v>6506</v>
      </c>
      <c r="E34" s="75" t="s">
        <v>6507</v>
      </c>
      <c r="F34" s="75" t="s">
        <v>6508</v>
      </c>
      <c r="G34" s="75" t="s">
        <v>6509</v>
      </c>
      <c r="H34" s="75" t="s">
        <v>6510</v>
      </c>
      <c r="I34" s="75" t="s">
        <v>6511</v>
      </c>
      <c r="J34" s="75" t="s">
        <v>6512</v>
      </c>
      <c r="K34" s="105"/>
    </row>
    <row r="35">
      <c r="A35" s="75" t="s">
        <v>6513</v>
      </c>
      <c r="B35" s="75" t="s">
        <v>6514</v>
      </c>
      <c r="C35" s="75" t="s">
        <v>6515</v>
      </c>
      <c r="D35" s="75" t="s">
        <v>6516</v>
      </c>
      <c r="E35" s="75" t="s">
        <v>6517</v>
      </c>
      <c r="F35" s="75" t="s">
        <v>6518</v>
      </c>
      <c r="G35" s="75" t="s">
        <v>6519</v>
      </c>
      <c r="H35" s="75" t="s">
        <v>6520</v>
      </c>
      <c r="I35" s="75" t="s">
        <v>6521</v>
      </c>
      <c r="J35" s="75" t="s">
        <v>6522</v>
      </c>
      <c r="K35" s="105"/>
    </row>
    <row r="36">
      <c r="A36" s="75" t="s">
        <v>6523</v>
      </c>
      <c r="B36" s="75" t="s">
        <v>6524</v>
      </c>
      <c r="C36" s="75" t="s">
        <v>6525</v>
      </c>
      <c r="D36" s="75" t="s">
        <v>6526</v>
      </c>
      <c r="E36" s="75" t="s">
        <v>6527</v>
      </c>
      <c r="F36" s="75" t="s">
        <v>6528</v>
      </c>
      <c r="G36" s="75" t="s">
        <v>6529</v>
      </c>
      <c r="H36" s="75" t="s">
        <v>6530</v>
      </c>
      <c r="I36" s="75" t="s">
        <v>6531</v>
      </c>
      <c r="J36" s="75" t="s">
        <v>6532</v>
      </c>
      <c r="K36" s="105"/>
    </row>
    <row r="37">
      <c r="A37" s="75" t="s">
        <v>6533</v>
      </c>
      <c r="B37" s="75" t="s">
        <v>6534</v>
      </c>
      <c r="C37" s="75" t="s">
        <v>6535</v>
      </c>
      <c r="D37" s="75" t="s">
        <v>6536</v>
      </c>
      <c r="E37" s="75" t="s">
        <v>6537</v>
      </c>
      <c r="F37" s="75" t="s">
        <v>6538</v>
      </c>
      <c r="G37" s="75" t="s">
        <v>6539</v>
      </c>
      <c r="H37" s="75" t="s">
        <v>6540</v>
      </c>
      <c r="I37" s="75" t="s">
        <v>6541</v>
      </c>
      <c r="J37" s="75" t="s">
        <v>6542</v>
      </c>
      <c r="K37" s="105"/>
    </row>
    <row r="38">
      <c r="A38" s="75" t="s">
        <v>6543</v>
      </c>
      <c r="B38" s="75" t="s">
        <v>6544</v>
      </c>
      <c r="C38" s="75" t="s">
        <v>6545</v>
      </c>
      <c r="D38" s="75" t="s">
        <v>6546</v>
      </c>
      <c r="E38" s="75" t="s">
        <v>6547</v>
      </c>
      <c r="F38" s="75" t="s">
        <v>6548</v>
      </c>
      <c r="G38" s="75" t="s">
        <v>6549</v>
      </c>
      <c r="H38" s="75" t="s">
        <v>6550</v>
      </c>
      <c r="I38" s="75" t="s">
        <v>6551</v>
      </c>
      <c r="J38" s="75" t="s">
        <v>6552</v>
      </c>
      <c r="K38" s="105"/>
    </row>
    <row r="39">
      <c r="A39" s="75" t="s">
        <v>6553</v>
      </c>
      <c r="B39" s="75" t="s">
        <v>6554</v>
      </c>
      <c r="C39" s="75" t="s">
        <v>6555</v>
      </c>
      <c r="D39" s="75" t="s">
        <v>6556</v>
      </c>
      <c r="E39" s="75" t="s">
        <v>6557</v>
      </c>
      <c r="F39" s="75" t="s">
        <v>6558</v>
      </c>
      <c r="G39" s="75" t="s">
        <v>6559</v>
      </c>
      <c r="H39" s="75" t="s">
        <v>6560</v>
      </c>
      <c r="I39" s="75" t="s">
        <v>6561</v>
      </c>
      <c r="J39" s="75" t="s">
        <v>6562</v>
      </c>
      <c r="K39" s="105"/>
    </row>
    <row r="40">
      <c r="A40" s="75" t="s">
        <v>6563</v>
      </c>
      <c r="B40" s="75" t="s">
        <v>6564</v>
      </c>
      <c r="C40" s="75" t="s">
        <v>6565</v>
      </c>
      <c r="D40" s="75" t="s">
        <v>6566</v>
      </c>
      <c r="E40" s="75" t="s">
        <v>6567</v>
      </c>
      <c r="F40" s="75" t="s">
        <v>6568</v>
      </c>
      <c r="G40" s="75" t="s">
        <v>6569</v>
      </c>
      <c r="H40" s="75" t="s">
        <v>6570</v>
      </c>
      <c r="I40" s="75" t="s">
        <v>6571</v>
      </c>
      <c r="J40" s="75" t="s">
        <v>6572</v>
      </c>
      <c r="K40" s="105"/>
    </row>
    <row r="41">
      <c r="A41" s="75" t="s">
        <v>6573</v>
      </c>
      <c r="B41" s="75" t="s">
        <v>6574</v>
      </c>
      <c r="C41" s="75" t="s">
        <v>6575</v>
      </c>
      <c r="D41" s="75" t="s">
        <v>6576</v>
      </c>
      <c r="E41" s="75" t="s">
        <v>6577</v>
      </c>
      <c r="F41" s="75" t="s">
        <v>6578</v>
      </c>
      <c r="G41" s="75" t="s">
        <v>6579</v>
      </c>
      <c r="H41" s="75" t="s">
        <v>6580</v>
      </c>
      <c r="I41" s="75" t="s">
        <v>6581</v>
      </c>
      <c r="J41" s="75" t="s">
        <v>6582</v>
      </c>
      <c r="K41" s="105"/>
    </row>
    <row r="42">
      <c r="A42" s="75" t="s">
        <v>6583</v>
      </c>
      <c r="B42" s="75" t="s">
        <v>6584</v>
      </c>
      <c r="C42" s="75" t="s">
        <v>6585</v>
      </c>
      <c r="D42" s="75" t="s">
        <v>6586</v>
      </c>
      <c r="E42" s="75" t="s">
        <v>6587</v>
      </c>
      <c r="F42" s="75" t="s">
        <v>6588</v>
      </c>
      <c r="G42" s="75" t="s">
        <v>6589</v>
      </c>
      <c r="H42" s="75" t="s">
        <v>6590</v>
      </c>
      <c r="I42" s="75" t="s">
        <v>6591</v>
      </c>
      <c r="J42" s="75" t="s">
        <v>6592</v>
      </c>
      <c r="K42" s="105"/>
    </row>
    <row r="43">
      <c r="A43" s="75" t="s">
        <v>6593</v>
      </c>
      <c r="B43" s="75" t="s">
        <v>6594</v>
      </c>
      <c r="C43" s="75" t="s">
        <v>6595</v>
      </c>
      <c r="D43" s="75" t="s">
        <v>6596</v>
      </c>
      <c r="E43" s="75" t="s">
        <v>6597</v>
      </c>
      <c r="F43" s="75" t="s">
        <v>6598</v>
      </c>
      <c r="G43" s="75" t="s">
        <v>6599</v>
      </c>
      <c r="H43" s="75" t="s">
        <v>6600</v>
      </c>
      <c r="I43" s="75" t="s">
        <v>6601</v>
      </c>
      <c r="J43" s="75" t="s">
        <v>6602</v>
      </c>
      <c r="K43" s="105"/>
    </row>
    <row r="44">
      <c r="A44" s="75" t="s">
        <v>6603</v>
      </c>
      <c r="B44" s="75" t="s">
        <v>6604</v>
      </c>
      <c r="C44" s="75" t="s">
        <v>6605</v>
      </c>
      <c r="D44" s="75" t="s">
        <v>6606</v>
      </c>
      <c r="E44" s="75" t="s">
        <v>6607</v>
      </c>
      <c r="F44" s="75" t="s">
        <v>6608</v>
      </c>
      <c r="G44" s="75" t="s">
        <v>6609</v>
      </c>
      <c r="H44" s="75" t="s">
        <v>6610</v>
      </c>
      <c r="I44" s="75" t="s">
        <v>6611</v>
      </c>
      <c r="J44" s="75" t="s">
        <v>6612</v>
      </c>
      <c r="K44" s="105"/>
    </row>
    <row r="45">
      <c r="A45" s="75" t="s">
        <v>6613</v>
      </c>
      <c r="B45" s="75" t="s">
        <v>6614</v>
      </c>
      <c r="C45" s="75" t="s">
        <v>6615</v>
      </c>
      <c r="D45" s="75" t="s">
        <v>6616</v>
      </c>
      <c r="E45" s="75" t="s">
        <v>6617</v>
      </c>
      <c r="F45" s="75" t="s">
        <v>6618</v>
      </c>
      <c r="G45" s="75" t="s">
        <v>6619</v>
      </c>
      <c r="H45" s="75" t="s">
        <v>6620</v>
      </c>
      <c r="I45" s="75" t="s">
        <v>6621</v>
      </c>
      <c r="J45" s="75" t="s">
        <v>6622</v>
      </c>
      <c r="K45" s="105"/>
    </row>
    <row r="46">
      <c r="A46" s="75" t="s">
        <v>6623</v>
      </c>
      <c r="B46" s="75" t="s">
        <v>6624</v>
      </c>
      <c r="C46" s="75" t="s">
        <v>6625</v>
      </c>
      <c r="D46" s="75" t="s">
        <v>6626</v>
      </c>
      <c r="E46" s="75" t="s">
        <v>6627</v>
      </c>
      <c r="F46" s="75" t="s">
        <v>6628</v>
      </c>
      <c r="G46" s="75" t="s">
        <v>6629</v>
      </c>
      <c r="H46" s="75" t="s">
        <v>6630</v>
      </c>
      <c r="I46" s="75" t="s">
        <v>6631</v>
      </c>
      <c r="J46" s="75" t="s">
        <v>6632</v>
      </c>
      <c r="K46" s="105"/>
    </row>
    <row r="47">
      <c r="A47" s="75" t="s">
        <v>6633</v>
      </c>
      <c r="B47" s="75" t="s">
        <v>6634</v>
      </c>
      <c r="C47" s="75" t="s">
        <v>6635</v>
      </c>
      <c r="D47" s="75" t="s">
        <v>6636</v>
      </c>
      <c r="E47" s="75" t="s">
        <v>6637</v>
      </c>
      <c r="F47" s="75" t="s">
        <v>6638</v>
      </c>
      <c r="G47" s="75" t="s">
        <v>6639</v>
      </c>
      <c r="H47" s="75" t="s">
        <v>6640</v>
      </c>
      <c r="I47" s="75" t="s">
        <v>6641</v>
      </c>
      <c r="J47" s="75" t="s">
        <v>6642</v>
      </c>
      <c r="K47" s="105"/>
    </row>
    <row r="48">
      <c r="A48" s="75" t="s">
        <v>6643</v>
      </c>
      <c r="B48" s="75" t="s">
        <v>6644</v>
      </c>
      <c r="C48" s="75" t="s">
        <v>6645</v>
      </c>
      <c r="D48" s="75" t="s">
        <v>6646</v>
      </c>
      <c r="E48" s="75" t="s">
        <v>6647</v>
      </c>
      <c r="F48" s="75" t="s">
        <v>6648</v>
      </c>
      <c r="G48" s="75" t="s">
        <v>6649</v>
      </c>
      <c r="H48" s="75" t="s">
        <v>6650</v>
      </c>
      <c r="I48" s="75" t="s">
        <v>6651</v>
      </c>
      <c r="J48" s="75" t="s">
        <v>6652</v>
      </c>
      <c r="K48" s="105"/>
    </row>
    <row r="49">
      <c r="A49" s="75" t="s">
        <v>6653</v>
      </c>
      <c r="B49" s="75" t="s">
        <v>6654</v>
      </c>
      <c r="C49" s="75" t="s">
        <v>6655</v>
      </c>
      <c r="D49" s="75" t="s">
        <v>6656</v>
      </c>
      <c r="E49" s="75" t="s">
        <v>6657</v>
      </c>
      <c r="F49" s="75" t="s">
        <v>6658</v>
      </c>
      <c r="G49" s="75" t="s">
        <v>6659</v>
      </c>
      <c r="H49" s="75" t="s">
        <v>6660</v>
      </c>
      <c r="I49" s="75" t="s">
        <v>6661</v>
      </c>
      <c r="J49" s="75" t="s">
        <v>6662</v>
      </c>
      <c r="K49" s="105"/>
    </row>
    <row r="50">
      <c r="A50" s="75" t="s">
        <v>6663</v>
      </c>
      <c r="B50" s="75" t="s">
        <v>6664</v>
      </c>
      <c r="C50" s="75" t="s">
        <v>6665</v>
      </c>
      <c r="D50" s="75" t="s">
        <v>6666</v>
      </c>
      <c r="E50" s="75" t="s">
        <v>6667</v>
      </c>
      <c r="F50" s="75" t="s">
        <v>6668</v>
      </c>
      <c r="G50" s="75" t="s">
        <v>6669</v>
      </c>
      <c r="H50" s="75" t="s">
        <v>6670</v>
      </c>
      <c r="I50" s="75" t="s">
        <v>6671</v>
      </c>
      <c r="J50" s="75" t="s">
        <v>6672</v>
      </c>
      <c r="K50" s="105"/>
    </row>
    <row r="5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</row>
    <row r="52">
      <c r="A52" s="75"/>
      <c r="B52" s="105"/>
      <c r="C52" s="105"/>
      <c r="D52" s="105"/>
      <c r="E52" s="105"/>
      <c r="F52" s="105"/>
      <c r="G52" s="105"/>
      <c r="H52" s="105"/>
      <c r="I52" s="105"/>
      <c r="J52" s="105"/>
      <c r="K52" s="105"/>
    </row>
    <row r="53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</row>
    <row r="54">
      <c r="A54" s="149" t="s">
        <v>4701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379" t="s">
        <v>4319</v>
      </c>
      <c r="B55" s="379" t="s">
        <v>4702</v>
      </c>
      <c r="C55" s="256" t="s">
        <v>4703</v>
      </c>
      <c r="D55" s="379" t="s">
        <v>4320</v>
      </c>
      <c r="E55" s="379" t="s">
        <v>436</v>
      </c>
      <c r="F55" s="379" t="s">
        <v>4704</v>
      </c>
      <c r="G55" s="379" t="s">
        <v>135</v>
      </c>
      <c r="H55" s="379" t="s">
        <v>128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4" t="s">
        <v>6673</v>
      </c>
      <c r="B56" s="4" t="s">
        <v>6674</v>
      </c>
      <c r="C56" s="4" t="s">
        <v>98</v>
      </c>
      <c r="D56" s="4" t="s">
        <v>6675</v>
      </c>
      <c r="E56" s="4" t="s">
        <v>141</v>
      </c>
      <c r="F56" s="4" t="s">
        <v>6676</v>
      </c>
      <c r="G56" s="4" t="s">
        <v>6676</v>
      </c>
      <c r="H56" s="4" t="s">
        <v>6677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6678</v>
      </c>
      <c r="B57" s="4" t="s">
        <v>6674</v>
      </c>
      <c r="C57" s="4" t="s">
        <v>94</v>
      </c>
      <c r="D57" s="4" t="s">
        <v>6679</v>
      </c>
      <c r="E57" s="4" t="s">
        <v>5147</v>
      </c>
      <c r="F57" s="4" t="s">
        <v>6680</v>
      </c>
      <c r="G57" s="4" t="s">
        <v>6681</v>
      </c>
      <c r="H57" s="4" t="s">
        <v>6680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" t="s">
        <v>6682</v>
      </c>
      <c r="B58" s="4" t="s">
        <v>6674</v>
      </c>
      <c r="C58" s="4" t="s">
        <v>1688</v>
      </c>
      <c r="D58" s="4" t="s">
        <v>6683</v>
      </c>
      <c r="E58" s="4" t="s">
        <v>1500</v>
      </c>
      <c r="F58" s="4" t="s">
        <v>6684</v>
      </c>
      <c r="G58" s="4" t="s">
        <v>6685</v>
      </c>
      <c r="H58" s="4" t="s">
        <v>6684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4" t="s">
        <v>6686</v>
      </c>
      <c r="B59" s="4" t="s">
        <v>6674</v>
      </c>
      <c r="C59" s="4" t="s">
        <v>6687</v>
      </c>
      <c r="D59" s="4" t="s">
        <v>6688</v>
      </c>
      <c r="E59" s="4" t="s">
        <v>239</v>
      </c>
      <c r="F59" s="4" t="s">
        <v>6689</v>
      </c>
      <c r="G59" s="4" t="s">
        <v>6689</v>
      </c>
      <c r="H59" s="4" t="s">
        <v>6690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4" t="s">
        <v>6691</v>
      </c>
      <c r="B60" s="4" t="s">
        <v>6674</v>
      </c>
      <c r="C60" s="4" t="s">
        <v>6692</v>
      </c>
      <c r="D60" s="4" t="s">
        <v>6693</v>
      </c>
      <c r="E60" s="4" t="s">
        <v>204</v>
      </c>
      <c r="F60" s="4" t="s">
        <v>6694</v>
      </c>
      <c r="G60" s="4" t="s">
        <v>6694</v>
      </c>
      <c r="H60" s="4" t="s">
        <v>6695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 t="s">
        <v>6696</v>
      </c>
      <c r="B61" s="4" t="s">
        <v>6697</v>
      </c>
      <c r="C61" s="4" t="s">
        <v>87</v>
      </c>
      <c r="D61" s="4" t="s">
        <v>6679</v>
      </c>
      <c r="E61" s="4" t="s">
        <v>6306</v>
      </c>
      <c r="F61" s="4" t="s">
        <v>6698</v>
      </c>
      <c r="G61" s="4" t="s">
        <v>6699</v>
      </c>
      <c r="H61" s="4" t="s">
        <v>6698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" t="s">
        <v>6700</v>
      </c>
      <c r="B62" s="4" t="s">
        <v>6697</v>
      </c>
      <c r="C62" s="4" t="s">
        <v>1715</v>
      </c>
      <c r="D62" s="4" t="s">
        <v>6701</v>
      </c>
      <c r="E62" s="4" t="s">
        <v>5147</v>
      </c>
      <c r="F62" s="4" t="s">
        <v>6702</v>
      </c>
      <c r="G62" s="4" t="s">
        <v>6703</v>
      </c>
      <c r="H62" s="4" t="s">
        <v>6704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4" t="s">
        <v>6705</v>
      </c>
      <c r="B63" s="4" t="s">
        <v>6697</v>
      </c>
      <c r="C63" s="4" t="s">
        <v>1703</v>
      </c>
      <c r="D63" s="4" t="s">
        <v>6693</v>
      </c>
      <c r="E63" s="4" t="s">
        <v>268</v>
      </c>
      <c r="F63" s="4" t="s">
        <v>6694</v>
      </c>
      <c r="G63" s="4" t="s">
        <v>6694</v>
      </c>
      <c r="H63" s="4" t="s">
        <v>6706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6707</v>
      </c>
      <c r="B64" s="4" t="s">
        <v>6708</v>
      </c>
      <c r="C64" s="4" t="s">
        <v>6709</v>
      </c>
      <c r="D64" s="4" t="s">
        <v>6688</v>
      </c>
      <c r="E64" s="4" t="s">
        <v>6710</v>
      </c>
      <c r="F64" s="4" t="s">
        <v>6711</v>
      </c>
      <c r="G64" s="4" t="s">
        <v>6712</v>
      </c>
      <c r="H64" s="4" t="s">
        <v>6713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6714</v>
      </c>
      <c r="B65" s="4" t="s">
        <v>6708</v>
      </c>
      <c r="C65" s="4" t="s">
        <v>94</v>
      </c>
      <c r="D65" s="4" t="s">
        <v>6715</v>
      </c>
      <c r="E65" s="4" t="s">
        <v>1500</v>
      </c>
      <c r="F65" s="4" t="s">
        <v>6716</v>
      </c>
      <c r="G65" s="4" t="s">
        <v>6717</v>
      </c>
      <c r="H65" s="4" t="s">
        <v>6718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" t="s">
        <v>6719</v>
      </c>
      <c r="B66" s="4" t="s">
        <v>6708</v>
      </c>
      <c r="C66" s="4" t="s">
        <v>98</v>
      </c>
      <c r="D66" s="4" t="s">
        <v>6720</v>
      </c>
      <c r="E66" s="4" t="s">
        <v>6266</v>
      </c>
      <c r="F66" s="4" t="s">
        <v>6721</v>
      </c>
      <c r="G66" s="4" t="s">
        <v>6722</v>
      </c>
      <c r="H66" s="4" t="s">
        <v>6690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397" t="s">
        <v>6723</v>
      </c>
      <c r="B67" s="4" t="s">
        <v>6724</v>
      </c>
      <c r="C67" s="4" t="s">
        <v>1703</v>
      </c>
      <c r="D67" s="4" t="s">
        <v>6715</v>
      </c>
      <c r="E67" s="4" t="s">
        <v>141</v>
      </c>
      <c r="F67" s="4" t="s">
        <v>6681</v>
      </c>
      <c r="G67" s="4" t="s">
        <v>6725</v>
      </c>
      <c r="H67" s="4" t="s">
        <v>6726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6727</v>
      </c>
      <c r="B68" s="4" t="s">
        <v>6724</v>
      </c>
      <c r="C68" s="4" t="s">
        <v>1695</v>
      </c>
      <c r="D68" s="4" t="s">
        <v>6688</v>
      </c>
      <c r="E68" s="4" t="s">
        <v>169</v>
      </c>
      <c r="F68" s="4" t="s">
        <v>6728</v>
      </c>
      <c r="G68" s="4" t="s">
        <v>6729</v>
      </c>
      <c r="H68" s="4" t="s">
        <v>6728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" t="s">
        <v>6730</v>
      </c>
      <c r="B69" s="4" t="s">
        <v>6724</v>
      </c>
      <c r="C69" s="4" t="s">
        <v>6692</v>
      </c>
      <c r="D69" s="4" t="s">
        <v>6731</v>
      </c>
      <c r="E69" s="4" t="s">
        <v>6288</v>
      </c>
      <c r="F69" s="4" t="s">
        <v>6732</v>
      </c>
      <c r="G69" s="4" t="s">
        <v>6733</v>
      </c>
      <c r="H69" s="4" t="s">
        <v>6734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6735</v>
      </c>
      <c r="B70" s="4" t="s">
        <v>6736</v>
      </c>
      <c r="C70" s="4" t="s">
        <v>1715</v>
      </c>
      <c r="D70" s="4" t="s">
        <v>6701</v>
      </c>
      <c r="E70" s="4" t="s">
        <v>175</v>
      </c>
      <c r="F70" s="4" t="s">
        <v>6702</v>
      </c>
      <c r="G70" s="4" t="s">
        <v>6737</v>
      </c>
      <c r="H70" s="4" t="s">
        <v>6702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4" t="s">
        <v>6738</v>
      </c>
      <c r="B71" s="4" t="s">
        <v>6736</v>
      </c>
      <c r="C71" s="4" t="s">
        <v>6687</v>
      </c>
      <c r="D71" s="4" t="s">
        <v>6720</v>
      </c>
      <c r="E71" s="4" t="s">
        <v>173</v>
      </c>
      <c r="F71" s="4" t="s">
        <v>6739</v>
      </c>
      <c r="G71" s="4" t="s">
        <v>6740</v>
      </c>
      <c r="H71" s="4" t="s">
        <v>6734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95" t="s">
        <v>6741</v>
      </c>
      <c r="B72" s="4" t="s">
        <v>6736</v>
      </c>
      <c r="C72" s="4" t="s">
        <v>1695</v>
      </c>
      <c r="D72" s="4" t="s">
        <v>6715</v>
      </c>
      <c r="E72" s="4" t="s">
        <v>1500</v>
      </c>
      <c r="F72" s="4" t="s">
        <v>6742</v>
      </c>
      <c r="G72" s="4" t="s">
        <v>6681</v>
      </c>
      <c r="H72" s="4" t="s">
        <v>6742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4" t="s">
        <v>6743</v>
      </c>
      <c r="B73" s="4" t="s">
        <v>6744</v>
      </c>
      <c r="C73" s="4" t="s">
        <v>1688</v>
      </c>
      <c r="D73" s="4" t="s">
        <v>6701</v>
      </c>
      <c r="E73" s="4" t="s">
        <v>268</v>
      </c>
      <c r="F73" s="4" t="s">
        <v>6745</v>
      </c>
      <c r="G73" s="4" t="s">
        <v>6745</v>
      </c>
      <c r="H73" s="4" t="s">
        <v>6746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4" t="s">
        <v>6747</v>
      </c>
      <c r="B74" s="4" t="s">
        <v>6744</v>
      </c>
      <c r="C74" s="4" t="s">
        <v>6709</v>
      </c>
      <c r="D74" s="4" t="s">
        <v>6675</v>
      </c>
      <c r="E74" s="4" t="s">
        <v>1500</v>
      </c>
      <c r="F74" s="4" t="s">
        <v>6748</v>
      </c>
      <c r="G74" s="4" t="s">
        <v>6749</v>
      </c>
      <c r="H74" s="4" t="s">
        <v>6737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4" t="s">
        <v>6750</v>
      </c>
      <c r="B75" s="4" t="s">
        <v>6744</v>
      </c>
      <c r="C75" s="4" t="s">
        <v>6687</v>
      </c>
      <c r="D75" s="4" t="s">
        <v>6731</v>
      </c>
      <c r="E75" s="4" t="s">
        <v>5147</v>
      </c>
      <c r="F75" s="4" t="s">
        <v>6695</v>
      </c>
      <c r="G75" s="4" t="s">
        <v>6751</v>
      </c>
      <c r="H75" s="4" t="s">
        <v>6752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4" t="s">
        <v>6753</v>
      </c>
      <c r="B76" s="4" t="s">
        <v>6754</v>
      </c>
      <c r="C76" s="4" t="s">
        <v>94</v>
      </c>
      <c r="D76" s="4" t="s">
        <v>6715</v>
      </c>
      <c r="E76" s="4" t="s">
        <v>141</v>
      </c>
      <c r="F76" s="4" t="s">
        <v>6755</v>
      </c>
      <c r="G76" s="4" t="s">
        <v>6756</v>
      </c>
      <c r="H76" s="4" t="s">
        <v>6757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95" t="s">
        <v>6758</v>
      </c>
      <c r="B77" s="4" t="s">
        <v>6754</v>
      </c>
      <c r="C77" s="4" t="s">
        <v>87</v>
      </c>
      <c r="D77" s="4" t="s">
        <v>6759</v>
      </c>
      <c r="E77" s="4" t="s">
        <v>6288</v>
      </c>
      <c r="F77" s="4" t="s">
        <v>6760</v>
      </c>
      <c r="G77" s="4" t="s">
        <v>6760</v>
      </c>
      <c r="H77" s="4" t="s">
        <v>6680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4" t="s">
        <v>6761</v>
      </c>
      <c r="B78" s="4" t="s">
        <v>6754</v>
      </c>
      <c r="C78" s="4" t="s">
        <v>6709</v>
      </c>
      <c r="D78" s="4" t="s">
        <v>6720</v>
      </c>
      <c r="E78" s="4" t="s">
        <v>5147</v>
      </c>
      <c r="F78" s="4" t="s">
        <v>6762</v>
      </c>
      <c r="G78" s="4" t="s">
        <v>6763</v>
      </c>
      <c r="H78" s="4" t="s">
        <v>6752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4" t="s">
        <v>6764</v>
      </c>
      <c r="B79" s="4" t="s">
        <v>6754</v>
      </c>
      <c r="C79" s="4" t="s">
        <v>1709</v>
      </c>
      <c r="D79" s="4" t="s">
        <v>6688</v>
      </c>
      <c r="E79" s="4" t="s">
        <v>6765</v>
      </c>
      <c r="F79" s="4" t="s">
        <v>6766</v>
      </c>
      <c r="G79" s="4" t="s">
        <v>6766</v>
      </c>
      <c r="H79" s="4" t="s">
        <v>6767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4" t="s">
        <v>6768</v>
      </c>
      <c r="B80" s="4" t="s">
        <v>6754</v>
      </c>
      <c r="C80" s="4" t="s">
        <v>1715</v>
      </c>
      <c r="D80" s="4" t="s">
        <v>6693</v>
      </c>
      <c r="E80" s="4" t="s">
        <v>1500</v>
      </c>
      <c r="F80" s="4" t="s">
        <v>6769</v>
      </c>
      <c r="G80" s="4" t="s">
        <v>6769</v>
      </c>
      <c r="H80" s="4" t="s">
        <v>6770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4" t="s">
        <v>6771</v>
      </c>
      <c r="B81" s="4" t="s">
        <v>6772</v>
      </c>
      <c r="C81" s="4" t="s">
        <v>98</v>
      </c>
      <c r="D81" s="4" t="s">
        <v>6759</v>
      </c>
      <c r="E81" s="4" t="s">
        <v>6765</v>
      </c>
      <c r="F81" s="4" t="s">
        <v>6746</v>
      </c>
      <c r="G81" s="4" t="s">
        <v>6746</v>
      </c>
      <c r="H81" s="4" t="s">
        <v>6757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95" t="s">
        <v>6773</v>
      </c>
      <c r="B82" s="4" t="s">
        <v>6772</v>
      </c>
      <c r="C82" s="4" t="s">
        <v>6687</v>
      </c>
      <c r="D82" s="4" t="s">
        <v>6715</v>
      </c>
      <c r="E82" s="4" t="s">
        <v>141</v>
      </c>
      <c r="F82" s="4" t="s">
        <v>6774</v>
      </c>
      <c r="G82" s="4" t="s">
        <v>6775</v>
      </c>
      <c r="H82" s="4" t="s">
        <v>6774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4" t="s">
        <v>6776</v>
      </c>
      <c r="B83" s="4" t="s">
        <v>6772</v>
      </c>
      <c r="C83" s="4" t="s">
        <v>1709</v>
      </c>
      <c r="D83" s="4" t="s">
        <v>6683</v>
      </c>
      <c r="E83" s="4" t="s">
        <v>6777</v>
      </c>
      <c r="F83" s="4" t="s">
        <v>6737</v>
      </c>
      <c r="G83" s="4" t="s">
        <v>6763</v>
      </c>
      <c r="H83" s="4" t="s">
        <v>6737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4" t="s">
        <v>6778</v>
      </c>
      <c r="B84" s="4" t="s">
        <v>6772</v>
      </c>
      <c r="C84" s="4" t="s">
        <v>1695</v>
      </c>
      <c r="D84" s="4" t="s">
        <v>6688</v>
      </c>
      <c r="E84" s="4" t="s">
        <v>6779</v>
      </c>
      <c r="F84" s="4" t="s">
        <v>6780</v>
      </c>
      <c r="G84" s="4" t="s">
        <v>6781</v>
      </c>
      <c r="H84" s="4" t="s">
        <v>6728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4" t="s">
        <v>6782</v>
      </c>
      <c r="B85" s="4" t="s">
        <v>6783</v>
      </c>
      <c r="C85" s="4" t="s">
        <v>6709</v>
      </c>
      <c r="D85" s="4" t="s">
        <v>6693</v>
      </c>
      <c r="E85" s="4" t="s">
        <v>6777</v>
      </c>
      <c r="F85" s="4" t="s">
        <v>6694</v>
      </c>
      <c r="G85" s="4" t="s">
        <v>6713</v>
      </c>
      <c r="H85" s="4" t="s">
        <v>6784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4" t="s">
        <v>6785</v>
      </c>
      <c r="B86" s="4" t="s">
        <v>6783</v>
      </c>
      <c r="C86" s="4" t="s">
        <v>1688</v>
      </c>
      <c r="D86" s="4" t="s">
        <v>6715</v>
      </c>
      <c r="E86" s="4" t="s">
        <v>141</v>
      </c>
      <c r="F86" s="4" t="s">
        <v>6716</v>
      </c>
      <c r="G86" s="4" t="s">
        <v>6716</v>
      </c>
      <c r="H86" s="4" t="s">
        <v>6786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4" t="s">
        <v>6787</v>
      </c>
      <c r="B87" s="4" t="s">
        <v>6783</v>
      </c>
      <c r="C87" s="4" t="s">
        <v>87</v>
      </c>
      <c r="D87" s="4" t="s">
        <v>6679</v>
      </c>
      <c r="E87" s="4" t="s">
        <v>6765</v>
      </c>
      <c r="F87" s="4" t="s">
        <v>6734</v>
      </c>
      <c r="G87" s="4" t="s">
        <v>6788</v>
      </c>
      <c r="H87" s="4" t="s">
        <v>6734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4" t="s">
        <v>6789</v>
      </c>
      <c r="B88" s="4" t="s">
        <v>6790</v>
      </c>
      <c r="C88" s="4" t="s">
        <v>98</v>
      </c>
      <c r="D88" s="4" t="s">
        <v>6675</v>
      </c>
      <c r="E88" s="4" t="s">
        <v>4368</v>
      </c>
      <c r="F88" s="4" t="s">
        <v>6748</v>
      </c>
      <c r="G88" s="4" t="s">
        <v>6748</v>
      </c>
      <c r="H88" s="4" t="s">
        <v>6757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4" t="s">
        <v>6791</v>
      </c>
      <c r="B89" s="4" t="s">
        <v>6790</v>
      </c>
      <c r="C89" s="4" t="s">
        <v>94</v>
      </c>
      <c r="D89" s="4" t="s">
        <v>6688</v>
      </c>
      <c r="E89" s="4" t="s">
        <v>6779</v>
      </c>
      <c r="F89" s="4" t="s">
        <v>6792</v>
      </c>
      <c r="G89" s="4" t="s">
        <v>6793</v>
      </c>
      <c r="H89" s="4" t="s">
        <v>6794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4" t="s">
        <v>6795</v>
      </c>
      <c r="B90" s="4" t="s">
        <v>6790</v>
      </c>
      <c r="C90" s="4" t="s">
        <v>1703</v>
      </c>
      <c r="D90" s="4" t="s">
        <v>6715</v>
      </c>
      <c r="E90" s="4" t="s">
        <v>141</v>
      </c>
      <c r="F90" s="4" t="s">
        <v>6796</v>
      </c>
      <c r="G90" s="4" t="s">
        <v>6755</v>
      </c>
      <c r="H90" s="4" t="s">
        <v>6796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" t="s">
        <v>6797</v>
      </c>
      <c r="B91" s="4" t="s">
        <v>6798</v>
      </c>
      <c r="C91" s="4" t="s">
        <v>1703</v>
      </c>
      <c r="D91" s="4" t="s">
        <v>6675</v>
      </c>
      <c r="E91" s="4" t="s">
        <v>6765</v>
      </c>
      <c r="F91" s="4" t="s">
        <v>6722</v>
      </c>
      <c r="G91" s="4" t="s">
        <v>6722</v>
      </c>
      <c r="H91" s="4" t="s">
        <v>6799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4" t="s">
        <v>6800</v>
      </c>
      <c r="B92" s="4" t="s">
        <v>6798</v>
      </c>
      <c r="C92" s="4" t="s">
        <v>1688</v>
      </c>
      <c r="D92" s="4" t="s">
        <v>6759</v>
      </c>
      <c r="E92" s="4" t="s">
        <v>6765</v>
      </c>
      <c r="F92" s="4" t="s">
        <v>6801</v>
      </c>
      <c r="G92" s="4" t="s">
        <v>6801</v>
      </c>
      <c r="H92" s="4" t="s">
        <v>6802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4" t="s">
        <v>6803</v>
      </c>
      <c r="B93" s="4" t="s">
        <v>6798</v>
      </c>
      <c r="C93" s="4" t="s">
        <v>6709</v>
      </c>
      <c r="D93" s="4" t="s">
        <v>6683</v>
      </c>
      <c r="E93" s="4" t="s">
        <v>6777</v>
      </c>
      <c r="F93" s="4" t="s">
        <v>6737</v>
      </c>
      <c r="G93" s="4" t="s">
        <v>6804</v>
      </c>
      <c r="H93" s="4" t="s">
        <v>6734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4" t="s">
        <v>6805</v>
      </c>
      <c r="B94" s="4" t="s">
        <v>6806</v>
      </c>
      <c r="C94" s="4" t="s">
        <v>1695</v>
      </c>
      <c r="D94" s="4" t="s">
        <v>6688</v>
      </c>
      <c r="E94" s="4" t="s">
        <v>6765</v>
      </c>
      <c r="F94" s="4" t="s">
        <v>6807</v>
      </c>
      <c r="G94" s="4" t="s">
        <v>6808</v>
      </c>
      <c r="H94" s="4" t="s">
        <v>6807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4" t="s">
        <v>6809</v>
      </c>
      <c r="B95" s="4" t="s">
        <v>6806</v>
      </c>
      <c r="C95" s="4" t="s">
        <v>94</v>
      </c>
      <c r="D95" s="4" t="s">
        <v>6683</v>
      </c>
      <c r="E95" s="4" t="s">
        <v>6779</v>
      </c>
      <c r="F95" s="4" t="s">
        <v>6810</v>
      </c>
      <c r="G95" s="4" t="s">
        <v>6810</v>
      </c>
      <c r="H95" s="4" t="s">
        <v>6713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4" t="s">
        <v>6811</v>
      </c>
      <c r="B96" s="4" t="s">
        <v>6806</v>
      </c>
      <c r="C96" s="4" t="s">
        <v>1715</v>
      </c>
      <c r="D96" s="4" t="s">
        <v>6731</v>
      </c>
      <c r="E96" s="4" t="s">
        <v>4368</v>
      </c>
      <c r="F96" s="4" t="s">
        <v>6732</v>
      </c>
      <c r="G96" s="4" t="s">
        <v>6732</v>
      </c>
      <c r="H96" s="4" t="s">
        <v>6812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4" t="s">
        <v>6813</v>
      </c>
      <c r="B97" s="4" t="s">
        <v>6806</v>
      </c>
      <c r="C97" s="4" t="s">
        <v>87</v>
      </c>
      <c r="D97" s="4" t="s">
        <v>6693</v>
      </c>
      <c r="E97" s="4" t="s">
        <v>141</v>
      </c>
      <c r="F97" s="4" t="s">
        <v>6814</v>
      </c>
      <c r="G97" s="4" t="s">
        <v>6680</v>
      </c>
      <c r="H97" s="4" t="s">
        <v>6814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4" t="s">
        <v>6815</v>
      </c>
      <c r="B98" s="4" t="s">
        <v>6816</v>
      </c>
      <c r="C98" s="4" t="s">
        <v>1709</v>
      </c>
      <c r="D98" s="4" t="s">
        <v>6731</v>
      </c>
      <c r="E98" s="4" t="s">
        <v>6765</v>
      </c>
      <c r="F98" s="4" t="s">
        <v>6817</v>
      </c>
      <c r="G98" s="4" t="s">
        <v>6817</v>
      </c>
      <c r="H98" s="4" t="s">
        <v>6818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4" t="s">
        <v>6819</v>
      </c>
      <c r="B99" s="4" t="s">
        <v>6816</v>
      </c>
      <c r="C99" s="4" t="s">
        <v>1695</v>
      </c>
      <c r="D99" s="4" t="s">
        <v>6688</v>
      </c>
      <c r="E99" s="4" t="s">
        <v>6765</v>
      </c>
      <c r="F99" s="4" t="s">
        <v>6728</v>
      </c>
      <c r="G99" s="4" t="s">
        <v>6689</v>
      </c>
      <c r="H99" s="4" t="s">
        <v>6728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4" t="s">
        <v>6820</v>
      </c>
      <c r="B100" s="4" t="s">
        <v>6816</v>
      </c>
      <c r="C100" s="4" t="s">
        <v>6687</v>
      </c>
      <c r="D100" s="4" t="s">
        <v>6720</v>
      </c>
      <c r="E100" s="4" t="s">
        <v>141</v>
      </c>
      <c r="F100" s="4" t="s">
        <v>6821</v>
      </c>
      <c r="G100" s="4" t="s">
        <v>6793</v>
      </c>
      <c r="H100" s="4" t="s">
        <v>6821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4" t="s">
        <v>6822</v>
      </c>
      <c r="B101" s="4" t="s">
        <v>6823</v>
      </c>
      <c r="C101" s="4" t="s">
        <v>6824</v>
      </c>
      <c r="D101" s="4" t="s">
        <v>6688</v>
      </c>
      <c r="E101" s="4" t="s">
        <v>4368</v>
      </c>
      <c r="F101" s="4" t="s">
        <v>6780</v>
      </c>
      <c r="G101" s="4" t="s">
        <v>6681</v>
      </c>
      <c r="H101" s="4" t="s">
        <v>6825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4" t="s">
        <v>6826</v>
      </c>
      <c r="B102" s="4" t="s">
        <v>6823</v>
      </c>
      <c r="C102" s="4" t="s">
        <v>6827</v>
      </c>
      <c r="D102" s="4" t="s">
        <v>6679</v>
      </c>
      <c r="E102" s="4" t="s">
        <v>141</v>
      </c>
      <c r="F102" s="4" t="s">
        <v>6760</v>
      </c>
      <c r="G102" s="4" t="s">
        <v>6733</v>
      </c>
      <c r="H102" s="4" t="s">
        <v>6760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4" t="s">
        <v>6828</v>
      </c>
      <c r="B103" s="4" t="s">
        <v>6829</v>
      </c>
      <c r="C103" s="4" t="s">
        <v>6824</v>
      </c>
      <c r="D103" s="4" t="s">
        <v>6679</v>
      </c>
      <c r="E103" s="4" t="s">
        <v>6765</v>
      </c>
      <c r="F103" s="4" t="s">
        <v>6760</v>
      </c>
      <c r="G103" s="4" t="s">
        <v>6760</v>
      </c>
      <c r="H103" s="4" t="s">
        <v>6760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4" t="s">
        <v>6830</v>
      </c>
      <c r="B104" s="4" t="s">
        <v>6831</v>
      </c>
      <c r="C104" s="4" t="s">
        <v>6832</v>
      </c>
      <c r="D104" s="4" t="s">
        <v>6688</v>
      </c>
      <c r="E104" s="4" t="s">
        <v>6777</v>
      </c>
      <c r="F104" s="4" t="s">
        <v>6808</v>
      </c>
      <c r="G104" s="4" t="s">
        <v>6808</v>
      </c>
      <c r="H104" s="4" t="s">
        <v>6808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76" t="s">
        <v>6833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251" t="s">
        <v>111</v>
      </c>
      <c r="B108" s="251" t="s">
        <v>112</v>
      </c>
      <c r="C108" s="251" t="s">
        <v>113</v>
      </c>
      <c r="D108" s="251" t="s">
        <v>114</v>
      </c>
      <c r="E108" s="251" t="s">
        <v>4406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4" t="s">
        <v>117</v>
      </c>
      <c r="B109" s="4" t="s">
        <v>221</v>
      </c>
      <c r="C109" s="4" t="s">
        <v>222</v>
      </c>
      <c r="D109" s="4" t="s">
        <v>7</v>
      </c>
      <c r="E109" s="4">
        <v>40000.0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4" t="s">
        <v>124</v>
      </c>
      <c r="B110" s="4" t="s">
        <v>125</v>
      </c>
      <c r="C110" s="4" t="s">
        <v>225</v>
      </c>
      <c r="D110" s="4" t="s">
        <v>10</v>
      </c>
      <c r="E110" s="4">
        <v>40000.0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4" t="s">
        <v>227</v>
      </c>
      <c r="B111" s="4" t="s">
        <v>224</v>
      </c>
      <c r="C111" s="4" t="s">
        <v>222</v>
      </c>
      <c r="D111" s="4" t="s">
        <v>11</v>
      </c>
      <c r="E111" s="4">
        <v>80000.0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4" t="s">
        <v>230</v>
      </c>
      <c r="B112" s="4" t="s">
        <v>231</v>
      </c>
      <c r="C112" s="4" t="s">
        <v>222</v>
      </c>
      <c r="D112" s="4" t="s">
        <v>13</v>
      </c>
      <c r="E112" s="4">
        <v>80000.0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4" t="s">
        <v>140</v>
      </c>
      <c r="B113" s="4" t="s">
        <v>234</v>
      </c>
      <c r="C113" s="4" t="s">
        <v>235</v>
      </c>
      <c r="D113" s="4" t="s">
        <v>7</v>
      </c>
      <c r="E113" s="4">
        <v>160000.0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4" t="s">
        <v>167</v>
      </c>
      <c r="B114" s="4" t="s">
        <v>237</v>
      </c>
      <c r="E114" s="4">
        <v>200000.0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4" t="s">
        <v>170</v>
      </c>
      <c r="B115" s="4" t="s">
        <v>222</v>
      </c>
      <c r="E115" s="4">
        <v>350000.0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4" t="s">
        <v>148</v>
      </c>
      <c r="B116" s="4" t="s">
        <v>242</v>
      </c>
      <c r="E116" s="4">
        <v>700000.0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</sheetData>
  <mergeCells count="7">
    <mergeCell ref="A1:N1"/>
    <mergeCell ref="A31:J31"/>
    <mergeCell ref="A54:H54"/>
    <mergeCell ref="A107:E107"/>
    <mergeCell ref="B114:D114"/>
    <mergeCell ref="B115:D115"/>
    <mergeCell ref="B116:D116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200C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22.38"/>
    <col customWidth="1" min="3" max="3" width="23.38"/>
    <col customWidth="1" min="4" max="4" width="21.13"/>
    <col customWidth="1" min="5" max="5" width="22.75"/>
    <col customWidth="1" min="6" max="6" width="23.38"/>
    <col customWidth="1" min="7" max="7" width="23.13"/>
    <col customWidth="1" min="8" max="8" width="24.75"/>
    <col customWidth="1" min="9" max="9" width="23.13"/>
    <col customWidth="1" min="10" max="10" width="23.88"/>
    <col customWidth="1" min="11" max="11" width="17.63"/>
    <col customWidth="1" min="12" max="12" width="20.38"/>
  </cols>
  <sheetData>
    <row r="1">
      <c r="A1" s="394" t="s">
        <v>8</v>
      </c>
      <c r="B1" s="394" t="s">
        <v>7</v>
      </c>
      <c r="C1" s="394" t="s">
        <v>14</v>
      </c>
      <c r="D1" s="394" t="s">
        <v>12</v>
      </c>
      <c r="E1" s="394" t="s">
        <v>4</v>
      </c>
      <c r="F1" s="394" t="s">
        <v>11</v>
      </c>
      <c r="G1" s="394" t="s">
        <v>6</v>
      </c>
      <c r="H1" s="394" t="s">
        <v>10</v>
      </c>
      <c r="I1" s="394" t="s">
        <v>13</v>
      </c>
      <c r="J1" s="394" t="s">
        <v>15</v>
      </c>
      <c r="K1" s="394" t="s">
        <v>9</v>
      </c>
      <c r="L1" s="33" t="s">
        <v>6834</v>
      </c>
    </row>
    <row r="2">
      <c r="A2" s="411" t="s">
        <v>2001</v>
      </c>
      <c r="B2" s="377" t="s">
        <v>6835</v>
      </c>
      <c r="C2" s="31" t="s">
        <v>6836</v>
      </c>
      <c r="D2" s="31" t="s">
        <v>6837</v>
      </c>
      <c r="E2" s="31" t="s">
        <v>6838</v>
      </c>
      <c r="F2" s="31" t="s">
        <v>2771</v>
      </c>
      <c r="G2" s="31" t="s">
        <v>1540</v>
      </c>
      <c r="H2" s="31" t="s">
        <v>6839</v>
      </c>
      <c r="I2" s="31" t="s">
        <v>3357</v>
      </c>
      <c r="J2" s="31" t="s">
        <v>3676</v>
      </c>
      <c r="K2" s="31" t="s">
        <v>5002</v>
      </c>
      <c r="L2" s="31" t="s">
        <v>6840</v>
      </c>
    </row>
    <row r="3">
      <c r="A3" s="413" t="s">
        <v>6841</v>
      </c>
      <c r="B3" s="31" t="s">
        <v>1770</v>
      </c>
      <c r="C3" s="31" t="s">
        <v>517</v>
      </c>
      <c r="D3" s="31" t="s">
        <v>6842</v>
      </c>
      <c r="E3" s="31" t="s">
        <v>956</v>
      </c>
      <c r="F3" s="31" t="s">
        <v>6843</v>
      </c>
      <c r="G3" s="31" t="s">
        <v>6844</v>
      </c>
      <c r="H3" s="31" t="s">
        <v>2417</v>
      </c>
      <c r="I3" s="31" t="s">
        <v>2919</v>
      </c>
      <c r="J3" s="31" t="s">
        <v>5202</v>
      </c>
      <c r="K3" s="31" t="s">
        <v>6319</v>
      </c>
      <c r="L3" s="31" t="s">
        <v>6845</v>
      </c>
    </row>
    <row r="4">
      <c r="A4" s="413" t="s">
        <v>6846</v>
      </c>
      <c r="B4" s="31" t="s">
        <v>1698</v>
      </c>
      <c r="C4" s="31" t="s">
        <v>3512</v>
      </c>
      <c r="D4" s="31" t="s">
        <v>3087</v>
      </c>
      <c r="E4" s="31" t="s">
        <v>4037</v>
      </c>
      <c r="F4" s="31" t="s">
        <v>6847</v>
      </c>
      <c r="G4" s="31" t="s">
        <v>1608</v>
      </c>
      <c r="H4" s="31" t="s">
        <v>6848</v>
      </c>
      <c r="I4" s="31" t="s">
        <v>3390</v>
      </c>
      <c r="J4" s="31" t="s">
        <v>3691</v>
      </c>
      <c r="K4" s="31" t="s">
        <v>6849</v>
      </c>
      <c r="L4" s="31" t="s">
        <v>6850</v>
      </c>
    </row>
    <row r="5">
      <c r="A5" s="413" t="s">
        <v>2087</v>
      </c>
      <c r="B5" s="31" t="s">
        <v>6851</v>
      </c>
      <c r="C5" s="31" t="s">
        <v>6852</v>
      </c>
      <c r="D5" s="31" t="s">
        <v>3086</v>
      </c>
      <c r="E5" s="31" t="s">
        <v>5206</v>
      </c>
      <c r="F5" s="31" t="s">
        <v>2688</v>
      </c>
      <c r="G5" s="31" t="s">
        <v>6853</v>
      </c>
      <c r="H5" s="31" t="s">
        <v>6854</v>
      </c>
      <c r="I5" s="31" t="s">
        <v>6855</v>
      </c>
      <c r="J5" s="31" t="s">
        <v>3708</v>
      </c>
      <c r="K5" s="31" t="s">
        <v>6856</v>
      </c>
      <c r="L5" s="31" t="s">
        <v>6857</v>
      </c>
    </row>
    <row r="6">
      <c r="A6" s="413" t="s">
        <v>6342</v>
      </c>
      <c r="B6" s="31" t="s">
        <v>6858</v>
      </c>
      <c r="C6" s="31" t="s">
        <v>6859</v>
      </c>
      <c r="D6" s="31" t="s">
        <v>2671</v>
      </c>
      <c r="E6" s="31" t="s">
        <v>5933</v>
      </c>
      <c r="F6" s="31" t="s">
        <v>5938</v>
      </c>
      <c r="G6" s="31" t="s">
        <v>6860</v>
      </c>
      <c r="H6" s="31" t="s">
        <v>6861</v>
      </c>
      <c r="I6" s="31" t="s">
        <v>3342</v>
      </c>
      <c r="J6" s="31" t="s">
        <v>5211</v>
      </c>
      <c r="K6" s="31" t="s">
        <v>6862</v>
      </c>
      <c r="L6" s="31" t="s">
        <v>6863</v>
      </c>
    </row>
    <row r="7">
      <c r="A7" s="413" t="s">
        <v>6351</v>
      </c>
      <c r="B7" s="31" t="s">
        <v>6864</v>
      </c>
      <c r="C7" s="31" t="s">
        <v>6865</v>
      </c>
      <c r="D7" s="31" t="s">
        <v>3119</v>
      </c>
      <c r="E7" s="31" t="s">
        <v>6866</v>
      </c>
      <c r="F7" s="31" t="s">
        <v>2705</v>
      </c>
      <c r="H7" s="31" t="s">
        <v>5218</v>
      </c>
      <c r="I7" s="31" t="s">
        <v>6867</v>
      </c>
      <c r="J7" s="31" t="s">
        <v>4975</v>
      </c>
      <c r="K7" s="31" t="s">
        <v>6868</v>
      </c>
      <c r="L7" s="31" t="s">
        <v>6869</v>
      </c>
    </row>
    <row r="8">
      <c r="A8" s="413" t="s">
        <v>6361</v>
      </c>
      <c r="B8" s="31" t="s">
        <v>6870</v>
      </c>
      <c r="C8" s="31" t="s">
        <v>6871</v>
      </c>
      <c r="D8" s="31" t="s">
        <v>6872</v>
      </c>
      <c r="E8" s="31" t="s">
        <v>5583</v>
      </c>
      <c r="F8" s="31" t="s">
        <v>6873</v>
      </c>
      <c r="H8" s="31" t="s">
        <v>6362</v>
      </c>
      <c r="I8" s="31" t="s">
        <v>6874</v>
      </c>
      <c r="J8" s="31" t="s">
        <v>5222</v>
      </c>
      <c r="K8" s="31" t="s">
        <v>6875</v>
      </c>
      <c r="L8" s="31" t="s">
        <v>6876</v>
      </c>
    </row>
    <row r="9">
      <c r="A9" s="413" t="s">
        <v>6372</v>
      </c>
      <c r="B9" s="31" t="s">
        <v>6877</v>
      </c>
      <c r="C9" s="31" t="s">
        <v>6878</v>
      </c>
      <c r="D9" s="31" t="s">
        <v>6879</v>
      </c>
      <c r="F9" s="31" t="s">
        <v>6880</v>
      </c>
      <c r="H9" s="31" t="s">
        <v>6881</v>
      </c>
      <c r="I9" s="31" t="s">
        <v>6882</v>
      </c>
      <c r="J9" s="31" t="s">
        <v>6379</v>
      </c>
      <c r="K9" s="31" t="s">
        <v>6883</v>
      </c>
      <c r="L9" s="31" t="s">
        <v>6884</v>
      </c>
    </row>
    <row r="10">
      <c r="A10" s="413" t="s">
        <v>6885</v>
      </c>
      <c r="B10" s="31" t="s">
        <v>6886</v>
      </c>
      <c r="C10" s="31" t="s">
        <v>6887</v>
      </c>
      <c r="D10" s="31" t="s">
        <v>6888</v>
      </c>
      <c r="F10" s="31" t="s">
        <v>6889</v>
      </c>
      <c r="H10" s="31" t="s">
        <v>6890</v>
      </c>
      <c r="I10" s="31" t="s">
        <v>6891</v>
      </c>
      <c r="J10" s="31" t="s">
        <v>6392</v>
      </c>
      <c r="K10" s="31" t="s">
        <v>6892</v>
      </c>
      <c r="L10" s="31" t="s">
        <v>6893</v>
      </c>
    </row>
    <row r="11">
      <c r="A11" s="413" t="s">
        <v>6894</v>
      </c>
      <c r="B11" s="31" t="s">
        <v>6895</v>
      </c>
      <c r="C11" s="31" t="s">
        <v>6896</v>
      </c>
      <c r="D11" s="31" t="s">
        <v>6897</v>
      </c>
      <c r="F11" s="31" t="s">
        <v>6898</v>
      </c>
      <c r="H11" s="31" t="s">
        <v>4509</v>
      </c>
      <c r="I11" s="31" t="s">
        <v>6899</v>
      </c>
      <c r="J11" s="31" t="s">
        <v>4507</v>
      </c>
      <c r="K11" s="31" t="s">
        <v>6900</v>
      </c>
      <c r="L11" s="31" t="s">
        <v>3209</v>
      </c>
    </row>
    <row r="12">
      <c r="A12" s="413" t="s">
        <v>6901</v>
      </c>
      <c r="B12" s="31" t="s">
        <v>6902</v>
      </c>
      <c r="C12" s="31" t="s">
        <v>6903</v>
      </c>
      <c r="D12" s="31" t="s">
        <v>6904</v>
      </c>
      <c r="F12" s="31" t="s">
        <v>6905</v>
      </c>
      <c r="H12" s="31" t="s">
        <v>6906</v>
      </c>
      <c r="I12" s="31" t="s">
        <v>6907</v>
      </c>
      <c r="J12" s="31" t="s">
        <v>6413</v>
      </c>
      <c r="L12" s="31" t="s">
        <v>6908</v>
      </c>
    </row>
    <row r="13">
      <c r="A13" s="413" t="s">
        <v>6909</v>
      </c>
      <c r="B13" s="31" t="s">
        <v>6910</v>
      </c>
      <c r="C13" s="31" t="s">
        <v>6911</v>
      </c>
      <c r="F13" s="31" t="s">
        <v>6912</v>
      </c>
      <c r="H13" s="31" t="s">
        <v>6913</v>
      </c>
      <c r="I13" s="31" t="s">
        <v>6914</v>
      </c>
      <c r="J13" s="31" t="s">
        <v>6424</v>
      </c>
      <c r="L13" s="45" t="s">
        <v>6915</v>
      </c>
    </row>
    <row r="14">
      <c r="A14" s="413" t="s">
        <v>6916</v>
      </c>
      <c r="B14" s="31" t="s">
        <v>6917</v>
      </c>
      <c r="C14" s="31" t="s">
        <v>6918</v>
      </c>
      <c r="F14" s="31" t="s">
        <v>6919</v>
      </c>
      <c r="H14" s="31" t="s">
        <v>6920</v>
      </c>
      <c r="I14" s="31" t="s">
        <v>6921</v>
      </c>
      <c r="J14" s="31" t="s">
        <v>6436</v>
      </c>
      <c r="L14" s="45" t="s">
        <v>6922</v>
      </c>
    </row>
    <row r="15">
      <c r="A15" s="413" t="s">
        <v>6923</v>
      </c>
      <c r="B15" s="31" t="s">
        <v>6924</v>
      </c>
      <c r="F15" s="31" t="s">
        <v>6925</v>
      </c>
      <c r="H15" s="31" t="s">
        <v>6926</v>
      </c>
      <c r="I15" s="31" t="s">
        <v>6927</v>
      </c>
      <c r="J15" s="31" t="s">
        <v>5244</v>
      </c>
      <c r="L15" s="45" t="s">
        <v>6928</v>
      </c>
    </row>
    <row r="16">
      <c r="A16" s="413" t="s">
        <v>6929</v>
      </c>
      <c r="B16" s="31" t="s">
        <v>6930</v>
      </c>
      <c r="F16" s="31" t="s">
        <v>6931</v>
      </c>
      <c r="H16" s="31" t="s">
        <v>6932</v>
      </c>
      <c r="I16" s="31" t="s">
        <v>6933</v>
      </c>
      <c r="J16" s="31" t="s">
        <v>6453</v>
      </c>
      <c r="L16" s="45" t="s">
        <v>6934</v>
      </c>
    </row>
    <row r="17">
      <c r="A17" s="413" t="s">
        <v>6935</v>
      </c>
      <c r="B17" s="31" t="s">
        <v>6936</v>
      </c>
      <c r="I17" s="31" t="s">
        <v>6937</v>
      </c>
      <c r="J17" s="31" t="s">
        <v>6460</v>
      </c>
      <c r="L17" s="31" t="s">
        <v>6938</v>
      </c>
    </row>
    <row r="18">
      <c r="A18" s="413" t="s">
        <v>6939</v>
      </c>
      <c r="I18" s="31" t="s">
        <v>6940</v>
      </c>
      <c r="J18" s="31" t="s">
        <v>6019</v>
      </c>
    </row>
    <row r="19">
      <c r="A19" s="413" t="s">
        <v>6941</v>
      </c>
      <c r="I19" s="31" t="s">
        <v>6942</v>
      </c>
    </row>
    <row r="20">
      <c r="A20" s="413" t="s">
        <v>6943</v>
      </c>
      <c r="I20" s="31" t="s">
        <v>6944</v>
      </c>
    </row>
    <row r="21">
      <c r="A21" s="31"/>
      <c r="I21" s="31" t="s">
        <v>6945</v>
      </c>
    </row>
    <row r="22">
      <c r="I22" s="31" t="s">
        <v>6946</v>
      </c>
    </row>
    <row r="23">
      <c r="I23" s="31" t="s">
        <v>6947</v>
      </c>
    </row>
    <row r="24">
      <c r="I24" s="31" t="s">
        <v>6948</v>
      </c>
    </row>
    <row r="25">
      <c r="I25" s="31" t="s">
        <v>6949</v>
      </c>
    </row>
    <row r="26">
      <c r="I26" s="31" t="s">
        <v>6950</v>
      </c>
    </row>
    <row r="27">
      <c r="I27" s="31" t="s">
        <v>6951</v>
      </c>
    </row>
    <row r="28">
      <c r="I28" s="31" t="s">
        <v>6952</v>
      </c>
    </row>
    <row r="31">
      <c r="A31" s="38" t="s">
        <v>6953</v>
      </c>
    </row>
    <row r="32">
      <c r="A32" s="50" t="s">
        <v>6954</v>
      </c>
      <c r="B32" s="50" t="s">
        <v>6955</v>
      </c>
      <c r="C32" s="50" t="s">
        <v>6956</v>
      </c>
      <c r="D32" s="50" t="s">
        <v>969</v>
      </c>
      <c r="E32" s="50" t="s">
        <v>6957</v>
      </c>
      <c r="F32" s="50" t="s">
        <v>6958</v>
      </c>
      <c r="G32" s="50" t="s">
        <v>6959</v>
      </c>
      <c r="H32" s="50" t="s">
        <v>6960</v>
      </c>
    </row>
    <row r="33">
      <c r="A33" s="31" t="s">
        <v>6961</v>
      </c>
      <c r="B33" s="31" t="s">
        <v>6962</v>
      </c>
      <c r="C33" s="31" t="s">
        <v>6963</v>
      </c>
      <c r="D33" s="31" t="s">
        <v>6964</v>
      </c>
      <c r="E33" s="31" t="s">
        <v>6965</v>
      </c>
      <c r="F33" s="31" t="s">
        <v>6966</v>
      </c>
      <c r="G33" s="31" t="s">
        <v>6967</v>
      </c>
      <c r="H33" s="31" t="s">
        <v>6968</v>
      </c>
    </row>
    <row r="34">
      <c r="A34" s="31" t="s">
        <v>6969</v>
      </c>
      <c r="B34" s="31" t="s">
        <v>6970</v>
      </c>
      <c r="C34" s="31" t="s">
        <v>6971</v>
      </c>
      <c r="D34" s="31" t="s">
        <v>6972</v>
      </c>
      <c r="E34" s="31" t="s">
        <v>6973</v>
      </c>
      <c r="F34" s="31" t="s">
        <v>6974</v>
      </c>
      <c r="G34" s="31" t="s">
        <v>6975</v>
      </c>
      <c r="H34" s="31" t="s">
        <v>6976</v>
      </c>
    </row>
    <row r="35">
      <c r="A35" s="31" t="s">
        <v>6977</v>
      </c>
      <c r="B35" s="31" t="s">
        <v>6978</v>
      </c>
      <c r="C35" s="31" t="s">
        <v>6979</v>
      </c>
      <c r="D35" s="31" t="s">
        <v>6980</v>
      </c>
      <c r="E35" s="31" t="s">
        <v>6981</v>
      </c>
      <c r="F35" s="31" t="s">
        <v>6982</v>
      </c>
      <c r="G35" s="31" t="s">
        <v>6983</v>
      </c>
      <c r="H35" s="31" t="s">
        <v>6984</v>
      </c>
    </row>
    <row r="36">
      <c r="A36" s="31" t="s">
        <v>6985</v>
      </c>
      <c r="B36" s="31" t="s">
        <v>6986</v>
      </c>
      <c r="C36" s="31" t="s">
        <v>6987</v>
      </c>
      <c r="D36" s="31" t="s">
        <v>6988</v>
      </c>
      <c r="E36" s="31" t="s">
        <v>6989</v>
      </c>
      <c r="F36" s="31" t="s">
        <v>6990</v>
      </c>
      <c r="G36" s="31" t="s">
        <v>6991</v>
      </c>
      <c r="H36" s="31" t="s">
        <v>6992</v>
      </c>
    </row>
    <row r="37">
      <c r="A37" s="31" t="s">
        <v>6993</v>
      </c>
      <c r="B37" s="31" t="s">
        <v>6994</v>
      </c>
      <c r="C37" s="31" t="s">
        <v>6995</v>
      </c>
      <c r="D37" s="31" t="s">
        <v>6996</v>
      </c>
      <c r="E37" s="31" t="s">
        <v>6997</v>
      </c>
      <c r="F37" s="31" t="s">
        <v>6998</v>
      </c>
      <c r="G37" s="31" t="s">
        <v>6999</v>
      </c>
      <c r="H37" s="31" t="s">
        <v>7000</v>
      </c>
    </row>
    <row r="38">
      <c r="A38" s="31" t="s">
        <v>7001</v>
      </c>
      <c r="B38" s="31" t="s">
        <v>7002</v>
      </c>
      <c r="C38" s="31" t="s">
        <v>7003</v>
      </c>
      <c r="D38" s="31" t="s">
        <v>7004</v>
      </c>
      <c r="E38" s="31" t="s">
        <v>7005</v>
      </c>
      <c r="F38" s="31" t="s">
        <v>7006</v>
      </c>
      <c r="G38" s="31" t="s">
        <v>7007</v>
      </c>
      <c r="H38" s="31" t="s">
        <v>7008</v>
      </c>
    </row>
    <row r="39">
      <c r="A39" s="31" t="s">
        <v>7009</v>
      </c>
      <c r="B39" s="31" t="s">
        <v>7010</v>
      </c>
      <c r="C39" s="31" t="s">
        <v>7011</v>
      </c>
      <c r="D39" s="31" t="s">
        <v>7012</v>
      </c>
      <c r="E39" s="31" t="s">
        <v>7013</v>
      </c>
      <c r="F39" s="31" t="s">
        <v>7014</v>
      </c>
      <c r="G39" s="31" t="s">
        <v>7015</v>
      </c>
      <c r="H39" s="31" t="s">
        <v>7016</v>
      </c>
    </row>
    <row r="40">
      <c r="A40" s="31" t="s">
        <v>7017</v>
      </c>
      <c r="B40" s="31" t="s">
        <v>7018</v>
      </c>
      <c r="C40" s="31" t="s">
        <v>7019</v>
      </c>
      <c r="D40" s="31" t="s">
        <v>7020</v>
      </c>
      <c r="E40" s="31" t="s">
        <v>7021</v>
      </c>
      <c r="F40" s="31" t="s">
        <v>7022</v>
      </c>
      <c r="G40" s="31" t="s">
        <v>7023</v>
      </c>
      <c r="H40" s="31" t="s">
        <v>7024</v>
      </c>
    </row>
    <row r="41">
      <c r="A41" s="31" t="s">
        <v>7025</v>
      </c>
      <c r="B41" s="31" t="s">
        <v>7026</v>
      </c>
      <c r="C41" s="31" t="s">
        <v>7027</v>
      </c>
      <c r="D41" s="31" t="s">
        <v>7028</v>
      </c>
      <c r="E41" s="31" t="s">
        <v>7029</v>
      </c>
      <c r="F41" s="31" t="s">
        <v>7030</v>
      </c>
      <c r="G41" s="31" t="s">
        <v>7031</v>
      </c>
      <c r="H41" s="31" t="s">
        <v>7032</v>
      </c>
    </row>
    <row r="42">
      <c r="A42" s="31" t="s">
        <v>7033</v>
      </c>
      <c r="B42" s="31" t="s">
        <v>7034</v>
      </c>
      <c r="C42" s="31" t="s">
        <v>7035</v>
      </c>
      <c r="D42" s="31" t="s">
        <v>7036</v>
      </c>
      <c r="E42" s="31" t="s">
        <v>7037</v>
      </c>
      <c r="F42" s="31" t="s">
        <v>7038</v>
      </c>
      <c r="G42" s="31" t="s">
        <v>7039</v>
      </c>
      <c r="H42" s="31" t="s">
        <v>7040</v>
      </c>
    </row>
    <row r="43">
      <c r="A43" s="31" t="s">
        <v>7041</v>
      </c>
      <c r="B43" s="31" t="s">
        <v>7042</v>
      </c>
      <c r="C43" s="31" t="s">
        <v>7043</v>
      </c>
      <c r="D43" s="31" t="s">
        <v>7044</v>
      </c>
      <c r="E43" s="31" t="s">
        <v>7045</v>
      </c>
      <c r="F43" s="31" t="s">
        <v>7046</v>
      </c>
      <c r="G43" s="31" t="s">
        <v>7047</v>
      </c>
      <c r="H43" s="31" t="s">
        <v>7048</v>
      </c>
    </row>
    <row r="44">
      <c r="A44" s="31" t="s">
        <v>7049</v>
      </c>
      <c r="B44" s="31" t="s">
        <v>7050</v>
      </c>
      <c r="C44" s="31" t="s">
        <v>7051</v>
      </c>
      <c r="D44" s="31" t="s">
        <v>7052</v>
      </c>
      <c r="E44" s="31" t="s">
        <v>7053</v>
      </c>
      <c r="F44" s="31" t="s">
        <v>7054</v>
      </c>
      <c r="G44" s="31" t="s">
        <v>7055</v>
      </c>
      <c r="H44" s="31" t="s">
        <v>7056</v>
      </c>
    </row>
    <row r="45">
      <c r="A45" s="31" t="s">
        <v>7057</v>
      </c>
      <c r="B45" s="31" t="s">
        <v>7058</v>
      </c>
      <c r="C45" s="31" t="s">
        <v>7059</v>
      </c>
      <c r="D45" s="31" t="s">
        <v>7060</v>
      </c>
      <c r="E45" s="31" t="s">
        <v>7061</v>
      </c>
      <c r="F45" s="31" t="s">
        <v>7062</v>
      </c>
      <c r="G45" s="31" t="s">
        <v>7063</v>
      </c>
      <c r="H45" s="31" t="s">
        <v>7064</v>
      </c>
    </row>
    <row r="46">
      <c r="A46" s="31" t="s">
        <v>7065</v>
      </c>
      <c r="B46" s="31" t="s">
        <v>7066</v>
      </c>
      <c r="C46" s="31" t="s">
        <v>7067</v>
      </c>
      <c r="D46" s="31" t="s">
        <v>7068</v>
      </c>
      <c r="E46" s="31" t="s">
        <v>7069</v>
      </c>
      <c r="F46" s="31" t="s">
        <v>7070</v>
      </c>
      <c r="G46" s="31" t="s">
        <v>7071</v>
      </c>
      <c r="H46" s="31" t="s">
        <v>7072</v>
      </c>
    </row>
    <row r="47">
      <c r="A47" s="31" t="s">
        <v>7073</v>
      </c>
      <c r="B47" s="31" t="s">
        <v>7074</v>
      </c>
      <c r="C47" s="31" t="s">
        <v>7075</v>
      </c>
      <c r="D47" s="31" t="s">
        <v>7076</v>
      </c>
      <c r="E47" s="31" t="s">
        <v>7077</v>
      </c>
      <c r="F47" s="31" t="s">
        <v>7078</v>
      </c>
      <c r="G47" s="31" t="s">
        <v>7079</v>
      </c>
      <c r="H47" s="31" t="s">
        <v>7080</v>
      </c>
    </row>
    <row r="48">
      <c r="A48" s="31" t="s">
        <v>7081</v>
      </c>
      <c r="B48" s="31" t="s">
        <v>7082</v>
      </c>
      <c r="C48" s="31" t="s">
        <v>7083</v>
      </c>
      <c r="D48" s="31" t="s">
        <v>7084</v>
      </c>
      <c r="E48" s="31" t="s">
        <v>7085</v>
      </c>
      <c r="F48" s="31" t="s">
        <v>7086</v>
      </c>
      <c r="G48" s="31" t="s">
        <v>7087</v>
      </c>
      <c r="H48" s="31" t="s">
        <v>7088</v>
      </c>
    </row>
    <row r="49">
      <c r="A49" s="31" t="s">
        <v>7089</v>
      </c>
      <c r="B49" s="31" t="s">
        <v>7090</v>
      </c>
      <c r="C49" s="31" t="s">
        <v>7091</v>
      </c>
      <c r="D49" s="31" t="s">
        <v>7092</v>
      </c>
      <c r="E49" s="31" t="s">
        <v>7093</v>
      </c>
      <c r="F49" s="31" t="s">
        <v>7094</v>
      </c>
      <c r="G49" s="31" t="s">
        <v>7095</v>
      </c>
      <c r="H49" s="31" t="s">
        <v>7096</v>
      </c>
    </row>
    <row r="50">
      <c r="A50" s="31" t="s">
        <v>7097</v>
      </c>
      <c r="B50" s="31" t="s">
        <v>7098</v>
      </c>
      <c r="C50" s="31" t="s">
        <v>7099</v>
      </c>
      <c r="D50" s="31" t="s">
        <v>7100</v>
      </c>
      <c r="E50" s="31" t="s">
        <v>7101</v>
      </c>
      <c r="F50" s="31" t="s">
        <v>7102</v>
      </c>
      <c r="G50" s="31" t="s">
        <v>7103</v>
      </c>
      <c r="H50" s="31" t="s">
        <v>7104</v>
      </c>
    </row>
    <row r="52">
      <c r="A52" s="149" t="s">
        <v>4701</v>
      </c>
    </row>
    <row r="53">
      <c r="A53" s="379" t="s">
        <v>4319</v>
      </c>
      <c r="B53" s="379" t="s">
        <v>4702</v>
      </c>
      <c r="C53" s="256" t="s">
        <v>4703</v>
      </c>
      <c r="D53" s="379" t="s">
        <v>4320</v>
      </c>
      <c r="E53" s="379" t="s">
        <v>436</v>
      </c>
      <c r="F53" s="379" t="s">
        <v>4704</v>
      </c>
      <c r="G53" s="379" t="s">
        <v>135</v>
      </c>
      <c r="H53" s="379" t="s">
        <v>128</v>
      </c>
    </row>
    <row r="54">
      <c r="A54" s="4" t="s">
        <v>7105</v>
      </c>
      <c r="B54" s="4" t="s">
        <v>7106</v>
      </c>
      <c r="C54" s="4" t="s">
        <v>7107</v>
      </c>
      <c r="D54" s="4" t="s">
        <v>916</v>
      </c>
      <c r="E54" s="4" t="s">
        <v>5147</v>
      </c>
      <c r="F54" s="4" t="s">
        <v>7108</v>
      </c>
      <c r="G54" s="4" t="s">
        <v>7109</v>
      </c>
      <c r="H54" s="4" t="s">
        <v>7110</v>
      </c>
    </row>
    <row r="55">
      <c r="A55" s="4" t="s">
        <v>7111</v>
      </c>
      <c r="B55" s="4" t="s">
        <v>7106</v>
      </c>
      <c r="C55" s="4" t="s">
        <v>7112</v>
      </c>
      <c r="D55" s="4" t="s">
        <v>247</v>
      </c>
      <c r="E55" s="4" t="s">
        <v>7113</v>
      </c>
      <c r="F55" s="4" t="s">
        <v>7114</v>
      </c>
      <c r="G55" s="4" t="s">
        <v>7115</v>
      </c>
      <c r="H55" s="4" t="s">
        <v>7114</v>
      </c>
    </row>
    <row r="56">
      <c r="A56" s="4" t="s">
        <v>7116</v>
      </c>
      <c r="B56" s="4" t="s">
        <v>7117</v>
      </c>
      <c r="C56" s="4" t="s">
        <v>7118</v>
      </c>
      <c r="D56" s="4" t="s">
        <v>7119</v>
      </c>
      <c r="E56" s="4" t="s">
        <v>251</v>
      </c>
      <c r="F56" s="4" t="s">
        <v>7120</v>
      </c>
      <c r="G56" s="4" t="s">
        <v>7120</v>
      </c>
      <c r="H56" s="4" t="s">
        <v>7121</v>
      </c>
    </row>
    <row r="57">
      <c r="A57" s="4" t="s">
        <v>7122</v>
      </c>
      <c r="B57" s="4" t="s">
        <v>7117</v>
      </c>
      <c r="C57" s="4" t="s">
        <v>7123</v>
      </c>
      <c r="D57" s="4" t="s">
        <v>7124</v>
      </c>
      <c r="E57" s="4" t="s">
        <v>141</v>
      </c>
      <c r="F57" s="4" t="s">
        <v>7125</v>
      </c>
      <c r="G57" s="4" t="s">
        <v>7126</v>
      </c>
      <c r="H57" s="4" t="s">
        <v>7125</v>
      </c>
    </row>
    <row r="58">
      <c r="A58" s="4" t="s">
        <v>7127</v>
      </c>
      <c r="B58" s="4" t="s">
        <v>7128</v>
      </c>
      <c r="C58" s="4" t="s">
        <v>7129</v>
      </c>
      <c r="D58" s="4" t="s">
        <v>252</v>
      </c>
      <c r="E58" s="4" t="s">
        <v>7130</v>
      </c>
      <c r="F58" s="4" t="s">
        <v>7131</v>
      </c>
      <c r="G58" s="4" t="s">
        <v>7131</v>
      </c>
      <c r="H58" s="4" t="s">
        <v>7132</v>
      </c>
    </row>
    <row r="59">
      <c r="A59" s="4" t="s">
        <v>7133</v>
      </c>
      <c r="B59" s="4" t="s">
        <v>7128</v>
      </c>
      <c r="C59" s="4" t="s">
        <v>7107</v>
      </c>
      <c r="D59" s="4" t="s">
        <v>916</v>
      </c>
      <c r="E59" s="4" t="s">
        <v>7113</v>
      </c>
      <c r="F59" s="4" t="s">
        <v>7134</v>
      </c>
      <c r="G59" s="4" t="s">
        <v>7134</v>
      </c>
      <c r="H59" s="4" t="s">
        <v>7135</v>
      </c>
    </row>
    <row r="60">
      <c r="A60" s="4" t="s">
        <v>7136</v>
      </c>
      <c r="B60" s="4" t="s">
        <v>7137</v>
      </c>
      <c r="C60" s="4" t="s">
        <v>7112</v>
      </c>
      <c r="D60" s="4" t="s">
        <v>249</v>
      </c>
      <c r="E60" s="4" t="s">
        <v>251</v>
      </c>
      <c r="F60" s="4" t="s">
        <v>7138</v>
      </c>
      <c r="G60" s="4" t="s">
        <v>7139</v>
      </c>
      <c r="H60" s="4" t="s">
        <v>7138</v>
      </c>
    </row>
    <row r="61">
      <c r="A61" s="4" t="s">
        <v>7140</v>
      </c>
      <c r="B61" s="4" t="s">
        <v>7137</v>
      </c>
      <c r="C61" s="4" t="s">
        <v>7118</v>
      </c>
      <c r="D61" s="4" t="s">
        <v>253</v>
      </c>
      <c r="E61" s="4" t="s">
        <v>7141</v>
      </c>
      <c r="F61" s="4" t="s">
        <v>7142</v>
      </c>
      <c r="G61" s="4" t="s">
        <v>7142</v>
      </c>
      <c r="H61" s="4" t="s">
        <v>7143</v>
      </c>
    </row>
    <row r="62">
      <c r="A62" s="4" t="s">
        <v>7144</v>
      </c>
      <c r="B62" s="4" t="s">
        <v>7145</v>
      </c>
      <c r="C62" s="4" t="s">
        <v>7129</v>
      </c>
      <c r="D62" s="4" t="s">
        <v>252</v>
      </c>
      <c r="E62" s="4" t="s">
        <v>7146</v>
      </c>
      <c r="F62" s="4" t="s">
        <v>7147</v>
      </c>
      <c r="G62" s="4" t="s">
        <v>7147</v>
      </c>
      <c r="H62" s="4" t="s">
        <v>7110</v>
      </c>
    </row>
    <row r="63">
      <c r="A63" s="4" t="s">
        <v>7148</v>
      </c>
      <c r="B63" s="4" t="s">
        <v>7145</v>
      </c>
      <c r="C63" s="4" t="s">
        <v>4834</v>
      </c>
      <c r="D63" s="4" t="s">
        <v>247</v>
      </c>
      <c r="E63" s="4" t="s">
        <v>7149</v>
      </c>
      <c r="F63" s="4" t="s">
        <v>7150</v>
      </c>
      <c r="G63" s="4" t="s">
        <v>7151</v>
      </c>
      <c r="H63" s="4" t="s">
        <v>7150</v>
      </c>
    </row>
    <row r="64">
      <c r="A64" s="4" t="s">
        <v>7152</v>
      </c>
      <c r="B64" s="4" t="s">
        <v>7153</v>
      </c>
      <c r="C64" s="4" t="s">
        <v>7107</v>
      </c>
      <c r="D64" s="4" t="s">
        <v>916</v>
      </c>
      <c r="E64" s="4" t="s">
        <v>7154</v>
      </c>
      <c r="F64" s="4" t="s">
        <v>7155</v>
      </c>
      <c r="G64" s="4" t="s">
        <v>7156</v>
      </c>
      <c r="H64" s="4" t="s">
        <v>7155</v>
      </c>
    </row>
    <row r="65">
      <c r="A65" s="4" t="s">
        <v>7157</v>
      </c>
      <c r="B65" s="4" t="s">
        <v>7153</v>
      </c>
      <c r="C65" s="4" t="s">
        <v>7112</v>
      </c>
      <c r="D65" s="4" t="s">
        <v>253</v>
      </c>
      <c r="E65" s="4" t="s">
        <v>7158</v>
      </c>
      <c r="F65" s="4" t="s">
        <v>7159</v>
      </c>
      <c r="G65" s="4" t="s">
        <v>7160</v>
      </c>
      <c r="H65" s="4" t="s">
        <v>7159</v>
      </c>
    </row>
    <row r="66">
      <c r="A66" s="4" t="s">
        <v>7161</v>
      </c>
      <c r="B66" s="4" t="s">
        <v>7162</v>
      </c>
      <c r="C66" s="4" t="s">
        <v>7112</v>
      </c>
      <c r="D66" s="4" t="s">
        <v>7124</v>
      </c>
      <c r="E66" s="4" t="s">
        <v>7158</v>
      </c>
      <c r="F66" s="4" t="s">
        <v>7163</v>
      </c>
      <c r="G66" s="4" t="s">
        <v>7164</v>
      </c>
      <c r="H66" s="4" t="s">
        <v>7163</v>
      </c>
    </row>
    <row r="67">
      <c r="A67" s="4" t="s">
        <v>7165</v>
      </c>
      <c r="B67" s="4" t="s">
        <v>7162</v>
      </c>
      <c r="C67" s="4" t="s">
        <v>7166</v>
      </c>
      <c r="D67" s="4" t="s">
        <v>7119</v>
      </c>
      <c r="E67" s="4" t="s">
        <v>1500</v>
      </c>
      <c r="F67" s="4" t="s">
        <v>7167</v>
      </c>
      <c r="G67" s="4" t="s">
        <v>7167</v>
      </c>
      <c r="H67" s="4" t="s">
        <v>7167</v>
      </c>
    </row>
    <row r="68">
      <c r="A68" s="4" t="s">
        <v>7168</v>
      </c>
      <c r="B68" s="4" t="s">
        <v>7169</v>
      </c>
      <c r="C68" s="4" t="s">
        <v>4834</v>
      </c>
      <c r="D68" s="4" t="s">
        <v>253</v>
      </c>
      <c r="E68" s="4" t="s">
        <v>6765</v>
      </c>
      <c r="F68" s="4" t="s">
        <v>7170</v>
      </c>
      <c r="G68" s="4" t="s">
        <v>7171</v>
      </c>
      <c r="H68" s="4" t="s">
        <v>7172</v>
      </c>
    </row>
    <row r="69">
      <c r="A69" s="4" t="s">
        <v>7173</v>
      </c>
      <c r="B69" s="4" t="s">
        <v>7169</v>
      </c>
      <c r="C69" s="4" t="s">
        <v>7107</v>
      </c>
      <c r="D69" s="4" t="s">
        <v>249</v>
      </c>
      <c r="E69" s="4" t="s">
        <v>4889</v>
      </c>
      <c r="F69" s="4" t="s">
        <v>7174</v>
      </c>
      <c r="G69" s="4" t="s">
        <v>7175</v>
      </c>
      <c r="H69" s="4" t="s">
        <v>7174</v>
      </c>
    </row>
    <row r="70">
      <c r="A70" s="4" t="s">
        <v>7176</v>
      </c>
      <c r="B70" s="4" t="s">
        <v>7177</v>
      </c>
      <c r="C70" s="4" t="s">
        <v>7123</v>
      </c>
      <c r="D70" s="4" t="s">
        <v>252</v>
      </c>
      <c r="E70" s="4" t="s">
        <v>7178</v>
      </c>
      <c r="F70" s="4" t="s">
        <v>7131</v>
      </c>
      <c r="G70" s="4" t="s">
        <v>7131</v>
      </c>
      <c r="H70" s="4" t="s">
        <v>7110</v>
      </c>
    </row>
    <row r="71">
      <c r="A71" s="4" t="s">
        <v>7179</v>
      </c>
      <c r="B71" s="4" t="s">
        <v>7177</v>
      </c>
      <c r="C71" s="4" t="s">
        <v>7180</v>
      </c>
      <c r="D71" s="4" t="s">
        <v>253</v>
      </c>
      <c r="E71" s="4" t="s">
        <v>7181</v>
      </c>
      <c r="F71" s="4" t="s">
        <v>7182</v>
      </c>
      <c r="G71" s="4" t="s">
        <v>7183</v>
      </c>
      <c r="H71" s="4" t="s">
        <v>7170</v>
      </c>
    </row>
    <row r="72">
      <c r="A72" s="4" t="s">
        <v>7184</v>
      </c>
      <c r="B72" s="4" t="s">
        <v>7185</v>
      </c>
      <c r="C72" s="4" t="s">
        <v>7166</v>
      </c>
      <c r="D72" s="4" t="s">
        <v>249</v>
      </c>
      <c r="E72" s="4" t="s">
        <v>7130</v>
      </c>
      <c r="F72" s="4" t="s">
        <v>7138</v>
      </c>
      <c r="G72" s="4" t="s">
        <v>7186</v>
      </c>
      <c r="H72" s="4" t="s">
        <v>7187</v>
      </c>
    </row>
    <row r="73">
      <c r="A73" s="4" t="s">
        <v>7188</v>
      </c>
      <c r="B73" s="4" t="s">
        <v>7185</v>
      </c>
      <c r="C73" s="4" t="s">
        <v>4834</v>
      </c>
      <c r="D73" s="4" t="s">
        <v>916</v>
      </c>
      <c r="E73" s="4" t="s">
        <v>7189</v>
      </c>
      <c r="F73" s="4" t="s">
        <v>7190</v>
      </c>
      <c r="G73" s="4" t="s">
        <v>7191</v>
      </c>
      <c r="H73" s="4" t="s">
        <v>7192</v>
      </c>
    </row>
    <row r="74">
      <c r="A74" s="4" t="s">
        <v>7193</v>
      </c>
      <c r="B74" s="4" t="s">
        <v>7194</v>
      </c>
      <c r="C74" s="4" t="s">
        <v>7129</v>
      </c>
      <c r="D74" s="4" t="s">
        <v>253</v>
      </c>
      <c r="E74" s="4" t="s">
        <v>7149</v>
      </c>
      <c r="F74" s="4" t="s">
        <v>7143</v>
      </c>
      <c r="G74" s="4" t="s">
        <v>7195</v>
      </c>
      <c r="H74" s="4" t="s">
        <v>7143</v>
      </c>
    </row>
    <row r="75">
      <c r="A75" s="4" t="s">
        <v>7196</v>
      </c>
      <c r="B75" s="4" t="s">
        <v>7194</v>
      </c>
      <c r="C75" s="4" t="s">
        <v>7123</v>
      </c>
      <c r="D75" s="4" t="s">
        <v>249</v>
      </c>
      <c r="E75" s="4" t="s">
        <v>1500</v>
      </c>
      <c r="F75" s="4" t="s">
        <v>7197</v>
      </c>
      <c r="G75" s="4" t="s">
        <v>7198</v>
      </c>
      <c r="H75" s="4" t="s">
        <v>7174</v>
      </c>
    </row>
    <row r="76">
      <c r="A76" s="4" t="s">
        <v>7199</v>
      </c>
      <c r="B76" s="4" t="s">
        <v>7200</v>
      </c>
      <c r="C76" s="4" t="s">
        <v>7180</v>
      </c>
      <c r="D76" s="4" t="s">
        <v>916</v>
      </c>
      <c r="E76" s="4" t="s">
        <v>7201</v>
      </c>
      <c r="F76" s="4" t="s">
        <v>7134</v>
      </c>
      <c r="G76" s="4" t="s">
        <v>7134</v>
      </c>
      <c r="H76" s="4" t="s">
        <v>7202</v>
      </c>
    </row>
    <row r="77">
      <c r="A77" s="4" t="s">
        <v>7203</v>
      </c>
      <c r="B77" s="4" t="s">
        <v>7200</v>
      </c>
      <c r="C77" s="4" t="s">
        <v>7166</v>
      </c>
      <c r="D77" s="4" t="s">
        <v>247</v>
      </c>
      <c r="E77" s="4" t="s">
        <v>181</v>
      </c>
      <c r="F77" s="4" t="s">
        <v>7204</v>
      </c>
      <c r="G77" s="4" t="s">
        <v>7204</v>
      </c>
      <c r="H77" s="4" t="s">
        <v>7205</v>
      </c>
    </row>
    <row r="78">
      <c r="A78" s="4" t="s">
        <v>7206</v>
      </c>
      <c r="B78" s="4" t="s">
        <v>7207</v>
      </c>
      <c r="C78" s="4" t="s">
        <v>7112</v>
      </c>
      <c r="D78" s="4" t="s">
        <v>249</v>
      </c>
      <c r="E78" s="4" t="s">
        <v>6765</v>
      </c>
      <c r="F78" s="4" t="s">
        <v>7197</v>
      </c>
      <c r="G78" s="4" t="s">
        <v>7208</v>
      </c>
      <c r="H78" s="4" t="s">
        <v>7208</v>
      </c>
    </row>
    <row r="79">
      <c r="A79" s="4" t="s">
        <v>7209</v>
      </c>
      <c r="B79" s="4" t="s">
        <v>7207</v>
      </c>
      <c r="C79" s="4" t="s">
        <v>7118</v>
      </c>
      <c r="D79" s="4" t="s">
        <v>916</v>
      </c>
      <c r="E79" s="4" t="s">
        <v>268</v>
      </c>
      <c r="F79" s="4" t="s">
        <v>7210</v>
      </c>
      <c r="G79" s="4" t="s">
        <v>7211</v>
      </c>
      <c r="H79" s="4" t="s">
        <v>7210</v>
      </c>
    </row>
    <row r="80">
      <c r="A80" s="4" t="s">
        <v>7212</v>
      </c>
      <c r="B80" s="4" t="s">
        <v>7213</v>
      </c>
      <c r="C80" s="4" t="s">
        <v>7123</v>
      </c>
      <c r="D80" s="4" t="s">
        <v>246</v>
      </c>
      <c r="E80" s="4" t="s">
        <v>181</v>
      </c>
      <c r="F80" s="4" t="s">
        <v>7214</v>
      </c>
      <c r="G80" s="4" t="s">
        <v>7215</v>
      </c>
      <c r="H80" s="4" t="s">
        <v>7172</v>
      </c>
    </row>
    <row r="81">
      <c r="A81" s="4" t="s">
        <v>7216</v>
      </c>
      <c r="B81" s="4" t="s">
        <v>7213</v>
      </c>
      <c r="C81" s="4" t="s">
        <v>7180</v>
      </c>
      <c r="D81" s="4" t="s">
        <v>7124</v>
      </c>
      <c r="E81" s="4" t="s">
        <v>7217</v>
      </c>
      <c r="F81" s="4" t="s">
        <v>7218</v>
      </c>
      <c r="G81" s="4" t="s">
        <v>7219</v>
      </c>
      <c r="H81" s="4" t="s">
        <v>7218</v>
      </c>
    </row>
    <row r="82">
      <c r="A82" s="4" t="s">
        <v>7220</v>
      </c>
      <c r="B82" s="4" t="s">
        <v>7221</v>
      </c>
      <c r="C82" s="4" t="s">
        <v>7107</v>
      </c>
      <c r="D82" s="4" t="s">
        <v>252</v>
      </c>
      <c r="E82" s="4" t="s">
        <v>1500</v>
      </c>
      <c r="F82" s="4" t="s">
        <v>7147</v>
      </c>
      <c r="G82" s="4" t="s">
        <v>7222</v>
      </c>
      <c r="H82" s="4" t="s">
        <v>7210</v>
      </c>
    </row>
    <row r="83">
      <c r="A83" s="4" t="s">
        <v>7223</v>
      </c>
      <c r="B83" s="4" t="s">
        <v>7221</v>
      </c>
      <c r="C83" s="4" t="s">
        <v>7118</v>
      </c>
      <c r="D83" s="4" t="s">
        <v>249</v>
      </c>
      <c r="E83" s="4" t="s">
        <v>7178</v>
      </c>
      <c r="F83" s="4" t="s">
        <v>7174</v>
      </c>
      <c r="G83" s="4" t="s">
        <v>7211</v>
      </c>
      <c r="H83" s="4" t="s">
        <v>7174</v>
      </c>
    </row>
    <row r="84">
      <c r="A84" s="4" t="s">
        <v>7224</v>
      </c>
      <c r="B84" s="4" t="s">
        <v>7225</v>
      </c>
      <c r="C84" s="4" t="s">
        <v>4834</v>
      </c>
      <c r="D84" s="4" t="s">
        <v>249</v>
      </c>
      <c r="E84" s="4" t="s">
        <v>1500</v>
      </c>
      <c r="F84" s="4" t="s">
        <v>7226</v>
      </c>
      <c r="G84" s="4" t="s">
        <v>7227</v>
      </c>
      <c r="H84" s="4" t="s">
        <v>7226</v>
      </c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142" t="s">
        <v>7228</v>
      </c>
      <c r="F88" s="8"/>
      <c r="G88" s="8"/>
      <c r="H88" s="8"/>
    </row>
    <row r="89">
      <c r="A89" s="251" t="s">
        <v>111</v>
      </c>
      <c r="B89" s="251" t="s">
        <v>112</v>
      </c>
      <c r="C89" s="251" t="s">
        <v>113</v>
      </c>
      <c r="D89" s="251" t="s">
        <v>114</v>
      </c>
      <c r="E89" s="251" t="s">
        <v>4406</v>
      </c>
      <c r="F89" s="8"/>
      <c r="G89" s="8"/>
      <c r="H89" s="8"/>
    </row>
    <row r="90">
      <c r="A90" s="4" t="s">
        <v>117</v>
      </c>
      <c r="B90" s="4" t="s">
        <v>245</v>
      </c>
      <c r="C90" s="4" t="s">
        <v>246</v>
      </c>
      <c r="D90" s="4" t="s">
        <v>17</v>
      </c>
      <c r="E90" s="4">
        <v>50000.0</v>
      </c>
      <c r="F90" s="8"/>
      <c r="G90" s="8"/>
      <c r="H90" s="8"/>
    </row>
    <row r="91">
      <c r="A91" s="4" t="s">
        <v>124</v>
      </c>
      <c r="B91" s="4" t="s">
        <v>141</v>
      </c>
      <c r="C91" s="4" t="s">
        <v>247</v>
      </c>
      <c r="D91" s="4" t="s">
        <v>7</v>
      </c>
      <c r="E91" s="4">
        <v>50000.0</v>
      </c>
      <c r="F91" s="8"/>
      <c r="G91" s="8"/>
      <c r="H91" s="8"/>
    </row>
    <row r="92">
      <c r="A92" s="4" t="s">
        <v>128</v>
      </c>
      <c r="B92" s="4" t="s">
        <v>248</v>
      </c>
      <c r="C92" s="4" t="s">
        <v>249</v>
      </c>
      <c r="D92" s="4" t="s">
        <v>17</v>
      </c>
      <c r="E92" s="4">
        <v>100000.0</v>
      </c>
      <c r="F92" s="8"/>
      <c r="G92" s="8"/>
      <c r="H92" s="8"/>
    </row>
    <row r="93">
      <c r="A93" s="4" t="s">
        <v>135</v>
      </c>
      <c r="B93" s="4" t="s">
        <v>251</v>
      </c>
      <c r="C93" s="4" t="s">
        <v>252</v>
      </c>
      <c r="D93" s="4" t="s">
        <v>17</v>
      </c>
      <c r="E93" s="4">
        <v>100000.0</v>
      </c>
      <c r="F93" s="8"/>
      <c r="G93" s="8"/>
      <c r="H93" s="8"/>
    </row>
    <row r="94">
      <c r="A94" s="4" t="s">
        <v>140</v>
      </c>
      <c r="B94" s="4" t="s">
        <v>204</v>
      </c>
      <c r="C94" s="4" t="s">
        <v>253</v>
      </c>
      <c r="D94" s="4" t="s">
        <v>4</v>
      </c>
      <c r="E94" s="4">
        <v>180000.0</v>
      </c>
      <c r="F94" s="8"/>
      <c r="G94" s="8"/>
      <c r="H94" s="8"/>
    </row>
    <row r="95">
      <c r="A95" s="4" t="s">
        <v>167</v>
      </c>
      <c r="B95" s="4" t="s">
        <v>247</v>
      </c>
      <c r="E95" s="4">
        <v>225000.0</v>
      </c>
      <c r="F95" s="8"/>
      <c r="G95" s="8"/>
      <c r="H95" s="8"/>
    </row>
    <row r="96">
      <c r="A96" s="4" t="s">
        <v>170</v>
      </c>
      <c r="B96" s="4" t="s">
        <v>252</v>
      </c>
      <c r="E96" s="4">
        <v>400000.0</v>
      </c>
      <c r="F96" s="8"/>
      <c r="G96" s="8"/>
      <c r="H96" s="8"/>
    </row>
    <row r="97">
      <c r="A97" s="4" t="s">
        <v>148</v>
      </c>
      <c r="B97" s="4" t="s">
        <v>249</v>
      </c>
      <c r="E97" s="4">
        <v>800000.0</v>
      </c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  <row r="109">
      <c r="A109" s="8"/>
      <c r="B109" s="8"/>
      <c r="C109" s="8"/>
      <c r="D109" s="8"/>
      <c r="E109" s="8"/>
      <c r="F109" s="8"/>
      <c r="G109" s="8"/>
      <c r="H109" s="8"/>
    </row>
  </sheetData>
  <mergeCells count="6">
    <mergeCell ref="A31:H31"/>
    <mergeCell ref="A52:H52"/>
    <mergeCell ref="A88:E88"/>
    <mergeCell ref="B95:D95"/>
    <mergeCell ref="B96:D96"/>
    <mergeCell ref="B97:D97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23.0"/>
    <col customWidth="1" min="3" max="3" width="25.5"/>
    <col customWidth="1" min="4" max="4" width="24.63"/>
    <col customWidth="1" min="5" max="5" width="24.13"/>
    <col customWidth="1" min="6" max="6" width="26.63"/>
    <col customWidth="1" min="7" max="7" width="25.13"/>
    <col customWidth="1" min="8" max="8" width="24.13"/>
    <col customWidth="1" min="9" max="9" width="21.88"/>
    <col customWidth="1" min="10" max="10" width="21.38"/>
    <col customWidth="1" min="11" max="11" width="22.13"/>
    <col customWidth="1" min="12" max="12" width="19.13"/>
  </cols>
  <sheetData>
    <row r="1">
      <c r="A1" s="410" t="s">
        <v>7229</v>
      </c>
    </row>
    <row r="2">
      <c r="A2" s="394" t="s">
        <v>17</v>
      </c>
      <c r="B2" s="394" t="s">
        <v>8</v>
      </c>
      <c r="C2" s="394" t="s">
        <v>12</v>
      </c>
      <c r="D2" s="394" t="s">
        <v>6</v>
      </c>
      <c r="E2" s="394" t="s">
        <v>14</v>
      </c>
      <c r="F2" s="394" t="s">
        <v>7</v>
      </c>
      <c r="G2" s="394" t="s">
        <v>4</v>
      </c>
      <c r="H2" s="394" t="s">
        <v>11</v>
      </c>
      <c r="I2" s="394" t="s">
        <v>5</v>
      </c>
      <c r="J2" s="394" t="s">
        <v>15</v>
      </c>
      <c r="K2" s="394" t="s">
        <v>10</v>
      </c>
      <c r="L2" s="394" t="s">
        <v>7230</v>
      </c>
    </row>
    <row r="3">
      <c r="A3" s="31" t="s">
        <v>7231</v>
      </c>
      <c r="B3" s="31" t="s">
        <v>2001</v>
      </c>
      <c r="C3" s="31" t="s">
        <v>3124</v>
      </c>
      <c r="D3" s="31" t="s">
        <v>1597</v>
      </c>
      <c r="E3" s="31" t="s">
        <v>7232</v>
      </c>
      <c r="F3" s="31" t="s">
        <v>1643</v>
      </c>
      <c r="G3" s="31" t="s">
        <v>7233</v>
      </c>
      <c r="H3" s="413" t="s">
        <v>7234</v>
      </c>
      <c r="I3" s="31" t="s">
        <v>980</v>
      </c>
      <c r="J3" s="31" t="s">
        <v>7235</v>
      </c>
      <c r="K3" s="31" t="s">
        <v>7236</v>
      </c>
      <c r="L3" s="31" t="s">
        <v>3318</v>
      </c>
    </row>
    <row r="4">
      <c r="A4" s="31" t="s">
        <v>4244</v>
      </c>
      <c r="B4" s="31" t="s">
        <v>6841</v>
      </c>
      <c r="C4" s="31" t="s">
        <v>7237</v>
      </c>
      <c r="D4" s="31" t="s">
        <v>1585</v>
      </c>
      <c r="E4" s="31" t="s">
        <v>1179</v>
      </c>
      <c r="F4" s="31" t="s">
        <v>1682</v>
      </c>
      <c r="G4" s="31" t="s">
        <v>893</v>
      </c>
      <c r="H4" s="413" t="s">
        <v>6843</v>
      </c>
      <c r="I4" s="31" t="s">
        <v>6320</v>
      </c>
      <c r="J4" s="31" t="s">
        <v>7238</v>
      </c>
      <c r="K4" s="31" t="s">
        <v>7239</v>
      </c>
      <c r="L4" s="31" t="s">
        <v>2371</v>
      </c>
    </row>
    <row r="5">
      <c r="A5" s="31" t="s">
        <v>5550</v>
      </c>
      <c r="B5" s="31" t="s">
        <v>6846</v>
      </c>
      <c r="C5" s="31" t="s">
        <v>7240</v>
      </c>
      <c r="D5" s="31" t="s">
        <v>7241</v>
      </c>
      <c r="E5" s="31" t="s">
        <v>7242</v>
      </c>
      <c r="F5" s="31" t="s">
        <v>1761</v>
      </c>
      <c r="G5" s="31" t="s">
        <v>1106</v>
      </c>
      <c r="H5" s="413" t="s">
        <v>7243</v>
      </c>
      <c r="I5" s="31" t="s">
        <v>7244</v>
      </c>
      <c r="J5" s="31" t="s">
        <v>3612</v>
      </c>
      <c r="K5" s="31" t="s">
        <v>2495</v>
      </c>
      <c r="L5" s="31" t="s">
        <v>3150</v>
      </c>
    </row>
    <row r="6">
      <c r="A6" s="31" t="s">
        <v>7245</v>
      </c>
      <c r="B6" s="31" t="s">
        <v>2087</v>
      </c>
      <c r="C6" s="31" t="s">
        <v>5205</v>
      </c>
      <c r="D6" s="31" t="s">
        <v>7246</v>
      </c>
      <c r="E6" s="31" t="s">
        <v>6852</v>
      </c>
      <c r="F6" s="31" t="s">
        <v>7247</v>
      </c>
      <c r="G6" s="31" t="s">
        <v>5925</v>
      </c>
      <c r="H6" s="413" t="s">
        <v>2688</v>
      </c>
      <c r="I6" s="31" t="s">
        <v>7248</v>
      </c>
      <c r="K6" s="31" t="s">
        <v>7249</v>
      </c>
      <c r="L6" s="31" t="s">
        <v>7250</v>
      </c>
    </row>
    <row r="7">
      <c r="A7" s="31" t="s">
        <v>7251</v>
      </c>
      <c r="B7" s="31" t="s">
        <v>6342</v>
      </c>
      <c r="C7" s="31" t="s">
        <v>4970</v>
      </c>
      <c r="D7" s="31" t="s">
        <v>7252</v>
      </c>
      <c r="E7" s="31" t="s">
        <v>6859</v>
      </c>
      <c r="F7" s="31" t="s">
        <v>7253</v>
      </c>
      <c r="G7" s="31" t="s">
        <v>7254</v>
      </c>
      <c r="H7" s="413" t="s">
        <v>5938</v>
      </c>
      <c r="I7" s="31" t="s">
        <v>7255</v>
      </c>
      <c r="K7" s="31" t="s">
        <v>7256</v>
      </c>
      <c r="L7" s="31" t="s">
        <v>7257</v>
      </c>
    </row>
    <row r="8">
      <c r="A8" s="31" t="s">
        <v>7258</v>
      </c>
      <c r="B8" s="31" t="s">
        <v>6351</v>
      </c>
      <c r="C8" s="31" t="s">
        <v>2973</v>
      </c>
      <c r="D8" s="31" t="s">
        <v>6355</v>
      </c>
      <c r="E8" s="31" t="s">
        <v>7259</v>
      </c>
      <c r="F8" s="31" t="s">
        <v>7260</v>
      </c>
      <c r="G8" s="31" t="s">
        <v>6866</v>
      </c>
      <c r="H8" s="413" t="s">
        <v>2705</v>
      </c>
      <c r="I8" s="31" t="s">
        <v>7261</v>
      </c>
      <c r="K8" s="31" t="s">
        <v>5946</v>
      </c>
      <c r="L8" s="31" t="s">
        <v>7262</v>
      </c>
    </row>
    <row r="9">
      <c r="A9" s="31" t="s">
        <v>7263</v>
      </c>
      <c r="B9" s="31" t="s">
        <v>6361</v>
      </c>
      <c r="C9" s="31" t="s">
        <v>7264</v>
      </c>
      <c r="D9" s="31" t="s">
        <v>1468</v>
      </c>
      <c r="E9" s="31" t="s">
        <v>7265</v>
      </c>
      <c r="F9" s="31" t="s">
        <v>7266</v>
      </c>
      <c r="G9" s="31" t="s">
        <v>7267</v>
      </c>
      <c r="H9" s="413" t="s">
        <v>7268</v>
      </c>
      <c r="I9" s="31" t="s">
        <v>7269</v>
      </c>
      <c r="K9" s="31" t="s">
        <v>7270</v>
      </c>
      <c r="L9" s="31" t="s">
        <v>3186</v>
      </c>
    </row>
    <row r="10">
      <c r="A10" s="31" t="s">
        <v>7271</v>
      </c>
      <c r="B10" s="31" t="s">
        <v>6372</v>
      </c>
      <c r="C10" s="31" t="s">
        <v>7272</v>
      </c>
      <c r="D10" s="31" t="s">
        <v>7273</v>
      </c>
      <c r="E10" s="31" t="s">
        <v>7274</v>
      </c>
      <c r="F10" s="31" t="s">
        <v>7275</v>
      </c>
      <c r="G10" s="31" t="s">
        <v>7276</v>
      </c>
      <c r="H10" s="413" t="s">
        <v>5963</v>
      </c>
      <c r="I10" s="31" t="s">
        <v>6371</v>
      </c>
      <c r="K10" s="31" t="s">
        <v>7277</v>
      </c>
      <c r="L10" s="31" t="s">
        <v>7278</v>
      </c>
    </row>
    <row r="11">
      <c r="A11" s="31" t="s">
        <v>7279</v>
      </c>
      <c r="B11" s="31" t="s">
        <v>6885</v>
      </c>
      <c r="C11" s="31" t="s">
        <v>7280</v>
      </c>
      <c r="D11" s="31" t="s">
        <v>7281</v>
      </c>
      <c r="E11" s="31" t="s">
        <v>7282</v>
      </c>
      <c r="F11" s="31" t="s">
        <v>7283</v>
      </c>
      <c r="G11" s="31" t="s">
        <v>4501</v>
      </c>
      <c r="H11" s="413" t="s">
        <v>5970</v>
      </c>
      <c r="I11" s="31" t="s">
        <v>7284</v>
      </c>
      <c r="K11" s="31" t="s">
        <v>7285</v>
      </c>
      <c r="L11" s="31" t="s">
        <v>7286</v>
      </c>
    </row>
    <row r="12">
      <c r="A12" s="31" t="s">
        <v>7287</v>
      </c>
      <c r="B12" s="31" t="s">
        <v>6894</v>
      </c>
      <c r="C12" s="31" t="s">
        <v>7288</v>
      </c>
      <c r="D12" s="31" t="s">
        <v>7289</v>
      </c>
      <c r="E12" s="31" t="s">
        <v>7290</v>
      </c>
      <c r="F12" s="31" t="s">
        <v>7291</v>
      </c>
      <c r="H12" s="413" t="s">
        <v>7292</v>
      </c>
      <c r="I12" s="31" t="s">
        <v>6396</v>
      </c>
      <c r="K12" s="31" t="s">
        <v>7293</v>
      </c>
      <c r="L12" s="31" t="s">
        <v>7294</v>
      </c>
    </row>
    <row r="13">
      <c r="A13" s="31" t="s">
        <v>7295</v>
      </c>
      <c r="B13" s="31" t="s">
        <v>6901</v>
      </c>
      <c r="C13" s="31" t="s">
        <v>4512</v>
      </c>
      <c r="D13" s="31" t="s">
        <v>4007</v>
      </c>
      <c r="E13" s="31" t="s">
        <v>7296</v>
      </c>
      <c r="F13" s="31" t="s">
        <v>6902</v>
      </c>
      <c r="H13" s="413" t="s">
        <v>5988</v>
      </c>
      <c r="I13" s="31" t="s">
        <v>6406</v>
      </c>
      <c r="K13" s="31" t="s">
        <v>7297</v>
      </c>
      <c r="L13" s="31" t="s">
        <v>6907</v>
      </c>
    </row>
    <row r="14">
      <c r="A14" s="31" t="s">
        <v>7298</v>
      </c>
      <c r="B14" s="31" t="s">
        <v>6909</v>
      </c>
      <c r="C14" s="31" t="s">
        <v>7299</v>
      </c>
      <c r="D14" s="31" t="s">
        <v>7300</v>
      </c>
      <c r="E14" s="31" t="s">
        <v>7301</v>
      </c>
      <c r="F14" s="31" t="s">
        <v>7302</v>
      </c>
      <c r="H14" s="411" t="s">
        <v>7303</v>
      </c>
      <c r="I14" s="31" t="s">
        <v>7304</v>
      </c>
      <c r="L14" s="31" t="s">
        <v>7305</v>
      </c>
    </row>
    <row r="15">
      <c r="A15" s="31" t="s">
        <v>7306</v>
      </c>
      <c r="B15" s="31" t="s">
        <v>6916</v>
      </c>
      <c r="C15" s="31" t="s">
        <v>7307</v>
      </c>
      <c r="D15" s="31" t="s">
        <v>7308</v>
      </c>
      <c r="E15" s="31" t="s">
        <v>6918</v>
      </c>
      <c r="F15" s="31" t="s">
        <v>7309</v>
      </c>
      <c r="H15" s="413" t="s">
        <v>7310</v>
      </c>
      <c r="I15" s="31" t="s">
        <v>7311</v>
      </c>
      <c r="L15" s="45" t="s">
        <v>7312</v>
      </c>
    </row>
    <row r="16">
      <c r="A16" s="31" t="s">
        <v>7313</v>
      </c>
      <c r="B16" s="31" t="s">
        <v>6923</v>
      </c>
      <c r="D16" s="31" t="s">
        <v>7314</v>
      </c>
      <c r="H16" s="413" t="s">
        <v>7315</v>
      </c>
      <c r="I16" s="31" t="s">
        <v>6439</v>
      </c>
      <c r="L16" s="45" t="s">
        <v>7316</v>
      </c>
    </row>
    <row r="17">
      <c r="A17" s="31" t="s">
        <v>7317</v>
      </c>
      <c r="B17" s="31" t="s">
        <v>6929</v>
      </c>
      <c r="D17" s="31" t="s">
        <v>7318</v>
      </c>
      <c r="H17" s="413" t="s">
        <v>7319</v>
      </c>
      <c r="I17" s="31" t="s">
        <v>6446</v>
      </c>
      <c r="L17" s="45" t="s">
        <v>7320</v>
      </c>
    </row>
    <row r="18">
      <c r="A18" s="31" t="s">
        <v>7321</v>
      </c>
      <c r="B18" s="31" t="s">
        <v>6935</v>
      </c>
      <c r="H18" s="413" t="s">
        <v>6015</v>
      </c>
      <c r="I18" s="31" t="s">
        <v>7322</v>
      </c>
      <c r="L18" s="45" t="s">
        <v>7323</v>
      </c>
    </row>
    <row r="19">
      <c r="A19" s="31" t="s">
        <v>7324</v>
      </c>
      <c r="B19" s="31" t="s">
        <v>6939</v>
      </c>
      <c r="I19" s="31" t="s">
        <v>7325</v>
      </c>
      <c r="L19" s="45" t="s">
        <v>7326</v>
      </c>
    </row>
    <row r="20">
      <c r="A20" s="31" t="s">
        <v>7327</v>
      </c>
      <c r="B20" s="31" t="s">
        <v>6941</v>
      </c>
      <c r="I20" s="31" t="s">
        <v>7328</v>
      </c>
      <c r="L20" s="31" t="s">
        <v>7329</v>
      </c>
    </row>
    <row r="21">
      <c r="A21" s="31" t="s">
        <v>7330</v>
      </c>
      <c r="B21" s="31" t="s">
        <v>6943</v>
      </c>
      <c r="L21" s="31" t="s">
        <v>7331</v>
      </c>
    </row>
    <row r="22">
      <c r="A22" s="31" t="s">
        <v>7332</v>
      </c>
      <c r="B22" s="31" t="s">
        <v>7333</v>
      </c>
      <c r="L22" s="31" t="s">
        <v>7334</v>
      </c>
    </row>
    <row r="23">
      <c r="A23" s="31" t="s">
        <v>7335</v>
      </c>
      <c r="L23" s="31" t="s">
        <v>7336</v>
      </c>
    </row>
    <row r="24">
      <c r="A24" s="31" t="s">
        <v>7337</v>
      </c>
      <c r="L24" s="31" t="s">
        <v>7338</v>
      </c>
    </row>
    <row r="25">
      <c r="A25" s="31" t="s">
        <v>7339</v>
      </c>
      <c r="L25" s="31" t="s">
        <v>7340</v>
      </c>
    </row>
    <row r="26">
      <c r="A26" s="31" t="s">
        <v>7341</v>
      </c>
      <c r="L26" s="31" t="s">
        <v>7342</v>
      </c>
    </row>
    <row r="27">
      <c r="A27" s="31" t="s">
        <v>7343</v>
      </c>
    </row>
    <row r="28">
      <c r="A28" s="31" t="s">
        <v>7344</v>
      </c>
    </row>
    <row r="29">
      <c r="A29" s="31" t="s">
        <v>7345</v>
      </c>
    </row>
    <row r="30">
      <c r="A30" s="31" t="s">
        <v>7346</v>
      </c>
    </row>
    <row r="31">
      <c r="A31" s="31" t="s">
        <v>7347</v>
      </c>
    </row>
    <row r="32">
      <c r="A32" s="31" t="s">
        <v>4086</v>
      </c>
    </row>
    <row r="33">
      <c r="A33" s="31" t="s">
        <v>7348</v>
      </c>
    </row>
    <row r="34">
      <c r="A34" s="31" t="s">
        <v>7349</v>
      </c>
    </row>
    <row r="35">
      <c r="A35" s="31" t="s">
        <v>7350</v>
      </c>
    </row>
    <row r="36">
      <c r="A36" s="31" t="s">
        <v>7351</v>
      </c>
    </row>
    <row r="37">
      <c r="A37" s="31" t="s">
        <v>7352</v>
      </c>
    </row>
    <row r="38">
      <c r="A38" s="31" t="s">
        <v>7353</v>
      </c>
    </row>
    <row r="39">
      <c r="A39" s="31" t="s">
        <v>7354</v>
      </c>
    </row>
    <row r="42">
      <c r="A42" s="46" t="s">
        <v>7355</v>
      </c>
    </row>
    <row r="43">
      <c r="A43" s="50" t="s">
        <v>929</v>
      </c>
      <c r="B43" s="50" t="s">
        <v>930</v>
      </c>
      <c r="C43" s="50" t="s">
        <v>931</v>
      </c>
      <c r="D43" s="50" t="s">
        <v>932</v>
      </c>
      <c r="E43" s="50" t="s">
        <v>933</v>
      </c>
      <c r="F43" s="50" t="s">
        <v>934</v>
      </c>
      <c r="G43" s="50" t="s">
        <v>935</v>
      </c>
      <c r="H43" s="50" t="s">
        <v>936</v>
      </c>
      <c r="I43" s="50" t="s">
        <v>937</v>
      </c>
      <c r="J43" s="50" t="s">
        <v>938</v>
      </c>
    </row>
    <row r="44">
      <c r="A44" s="31" t="s">
        <v>7356</v>
      </c>
      <c r="B44" s="31" t="s">
        <v>7357</v>
      </c>
      <c r="C44" s="31" t="s">
        <v>7358</v>
      </c>
      <c r="D44" s="31" t="s">
        <v>7359</v>
      </c>
      <c r="E44" s="31" t="s">
        <v>7360</v>
      </c>
      <c r="F44" s="31" t="s">
        <v>7361</v>
      </c>
      <c r="G44" s="31" t="s">
        <v>7362</v>
      </c>
      <c r="H44" s="31" t="s">
        <v>7363</v>
      </c>
      <c r="I44" s="31" t="s">
        <v>7364</v>
      </c>
      <c r="J44" s="31" t="s">
        <v>7365</v>
      </c>
    </row>
    <row r="45">
      <c r="A45" s="31" t="s">
        <v>7366</v>
      </c>
      <c r="B45" s="31" t="s">
        <v>7367</v>
      </c>
      <c r="C45" s="31" t="s">
        <v>7368</v>
      </c>
      <c r="D45" s="31" t="s">
        <v>7369</v>
      </c>
      <c r="E45" s="31" t="s">
        <v>7370</v>
      </c>
      <c r="F45" s="31" t="s">
        <v>7371</v>
      </c>
      <c r="G45" s="31" t="s">
        <v>7372</v>
      </c>
      <c r="H45" s="31" t="s">
        <v>7373</v>
      </c>
      <c r="I45" s="31" t="s">
        <v>7374</v>
      </c>
      <c r="J45" s="31" t="s">
        <v>7375</v>
      </c>
    </row>
    <row r="46">
      <c r="A46" s="31" t="s">
        <v>7376</v>
      </c>
      <c r="B46" s="31" t="s">
        <v>7377</v>
      </c>
      <c r="C46" s="31" t="s">
        <v>7378</v>
      </c>
      <c r="D46" s="31" t="s">
        <v>7379</v>
      </c>
      <c r="E46" s="31" t="s">
        <v>7380</v>
      </c>
      <c r="F46" s="31" t="s">
        <v>7381</v>
      </c>
      <c r="G46" s="31" t="s">
        <v>7382</v>
      </c>
      <c r="H46" s="31" t="s">
        <v>7383</v>
      </c>
      <c r="I46" s="31" t="s">
        <v>7384</v>
      </c>
      <c r="J46" s="31" t="s">
        <v>7385</v>
      </c>
    </row>
    <row r="47">
      <c r="A47" s="31" t="s">
        <v>7386</v>
      </c>
      <c r="B47" s="31" t="s">
        <v>7387</v>
      </c>
      <c r="C47" s="31" t="s">
        <v>7388</v>
      </c>
      <c r="D47" s="31" t="s">
        <v>7389</v>
      </c>
      <c r="E47" s="31" t="s">
        <v>7390</v>
      </c>
      <c r="F47" s="31" t="s">
        <v>7391</v>
      </c>
      <c r="G47" s="31" t="s">
        <v>7392</v>
      </c>
      <c r="H47" s="31" t="s">
        <v>7393</v>
      </c>
      <c r="I47" s="31" t="s">
        <v>7394</v>
      </c>
      <c r="J47" s="31" t="s">
        <v>7395</v>
      </c>
    </row>
    <row r="48">
      <c r="A48" s="31" t="s">
        <v>7396</v>
      </c>
      <c r="B48" s="31" t="s">
        <v>7397</v>
      </c>
      <c r="C48" s="31" t="s">
        <v>7398</v>
      </c>
      <c r="D48" s="31" t="s">
        <v>7399</v>
      </c>
      <c r="E48" s="31" t="s">
        <v>7400</v>
      </c>
      <c r="F48" s="31" t="s">
        <v>7401</v>
      </c>
      <c r="G48" s="31" t="s">
        <v>7402</v>
      </c>
      <c r="H48" s="31" t="s">
        <v>7403</v>
      </c>
      <c r="I48" s="31" t="s">
        <v>7404</v>
      </c>
      <c r="J48" s="31" t="s">
        <v>7405</v>
      </c>
    </row>
    <row r="49">
      <c r="A49" s="31" t="s">
        <v>7406</v>
      </c>
      <c r="B49" s="31" t="s">
        <v>7407</v>
      </c>
      <c r="C49" s="31" t="s">
        <v>7408</v>
      </c>
      <c r="D49" s="31" t="s">
        <v>7409</v>
      </c>
      <c r="E49" s="31" t="s">
        <v>7410</v>
      </c>
      <c r="F49" s="31" t="s">
        <v>7411</v>
      </c>
      <c r="G49" s="31" t="s">
        <v>7412</v>
      </c>
      <c r="H49" s="31" t="s">
        <v>7413</v>
      </c>
      <c r="I49" s="31" t="s">
        <v>7414</v>
      </c>
      <c r="J49" s="31" t="s">
        <v>7415</v>
      </c>
    </row>
    <row r="50">
      <c r="A50" s="31" t="s">
        <v>7416</v>
      </c>
      <c r="B50" s="31" t="s">
        <v>7417</v>
      </c>
      <c r="C50" s="31" t="s">
        <v>7418</v>
      </c>
      <c r="D50" s="31" t="s">
        <v>7419</v>
      </c>
      <c r="E50" s="31" t="s">
        <v>7420</v>
      </c>
      <c r="F50" s="31" t="s">
        <v>7421</v>
      </c>
      <c r="G50" s="31" t="s">
        <v>7422</v>
      </c>
      <c r="H50" s="31" t="s">
        <v>7423</v>
      </c>
      <c r="I50" s="31" t="s">
        <v>7424</v>
      </c>
      <c r="J50" s="31" t="s">
        <v>7425</v>
      </c>
    </row>
    <row r="51">
      <c r="A51" s="31" t="s">
        <v>7426</v>
      </c>
      <c r="B51" s="31" t="s">
        <v>7427</v>
      </c>
      <c r="C51" s="31" t="s">
        <v>7428</v>
      </c>
      <c r="D51" s="31" t="s">
        <v>7429</v>
      </c>
      <c r="E51" s="31" t="s">
        <v>7430</v>
      </c>
      <c r="F51" s="31" t="s">
        <v>7431</v>
      </c>
      <c r="G51" s="31" t="s">
        <v>7432</v>
      </c>
      <c r="H51" s="31" t="s">
        <v>7433</v>
      </c>
      <c r="I51" s="31" t="s">
        <v>7434</v>
      </c>
      <c r="J51" s="31" t="s">
        <v>7435</v>
      </c>
    </row>
    <row r="52">
      <c r="A52" s="31" t="s">
        <v>7436</v>
      </c>
      <c r="B52" s="31" t="s">
        <v>7437</v>
      </c>
      <c r="C52" s="31" t="s">
        <v>7438</v>
      </c>
      <c r="D52" s="31" t="s">
        <v>7439</v>
      </c>
      <c r="E52" s="31" t="s">
        <v>7440</v>
      </c>
      <c r="F52" s="31" t="s">
        <v>7441</v>
      </c>
      <c r="G52" s="31" t="s">
        <v>7442</v>
      </c>
      <c r="H52" s="31" t="s">
        <v>7443</v>
      </c>
      <c r="I52" s="31" t="s">
        <v>7444</v>
      </c>
      <c r="J52" s="31" t="s">
        <v>7445</v>
      </c>
    </row>
    <row r="53">
      <c r="A53" s="31" t="s">
        <v>7446</v>
      </c>
      <c r="B53" s="31" t="s">
        <v>7447</v>
      </c>
      <c r="C53" s="31" t="s">
        <v>7448</v>
      </c>
      <c r="D53" s="31" t="s">
        <v>7449</v>
      </c>
      <c r="E53" s="31" t="s">
        <v>7450</v>
      </c>
      <c r="F53" s="31" t="s">
        <v>7451</v>
      </c>
      <c r="G53" s="31" t="s">
        <v>7452</v>
      </c>
      <c r="H53" s="31" t="s">
        <v>7453</v>
      </c>
      <c r="I53" s="31" t="s">
        <v>7454</v>
      </c>
      <c r="J53" s="31" t="s">
        <v>7455</v>
      </c>
    </row>
    <row r="54">
      <c r="A54" s="31" t="s">
        <v>7456</v>
      </c>
      <c r="B54" s="31" t="s">
        <v>7457</v>
      </c>
      <c r="C54" s="31" t="s">
        <v>7458</v>
      </c>
      <c r="D54" s="31" t="s">
        <v>7459</v>
      </c>
      <c r="E54" s="31" t="s">
        <v>7460</v>
      </c>
      <c r="F54" s="31" t="s">
        <v>7461</v>
      </c>
      <c r="G54" s="31" t="s">
        <v>7462</v>
      </c>
      <c r="H54" s="31" t="s">
        <v>7463</v>
      </c>
      <c r="I54" s="31" t="s">
        <v>7464</v>
      </c>
      <c r="J54" s="31" t="s">
        <v>7465</v>
      </c>
    </row>
    <row r="55">
      <c r="A55" s="31" t="s">
        <v>7466</v>
      </c>
      <c r="B55" s="31" t="s">
        <v>7467</v>
      </c>
      <c r="C55" s="31" t="s">
        <v>7468</v>
      </c>
      <c r="D55" s="31" t="s">
        <v>7469</v>
      </c>
      <c r="E55" s="31" t="s">
        <v>7470</v>
      </c>
      <c r="F55" s="31" t="s">
        <v>7471</v>
      </c>
      <c r="G55" s="31" t="s">
        <v>7472</v>
      </c>
      <c r="H55" s="31" t="s">
        <v>7473</v>
      </c>
      <c r="I55" s="31" t="s">
        <v>7474</v>
      </c>
      <c r="J55" s="31" t="s">
        <v>7475</v>
      </c>
    </row>
    <row r="56">
      <c r="A56" s="31" t="s">
        <v>7476</v>
      </c>
      <c r="B56" s="31" t="s">
        <v>7477</v>
      </c>
      <c r="C56" s="31" t="s">
        <v>7478</v>
      </c>
      <c r="D56" s="31" t="s">
        <v>7479</v>
      </c>
      <c r="E56" s="31" t="s">
        <v>7480</v>
      </c>
      <c r="F56" s="31" t="s">
        <v>7481</v>
      </c>
      <c r="G56" s="31" t="s">
        <v>7482</v>
      </c>
      <c r="H56" s="31" t="s">
        <v>7483</v>
      </c>
      <c r="I56" s="31" t="s">
        <v>7484</v>
      </c>
      <c r="J56" s="31" t="s">
        <v>7485</v>
      </c>
    </row>
    <row r="57">
      <c r="A57" s="31" t="s">
        <v>7486</v>
      </c>
      <c r="B57" s="31" t="s">
        <v>7487</v>
      </c>
      <c r="C57" s="31" t="s">
        <v>7488</v>
      </c>
      <c r="D57" s="31" t="s">
        <v>7489</v>
      </c>
      <c r="E57" s="31" t="s">
        <v>7490</v>
      </c>
      <c r="F57" s="31" t="s">
        <v>7491</v>
      </c>
      <c r="G57" s="31" t="s">
        <v>7492</v>
      </c>
      <c r="H57" s="31" t="s">
        <v>7493</v>
      </c>
      <c r="I57" s="31" t="s">
        <v>7494</v>
      </c>
      <c r="J57" s="31" t="s">
        <v>7495</v>
      </c>
    </row>
    <row r="58">
      <c r="A58" s="31" t="s">
        <v>7496</v>
      </c>
      <c r="B58" s="31" t="s">
        <v>7497</v>
      </c>
      <c r="C58" s="31" t="s">
        <v>7498</v>
      </c>
      <c r="D58" s="31" t="s">
        <v>7499</v>
      </c>
      <c r="E58" s="31" t="s">
        <v>7500</v>
      </c>
      <c r="F58" s="31" t="s">
        <v>7501</v>
      </c>
      <c r="G58" s="31" t="s">
        <v>7502</v>
      </c>
      <c r="H58" s="31" t="s">
        <v>7503</v>
      </c>
      <c r="I58" s="31" t="s">
        <v>7504</v>
      </c>
      <c r="J58" s="31" t="s">
        <v>7505</v>
      </c>
    </row>
    <row r="59">
      <c r="A59" s="31" t="s">
        <v>7506</v>
      </c>
      <c r="B59" s="31" t="s">
        <v>7507</v>
      </c>
      <c r="C59" s="31" t="s">
        <v>7508</v>
      </c>
      <c r="D59" s="31" t="s">
        <v>7509</v>
      </c>
      <c r="E59" s="31" t="s">
        <v>7510</v>
      </c>
      <c r="F59" s="31" t="s">
        <v>7511</v>
      </c>
      <c r="G59" s="31" t="s">
        <v>7512</v>
      </c>
      <c r="H59" s="31" t="s">
        <v>7513</v>
      </c>
      <c r="I59" s="31" t="s">
        <v>7514</v>
      </c>
      <c r="J59" s="31" t="s">
        <v>7515</v>
      </c>
    </row>
    <row r="60">
      <c r="A60" s="31" t="s">
        <v>7516</v>
      </c>
      <c r="B60" s="31" t="s">
        <v>7517</v>
      </c>
      <c r="C60" s="31" t="s">
        <v>7518</v>
      </c>
      <c r="D60" s="31" t="s">
        <v>7519</v>
      </c>
      <c r="E60" s="31" t="s">
        <v>7520</v>
      </c>
      <c r="F60" s="31" t="s">
        <v>7521</v>
      </c>
      <c r="G60" s="31" t="s">
        <v>7522</v>
      </c>
      <c r="H60" s="31" t="s">
        <v>7523</v>
      </c>
      <c r="I60" s="31" t="s">
        <v>7524</v>
      </c>
      <c r="J60" s="31" t="s">
        <v>7525</v>
      </c>
    </row>
    <row r="61">
      <c r="A61" s="31" t="s">
        <v>7526</v>
      </c>
      <c r="B61" s="31" t="s">
        <v>7527</v>
      </c>
      <c r="C61" s="31" t="s">
        <v>7528</v>
      </c>
      <c r="D61" s="31" t="s">
        <v>7529</v>
      </c>
      <c r="E61" s="31" t="s">
        <v>7530</v>
      </c>
      <c r="F61" s="31" t="s">
        <v>7531</v>
      </c>
      <c r="G61" s="31" t="s">
        <v>7532</v>
      </c>
      <c r="H61" s="31" t="s">
        <v>7533</v>
      </c>
      <c r="I61" s="31" t="s">
        <v>7534</v>
      </c>
      <c r="J61" s="31" t="s">
        <v>7535</v>
      </c>
    </row>
    <row r="62">
      <c r="C62" s="31" t="s">
        <v>7536</v>
      </c>
      <c r="D62" s="31" t="s">
        <v>7537</v>
      </c>
      <c r="E62" s="31" t="s">
        <v>7538</v>
      </c>
      <c r="F62" s="31" t="s">
        <v>7539</v>
      </c>
      <c r="G62" s="31" t="s">
        <v>7540</v>
      </c>
      <c r="H62" s="31" t="s">
        <v>7541</v>
      </c>
      <c r="I62" s="31" t="s">
        <v>7542</v>
      </c>
      <c r="J62" s="31" t="s">
        <v>7543</v>
      </c>
    </row>
    <row r="63">
      <c r="D63" s="31" t="s">
        <v>7544</v>
      </c>
      <c r="E63" s="31" t="s">
        <v>7545</v>
      </c>
      <c r="F63" s="31" t="s">
        <v>7546</v>
      </c>
      <c r="G63" s="31" t="s">
        <v>7547</v>
      </c>
      <c r="I63" s="31" t="s">
        <v>7548</v>
      </c>
    </row>
    <row r="64">
      <c r="D64" s="31" t="s">
        <v>7549</v>
      </c>
      <c r="E64" s="31" t="s">
        <v>7550</v>
      </c>
      <c r="F64" s="31" t="s">
        <v>7551</v>
      </c>
      <c r="G64" s="31" t="s">
        <v>7552</v>
      </c>
    </row>
    <row r="67">
      <c r="A67" s="149" t="s">
        <v>4701</v>
      </c>
    </row>
    <row r="68">
      <c r="A68" s="379" t="s">
        <v>4319</v>
      </c>
      <c r="B68" s="379" t="s">
        <v>4702</v>
      </c>
      <c r="C68" s="256" t="s">
        <v>4703</v>
      </c>
      <c r="D68" s="379" t="s">
        <v>4320</v>
      </c>
      <c r="E68" s="379" t="s">
        <v>436</v>
      </c>
      <c r="F68" s="379" t="s">
        <v>4704</v>
      </c>
      <c r="G68" s="379" t="s">
        <v>135</v>
      </c>
      <c r="H68" s="379" t="s">
        <v>128</v>
      </c>
    </row>
    <row r="69">
      <c r="A69" s="4" t="s">
        <v>7553</v>
      </c>
      <c r="B69" s="4" t="s">
        <v>7554</v>
      </c>
      <c r="C69" s="4" t="s">
        <v>7555</v>
      </c>
      <c r="D69" s="4" t="s">
        <v>7556</v>
      </c>
      <c r="E69" s="4" t="s">
        <v>7557</v>
      </c>
      <c r="F69" s="4" t="s">
        <v>7558</v>
      </c>
      <c r="G69" s="4" t="s">
        <v>7558</v>
      </c>
      <c r="H69" s="4" t="s">
        <v>7559</v>
      </c>
    </row>
    <row r="70">
      <c r="A70" s="4" t="s">
        <v>7560</v>
      </c>
      <c r="B70" s="4" t="s">
        <v>7554</v>
      </c>
      <c r="C70" s="4" t="s">
        <v>7561</v>
      </c>
      <c r="D70" s="4" t="s">
        <v>269</v>
      </c>
      <c r="E70" s="4" t="s">
        <v>4390</v>
      </c>
      <c r="F70" s="4" t="s">
        <v>7562</v>
      </c>
      <c r="G70" s="4" t="s">
        <v>7562</v>
      </c>
      <c r="H70" s="4" t="s">
        <v>7563</v>
      </c>
    </row>
    <row r="71">
      <c r="A71" s="4" t="s">
        <v>7564</v>
      </c>
      <c r="B71" s="4" t="s">
        <v>7554</v>
      </c>
      <c r="C71" s="4" t="s">
        <v>7565</v>
      </c>
      <c r="D71" s="4" t="s">
        <v>261</v>
      </c>
      <c r="E71" s="4" t="s">
        <v>4402</v>
      </c>
      <c r="F71" s="4" t="s">
        <v>7566</v>
      </c>
      <c r="G71" s="4" t="s">
        <v>7566</v>
      </c>
      <c r="H71" s="4" t="s">
        <v>7567</v>
      </c>
    </row>
    <row r="72">
      <c r="A72" s="4" t="s">
        <v>7568</v>
      </c>
      <c r="B72" s="4" t="s">
        <v>7569</v>
      </c>
      <c r="C72" s="4" t="s">
        <v>7555</v>
      </c>
      <c r="D72" s="4" t="s">
        <v>7570</v>
      </c>
      <c r="E72" s="4" t="s">
        <v>4390</v>
      </c>
      <c r="F72" s="4" t="s">
        <v>7571</v>
      </c>
      <c r="G72" s="4" t="s">
        <v>7572</v>
      </c>
      <c r="H72" s="4" t="s">
        <v>7571</v>
      </c>
    </row>
    <row r="73">
      <c r="A73" s="4" t="s">
        <v>7573</v>
      </c>
      <c r="B73" s="4" t="s">
        <v>7569</v>
      </c>
      <c r="C73" s="4" t="s">
        <v>7561</v>
      </c>
      <c r="D73" s="4" t="s">
        <v>7574</v>
      </c>
      <c r="E73" s="4" t="s">
        <v>164</v>
      </c>
      <c r="F73" s="4" t="s">
        <v>7575</v>
      </c>
      <c r="G73" s="4" t="s">
        <v>7575</v>
      </c>
      <c r="H73" s="4" t="s">
        <v>7576</v>
      </c>
    </row>
    <row r="74">
      <c r="A74" s="26" t="s">
        <v>7577</v>
      </c>
      <c r="B74" s="4" t="s">
        <v>7578</v>
      </c>
      <c r="C74" s="4" t="s">
        <v>7565</v>
      </c>
      <c r="D74" s="4" t="s">
        <v>7556</v>
      </c>
      <c r="E74" s="4" t="s">
        <v>4402</v>
      </c>
      <c r="F74" s="4" t="s">
        <v>7579</v>
      </c>
      <c r="G74" s="4" t="s">
        <v>7580</v>
      </c>
      <c r="H74" s="4" t="s">
        <v>7579</v>
      </c>
    </row>
    <row r="75">
      <c r="A75" s="4" t="s">
        <v>7581</v>
      </c>
      <c r="B75" s="4" t="s">
        <v>7578</v>
      </c>
      <c r="C75" s="4" t="s">
        <v>7555</v>
      </c>
      <c r="D75" s="4" t="s">
        <v>7582</v>
      </c>
      <c r="E75" s="4" t="s">
        <v>4402</v>
      </c>
      <c r="F75" s="4" t="s">
        <v>7559</v>
      </c>
      <c r="G75" s="4" t="s">
        <v>7563</v>
      </c>
      <c r="H75" s="4" t="s">
        <v>7559</v>
      </c>
    </row>
    <row r="76">
      <c r="A76" s="4" t="s">
        <v>7583</v>
      </c>
      <c r="B76" s="4" t="s">
        <v>7578</v>
      </c>
      <c r="C76" s="4" t="s">
        <v>7561</v>
      </c>
      <c r="D76" s="4" t="s">
        <v>7584</v>
      </c>
      <c r="E76" s="4" t="s">
        <v>7585</v>
      </c>
      <c r="F76" s="4" t="s">
        <v>7586</v>
      </c>
      <c r="G76" s="4" t="s">
        <v>7587</v>
      </c>
      <c r="H76" s="4" t="s">
        <v>7586</v>
      </c>
    </row>
    <row r="77">
      <c r="A77" s="26" t="s">
        <v>7588</v>
      </c>
      <c r="B77" s="4" t="s">
        <v>7589</v>
      </c>
      <c r="C77" s="4" t="s">
        <v>7561</v>
      </c>
      <c r="D77" s="4" t="s">
        <v>7570</v>
      </c>
      <c r="E77" s="4" t="s">
        <v>4390</v>
      </c>
      <c r="F77" s="4" t="s">
        <v>7590</v>
      </c>
      <c r="G77" s="4" t="s">
        <v>7591</v>
      </c>
      <c r="H77" s="4" t="s">
        <v>7592</v>
      </c>
    </row>
    <row r="78">
      <c r="A78" s="4" t="s">
        <v>7593</v>
      </c>
      <c r="B78" s="4" t="s">
        <v>7589</v>
      </c>
      <c r="C78" s="4" t="s">
        <v>7555</v>
      </c>
      <c r="D78" s="4" t="s">
        <v>7574</v>
      </c>
      <c r="E78" s="4" t="s">
        <v>164</v>
      </c>
      <c r="F78" s="4" t="s">
        <v>7594</v>
      </c>
      <c r="G78" s="4" t="s">
        <v>7594</v>
      </c>
      <c r="H78" s="4" t="s">
        <v>7595</v>
      </c>
    </row>
    <row r="79">
      <c r="A79" s="4" t="s">
        <v>7596</v>
      </c>
      <c r="B79" s="4" t="s">
        <v>7597</v>
      </c>
      <c r="C79" s="4" t="s">
        <v>7561</v>
      </c>
      <c r="D79" s="4" t="s">
        <v>7570</v>
      </c>
      <c r="E79" s="4" t="s">
        <v>164</v>
      </c>
      <c r="F79" s="4" t="s">
        <v>7598</v>
      </c>
      <c r="G79" s="4" t="s">
        <v>7598</v>
      </c>
      <c r="H79" s="4" t="s">
        <v>7599</v>
      </c>
    </row>
    <row r="80">
      <c r="A80" s="4" t="s">
        <v>7600</v>
      </c>
      <c r="B80" s="4" t="s">
        <v>7597</v>
      </c>
      <c r="C80" s="4" t="s">
        <v>7555</v>
      </c>
      <c r="D80" s="4" t="s">
        <v>259</v>
      </c>
      <c r="E80" s="4" t="s">
        <v>7601</v>
      </c>
      <c r="F80" s="4" t="s">
        <v>7602</v>
      </c>
      <c r="G80" s="4" t="s">
        <v>7603</v>
      </c>
      <c r="H80" s="4" t="s">
        <v>7604</v>
      </c>
    </row>
    <row r="81">
      <c r="A81" s="4" t="s">
        <v>7605</v>
      </c>
      <c r="B81" s="4" t="s">
        <v>7606</v>
      </c>
      <c r="C81" s="4" t="s">
        <v>7555</v>
      </c>
      <c r="D81" s="4" t="s">
        <v>263</v>
      </c>
      <c r="E81" s="4" t="s">
        <v>4390</v>
      </c>
      <c r="F81" s="4" t="s">
        <v>7592</v>
      </c>
      <c r="G81" s="4" t="s">
        <v>7607</v>
      </c>
      <c r="H81" s="4" t="s">
        <v>7592</v>
      </c>
    </row>
    <row r="82">
      <c r="A82" s="4" t="s">
        <v>7608</v>
      </c>
      <c r="B82" s="4" t="s">
        <v>7606</v>
      </c>
      <c r="C82" s="4" t="s">
        <v>7561</v>
      </c>
      <c r="D82" s="4" t="s">
        <v>261</v>
      </c>
      <c r="E82" s="4" t="s">
        <v>7601</v>
      </c>
      <c r="F82" s="4" t="s">
        <v>7609</v>
      </c>
      <c r="G82" s="4" t="s">
        <v>7609</v>
      </c>
      <c r="H82" s="4" t="s">
        <v>7610</v>
      </c>
    </row>
    <row r="83">
      <c r="A83" s="4" t="s">
        <v>7611</v>
      </c>
      <c r="B83" s="4" t="s">
        <v>7612</v>
      </c>
      <c r="C83" s="4" t="s">
        <v>7555</v>
      </c>
      <c r="D83" s="4" t="s">
        <v>7574</v>
      </c>
      <c r="E83" s="4" t="s">
        <v>4390</v>
      </c>
      <c r="F83" s="4" t="s">
        <v>7613</v>
      </c>
      <c r="G83" s="4" t="s">
        <v>7613</v>
      </c>
      <c r="H83" s="4" t="s">
        <v>7614</v>
      </c>
    </row>
    <row r="84">
      <c r="A84" s="4" t="s">
        <v>7615</v>
      </c>
      <c r="B84" s="4" t="s">
        <v>7612</v>
      </c>
      <c r="C84" s="4" t="s">
        <v>7561</v>
      </c>
      <c r="D84" s="4" t="s">
        <v>7584</v>
      </c>
      <c r="E84" s="4" t="s">
        <v>4402</v>
      </c>
      <c r="F84" s="4" t="s">
        <v>7616</v>
      </c>
      <c r="G84" s="4" t="s">
        <v>7604</v>
      </c>
      <c r="H84" s="4" t="s">
        <v>7586</v>
      </c>
    </row>
    <row r="85">
      <c r="A85" s="4" t="s">
        <v>7617</v>
      </c>
      <c r="B85" s="4" t="s">
        <v>7612</v>
      </c>
      <c r="C85" s="4" t="s">
        <v>7565</v>
      </c>
      <c r="D85" s="4" t="s">
        <v>259</v>
      </c>
      <c r="E85" s="4" t="s">
        <v>7618</v>
      </c>
      <c r="F85" s="4" t="s">
        <v>7619</v>
      </c>
      <c r="G85" s="4" t="s">
        <v>7619</v>
      </c>
      <c r="H85" s="4" t="s">
        <v>7620</v>
      </c>
    </row>
    <row r="86">
      <c r="A86" s="4" t="s">
        <v>7621</v>
      </c>
      <c r="B86" s="4" t="s">
        <v>7622</v>
      </c>
      <c r="C86" s="4" t="s">
        <v>7555</v>
      </c>
      <c r="D86" s="4" t="s">
        <v>7623</v>
      </c>
      <c r="E86" s="4" t="s">
        <v>4402</v>
      </c>
      <c r="F86" s="4" t="s">
        <v>7624</v>
      </c>
      <c r="G86" s="4" t="s">
        <v>7625</v>
      </c>
      <c r="H86" s="4" t="s">
        <v>7626</v>
      </c>
    </row>
    <row r="87">
      <c r="A87" s="4" t="s">
        <v>7627</v>
      </c>
      <c r="B87" s="4" t="s">
        <v>7622</v>
      </c>
      <c r="C87" s="4" t="s">
        <v>7565</v>
      </c>
      <c r="D87" s="4" t="s">
        <v>263</v>
      </c>
      <c r="E87" s="4" t="s">
        <v>4403</v>
      </c>
      <c r="F87" s="4" t="s">
        <v>7592</v>
      </c>
      <c r="G87" s="4" t="s">
        <v>7628</v>
      </c>
      <c r="H87" s="4" t="s">
        <v>7592</v>
      </c>
    </row>
    <row r="88">
      <c r="A88" s="4" t="s">
        <v>7629</v>
      </c>
      <c r="B88" s="4" t="s">
        <v>7630</v>
      </c>
      <c r="C88" s="4" t="s">
        <v>7561</v>
      </c>
      <c r="D88" s="4" t="s">
        <v>7584</v>
      </c>
      <c r="E88" s="4" t="s">
        <v>4402</v>
      </c>
      <c r="F88" s="4" t="s">
        <v>7631</v>
      </c>
      <c r="G88" s="4" t="s">
        <v>7632</v>
      </c>
      <c r="H88" s="4" t="s">
        <v>7633</v>
      </c>
    </row>
    <row r="89">
      <c r="A89" s="4" t="s">
        <v>7634</v>
      </c>
      <c r="B89" s="4" t="s">
        <v>7630</v>
      </c>
      <c r="C89" s="4" t="s">
        <v>7555</v>
      </c>
      <c r="D89" s="4" t="s">
        <v>259</v>
      </c>
      <c r="E89" s="4" t="s">
        <v>7635</v>
      </c>
      <c r="F89" s="4" t="s">
        <v>7636</v>
      </c>
      <c r="G89" s="4" t="s">
        <v>7636</v>
      </c>
      <c r="H89" s="4" t="s">
        <v>7637</v>
      </c>
    </row>
    <row r="90">
      <c r="A90" s="4" t="s">
        <v>7638</v>
      </c>
      <c r="B90" s="4" t="s">
        <v>7630</v>
      </c>
      <c r="C90" s="4" t="s">
        <v>7565</v>
      </c>
      <c r="D90" s="4" t="s">
        <v>7570</v>
      </c>
      <c r="E90" s="4" t="s">
        <v>164</v>
      </c>
      <c r="F90" s="4" t="s">
        <v>7572</v>
      </c>
      <c r="G90" s="4" t="s">
        <v>7590</v>
      </c>
      <c r="H90" s="4" t="s">
        <v>7572</v>
      </c>
    </row>
    <row r="91">
      <c r="A91" s="4" t="s">
        <v>7639</v>
      </c>
      <c r="B91" s="4" t="s">
        <v>7640</v>
      </c>
      <c r="C91" s="4" t="s">
        <v>7555</v>
      </c>
      <c r="D91" s="4" t="s">
        <v>269</v>
      </c>
      <c r="E91" s="4" t="s">
        <v>4402</v>
      </c>
      <c r="F91" s="4" t="s">
        <v>7620</v>
      </c>
      <c r="G91" s="4" t="s">
        <v>7624</v>
      </c>
      <c r="H91" s="4" t="s">
        <v>7620</v>
      </c>
    </row>
    <row r="92">
      <c r="A92" s="4" t="s">
        <v>7641</v>
      </c>
      <c r="B92" s="4" t="s">
        <v>7640</v>
      </c>
      <c r="C92" s="4" t="s">
        <v>7565</v>
      </c>
      <c r="D92" s="4" t="s">
        <v>263</v>
      </c>
      <c r="E92" s="4" t="s">
        <v>164</v>
      </c>
      <c r="F92" s="4" t="s">
        <v>7592</v>
      </c>
      <c r="G92" s="4" t="s">
        <v>7580</v>
      </c>
      <c r="H92" s="4" t="s">
        <v>7592</v>
      </c>
    </row>
    <row r="93">
      <c r="A93" s="4" t="s">
        <v>7642</v>
      </c>
      <c r="B93" s="4" t="s">
        <v>7643</v>
      </c>
      <c r="C93" s="4" t="s">
        <v>7565</v>
      </c>
      <c r="D93" s="4" t="s">
        <v>259</v>
      </c>
      <c r="E93" s="4" t="s">
        <v>7644</v>
      </c>
      <c r="F93" s="4" t="s">
        <v>7645</v>
      </c>
      <c r="G93" s="4" t="s">
        <v>7646</v>
      </c>
      <c r="H93" s="4" t="s">
        <v>7645</v>
      </c>
    </row>
    <row r="94">
      <c r="A94" s="4" t="s">
        <v>7647</v>
      </c>
      <c r="B94" s="4" t="s">
        <v>7643</v>
      </c>
      <c r="C94" s="4" t="s">
        <v>7555</v>
      </c>
      <c r="D94" s="4" t="s">
        <v>7582</v>
      </c>
      <c r="E94" s="4" t="s">
        <v>164</v>
      </c>
      <c r="F94" s="4" t="s">
        <v>7648</v>
      </c>
      <c r="G94" s="4" t="s">
        <v>7613</v>
      </c>
      <c r="H94" s="4" t="s">
        <v>7648</v>
      </c>
    </row>
    <row r="95">
      <c r="A95" s="4" t="s">
        <v>7649</v>
      </c>
      <c r="B95" s="4" t="s">
        <v>7643</v>
      </c>
      <c r="C95" s="4" t="s">
        <v>7561</v>
      </c>
      <c r="D95" s="4" t="s">
        <v>261</v>
      </c>
      <c r="E95" s="4" t="s">
        <v>4402</v>
      </c>
      <c r="F95" s="4" t="s">
        <v>7650</v>
      </c>
      <c r="G95" s="4" t="s">
        <v>7651</v>
      </c>
      <c r="H95" s="4" t="s">
        <v>7652</v>
      </c>
    </row>
    <row r="96">
      <c r="A96" s="4" t="s">
        <v>7653</v>
      </c>
      <c r="B96" s="4" t="s">
        <v>7654</v>
      </c>
      <c r="C96" s="4" t="s">
        <v>7565</v>
      </c>
      <c r="D96" s="4" t="s">
        <v>269</v>
      </c>
      <c r="E96" s="4" t="s">
        <v>4402</v>
      </c>
      <c r="F96" s="4" t="s">
        <v>7620</v>
      </c>
      <c r="G96" s="4" t="s">
        <v>7620</v>
      </c>
      <c r="H96" s="4" t="s">
        <v>7604</v>
      </c>
    </row>
    <row r="97">
      <c r="A97" s="4" t="s">
        <v>7655</v>
      </c>
      <c r="B97" s="4" t="s">
        <v>7654</v>
      </c>
      <c r="C97" s="4" t="s">
        <v>7555</v>
      </c>
      <c r="D97" s="4" t="s">
        <v>263</v>
      </c>
      <c r="E97" s="4" t="s">
        <v>164</v>
      </c>
      <c r="F97" s="4" t="s">
        <v>7656</v>
      </c>
      <c r="G97" s="4" t="s">
        <v>7657</v>
      </c>
      <c r="H97" s="4" t="s">
        <v>7656</v>
      </c>
    </row>
    <row r="98">
      <c r="A98" s="4" t="s">
        <v>7658</v>
      </c>
      <c r="B98" s="4" t="s">
        <v>7659</v>
      </c>
      <c r="C98" s="4" t="s">
        <v>7561</v>
      </c>
      <c r="D98" s="4" t="s">
        <v>261</v>
      </c>
      <c r="E98" s="4" t="s">
        <v>4402</v>
      </c>
      <c r="F98" s="4" t="s">
        <v>7566</v>
      </c>
      <c r="G98" s="4" t="s">
        <v>7566</v>
      </c>
      <c r="H98" s="4" t="s">
        <v>7650</v>
      </c>
    </row>
    <row r="99">
      <c r="A99" s="4" t="s">
        <v>7660</v>
      </c>
      <c r="B99" s="4" t="s">
        <v>7659</v>
      </c>
      <c r="C99" s="4" t="s">
        <v>7565</v>
      </c>
      <c r="D99" s="4" t="s">
        <v>7582</v>
      </c>
      <c r="E99" s="4" t="s">
        <v>4402</v>
      </c>
      <c r="F99" s="4" t="s">
        <v>7661</v>
      </c>
      <c r="G99" s="4" t="s">
        <v>7661</v>
      </c>
      <c r="H99" s="4" t="s">
        <v>7662</v>
      </c>
    </row>
    <row r="100">
      <c r="A100" s="4" t="s">
        <v>7663</v>
      </c>
      <c r="B100" s="4" t="s">
        <v>7659</v>
      </c>
      <c r="C100" s="4" t="s">
        <v>7555</v>
      </c>
      <c r="D100" s="4" t="s">
        <v>7570</v>
      </c>
      <c r="E100" s="4" t="s">
        <v>4390</v>
      </c>
      <c r="F100" s="4" t="s">
        <v>7571</v>
      </c>
      <c r="G100" s="4" t="s">
        <v>7664</v>
      </c>
      <c r="H100" s="4" t="s">
        <v>7587</v>
      </c>
    </row>
    <row r="101">
      <c r="A101" s="4" t="s">
        <v>7665</v>
      </c>
      <c r="B101" s="4" t="s">
        <v>7666</v>
      </c>
      <c r="C101" s="4" t="s">
        <v>7555</v>
      </c>
      <c r="D101" s="4" t="s">
        <v>269</v>
      </c>
      <c r="E101" s="4" t="s">
        <v>4402</v>
      </c>
      <c r="F101" s="4" t="s">
        <v>7667</v>
      </c>
      <c r="G101" s="4" t="s">
        <v>7668</v>
      </c>
      <c r="H101" s="4" t="s">
        <v>7667</v>
      </c>
    </row>
    <row r="102">
      <c r="A102" s="4" t="s">
        <v>7669</v>
      </c>
      <c r="B102" s="4" t="s">
        <v>7666</v>
      </c>
      <c r="C102" s="4" t="s">
        <v>7561</v>
      </c>
      <c r="D102" s="4" t="s">
        <v>7556</v>
      </c>
      <c r="E102" s="4" t="s">
        <v>4403</v>
      </c>
      <c r="F102" s="4" t="s">
        <v>7670</v>
      </c>
      <c r="G102" s="4" t="s">
        <v>7671</v>
      </c>
      <c r="H102" s="4" t="s">
        <v>7670</v>
      </c>
    </row>
    <row r="103">
      <c r="A103" s="4" t="s">
        <v>7672</v>
      </c>
      <c r="B103" s="4" t="s">
        <v>7673</v>
      </c>
      <c r="C103" s="4" t="s">
        <v>7555</v>
      </c>
      <c r="D103" s="4" t="s">
        <v>269</v>
      </c>
      <c r="E103" s="4" t="s">
        <v>4403</v>
      </c>
      <c r="F103" s="4" t="s">
        <v>7563</v>
      </c>
      <c r="G103" s="4" t="s">
        <v>7674</v>
      </c>
      <c r="H103" s="4" t="s">
        <v>7563</v>
      </c>
    </row>
    <row r="104">
      <c r="A104" s="4" t="s">
        <v>7675</v>
      </c>
      <c r="B104" s="4" t="s">
        <v>7673</v>
      </c>
      <c r="C104" s="4" t="s">
        <v>7565</v>
      </c>
      <c r="D104" s="4" t="s">
        <v>261</v>
      </c>
      <c r="E104" s="4" t="s">
        <v>164</v>
      </c>
      <c r="F104" s="4" t="s">
        <v>7676</v>
      </c>
      <c r="G104" s="4" t="s">
        <v>7677</v>
      </c>
      <c r="H104" s="4" t="s">
        <v>7678</v>
      </c>
    </row>
    <row r="105">
      <c r="A105" s="4" t="s">
        <v>7679</v>
      </c>
      <c r="B105" s="4" t="s">
        <v>7680</v>
      </c>
      <c r="C105" s="4" t="s">
        <v>7555</v>
      </c>
      <c r="D105" s="4" t="s">
        <v>261</v>
      </c>
      <c r="E105" s="4" t="s">
        <v>4402</v>
      </c>
      <c r="F105" s="4" t="s">
        <v>7566</v>
      </c>
      <c r="G105" s="4" t="s">
        <v>7681</v>
      </c>
      <c r="H105" s="4" t="s">
        <v>7566</v>
      </c>
    </row>
    <row r="106">
      <c r="A106" s="4" t="s">
        <v>7682</v>
      </c>
      <c r="B106" s="4" t="s">
        <v>7683</v>
      </c>
      <c r="C106" s="4" t="s">
        <v>7565</v>
      </c>
      <c r="D106" s="4" t="s">
        <v>261</v>
      </c>
      <c r="E106" s="4" t="s">
        <v>4403</v>
      </c>
      <c r="F106" s="4" t="s">
        <v>7684</v>
      </c>
      <c r="G106" s="4" t="s">
        <v>7685</v>
      </c>
      <c r="H106" s="4" t="s">
        <v>7684</v>
      </c>
    </row>
    <row r="107">
      <c r="A107" s="4"/>
      <c r="B107" s="8"/>
      <c r="C107" s="8"/>
      <c r="D107" s="8"/>
      <c r="E107" s="8"/>
      <c r="F107" s="8"/>
      <c r="G107" s="8"/>
      <c r="H107" s="8"/>
    </row>
    <row r="108">
      <c r="A108" s="4"/>
      <c r="B108" s="8"/>
      <c r="C108" s="8"/>
      <c r="D108" s="8"/>
      <c r="E108" s="8"/>
      <c r="F108" s="8"/>
      <c r="G108" s="8"/>
      <c r="H108" s="8"/>
    </row>
    <row r="109">
      <c r="A109" s="4"/>
      <c r="B109" s="8"/>
      <c r="C109" s="8"/>
      <c r="D109" s="8"/>
      <c r="E109" s="8"/>
      <c r="F109" s="8"/>
      <c r="G109" s="8"/>
      <c r="H109" s="8"/>
    </row>
    <row r="110">
      <c r="A110" s="8"/>
      <c r="B110" s="8"/>
      <c r="C110" s="8"/>
      <c r="D110" s="8"/>
      <c r="E110" s="8"/>
      <c r="F110" s="8"/>
      <c r="G110" s="8"/>
      <c r="H110" s="8"/>
    </row>
    <row r="111">
      <c r="A111" s="8"/>
      <c r="B111" s="8"/>
      <c r="C111" s="8"/>
      <c r="D111" s="8"/>
      <c r="E111" s="8"/>
      <c r="F111" s="8"/>
      <c r="G111" s="8"/>
      <c r="H111" s="8"/>
    </row>
    <row r="112">
      <c r="A112" s="8"/>
      <c r="B112" s="8"/>
      <c r="C112" s="8"/>
      <c r="D112" s="8"/>
      <c r="E112" s="8"/>
      <c r="F112" s="8"/>
      <c r="G112" s="8"/>
      <c r="H112" s="8"/>
    </row>
    <row r="113">
      <c r="A113" s="8"/>
      <c r="B113" s="8"/>
      <c r="C113" s="8"/>
      <c r="D113" s="8"/>
      <c r="E113" s="8"/>
      <c r="F113" s="8"/>
      <c r="G113" s="8"/>
      <c r="H113" s="8"/>
    </row>
    <row r="114">
      <c r="A114" s="8"/>
      <c r="B114" s="8"/>
      <c r="C114" s="8"/>
      <c r="D114" s="8"/>
      <c r="E114" s="8"/>
      <c r="F114" s="8"/>
      <c r="G114" s="8"/>
      <c r="H114" s="8"/>
    </row>
    <row r="115">
      <c r="A115" s="176" t="s">
        <v>7686</v>
      </c>
      <c r="F115" s="8"/>
      <c r="G115" s="8"/>
      <c r="H115" s="8"/>
    </row>
    <row r="116">
      <c r="A116" s="251" t="s">
        <v>111</v>
      </c>
      <c r="B116" s="251" t="s">
        <v>112</v>
      </c>
      <c r="C116" s="251" t="s">
        <v>113</v>
      </c>
      <c r="D116" s="251" t="s">
        <v>114</v>
      </c>
      <c r="E116" s="251" t="s">
        <v>4406</v>
      </c>
      <c r="F116" s="8"/>
      <c r="G116" s="8"/>
      <c r="H116" s="8"/>
    </row>
    <row r="117">
      <c r="A117" s="4" t="s">
        <v>117</v>
      </c>
      <c r="B117" s="4" t="s">
        <v>258</v>
      </c>
      <c r="C117" s="4" t="s">
        <v>259</v>
      </c>
      <c r="D117" s="4" t="s">
        <v>13</v>
      </c>
      <c r="E117" s="4">
        <v>150000.0</v>
      </c>
      <c r="F117" s="8"/>
      <c r="G117" s="8"/>
      <c r="H117" s="8"/>
    </row>
    <row r="118">
      <c r="A118" s="4" t="s">
        <v>124</v>
      </c>
      <c r="B118" s="4" t="s">
        <v>260</v>
      </c>
      <c r="C118" s="4" t="s">
        <v>261</v>
      </c>
      <c r="D118" s="4" t="s">
        <v>10</v>
      </c>
      <c r="E118" s="4">
        <v>150000.0</v>
      </c>
      <c r="F118" s="8"/>
      <c r="G118" s="8"/>
      <c r="H118" s="8"/>
    </row>
    <row r="119">
      <c r="A119" s="4" t="s">
        <v>128</v>
      </c>
      <c r="B119" s="4" t="s">
        <v>262</v>
      </c>
      <c r="C119" s="4" t="s">
        <v>263</v>
      </c>
      <c r="D119" s="4" t="s">
        <v>11</v>
      </c>
      <c r="E119" s="4">
        <v>300000.0</v>
      </c>
      <c r="F119" s="8"/>
      <c r="G119" s="8"/>
      <c r="H119" s="8"/>
    </row>
    <row r="120">
      <c r="A120" s="4" t="s">
        <v>135</v>
      </c>
      <c r="B120" s="4" t="s">
        <v>260</v>
      </c>
      <c r="C120" s="4" t="s">
        <v>261</v>
      </c>
      <c r="D120" s="4" t="s">
        <v>10</v>
      </c>
      <c r="E120" s="4">
        <v>300000.0</v>
      </c>
      <c r="F120" s="8"/>
      <c r="G120" s="8"/>
      <c r="H120" s="8"/>
    </row>
    <row r="121">
      <c r="A121" s="4" t="s">
        <v>140</v>
      </c>
      <c r="B121" s="4" t="s">
        <v>265</v>
      </c>
      <c r="C121" s="4" t="s">
        <v>261</v>
      </c>
      <c r="D121" s="4" t="s">
        <v>17</v>
      </c>
      <c r="E121" s="4">
        <v>540000.0</v>
      </c>
      <c r="F121" s="8"/>
      <c r="G121" s="8"/>
      <c r="H121" s="8"/>
    </row>
    <row r="122">
      <c r="A122" s="4" t="s">
        <v>167</v>
      </c>
      <c r="B122" s="4" t="s">
        <v>263</v>
      </c>
      <c r="E122" s="4">
        <v>675000.0</v>
      </c>
      <c r="F122" s="8"/>
      <c r="G122" s="8"/>
      <c r="H122" s="8"/>
    </row>
    <row r="123">
      <c r="A123" s="4" t="s">
        <v>170</v>
      </c>
      <c r="B123" s="4" t="s">
        <v>269</v>
      </c>
      <c r="E123" s="4">
        <v>1200000.0</v>
      </c>
      <c r="F123" s="8"/>
      <c r="G123" s="8"/>
      <c r="H123" s="8"/>
    </row>
    <row r="124">
      <c r="A124" s="4" t="s">
        <v>148</v>
      </c>
      <c r="B124" s="4" t="s">
        <v>261</v>
      </c>
      <c r="E124" s="4">
        <v>2400000.0</v>
      </c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  <row r="141">
      <c r="A141" s="8"/>
      <c r="B141" s="8"/>
      <c r="C141" s="8"/>
      <c r="D141" s="8"/>
      <c r="E141" s="8"/>
      <c r="F141" s="8"/>
      <c r="G141" s="8"/>
      <c r="H141" s="8"/>
    </row>
    <row r="142">
      <c r="A142" s="8"/>
      <c r="B142" s="8"/>
      <c r="C142" s="8"/>
      <c r="D142" s="8"/>
      <c r="E142" s="8"/>
      <c r="F142" s="8"/>
      <c r="G142" s="8"/>
      <c r="H142" s="8"/>
    </row>
    <row r="143">
      <c r="A143" s="8"/>
      <c r="B143" s="8"/>
      <c r="C143" s="8"/>
      <c r="D143" s="8"/>
      <c r="E143" s="8"/>
      <c r="F143" s="8"/>
      <c r="G143" s="8"/>
      <c r="H143" s="8"/>
    </row>
  </sheetData>
  <mergeCells count="7">
    <mergeCell ref="A1:N1"/>
    <mergeCell ref="A42:J42"/>
    <mergeCell ref="A67:H67"/>
    <mergeCell ref="A115:E115"/>
    <mergeCell ref="B122:D122"/>
    <mergeCell ref="B123:D123"/>
    <mergeCell ref="B124:D124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3" width="18.38"/>
    <col customWidth="1" min="4" max="4" width="16.63"/>
    <col customWidth="1" min="5" max="5" width="14.13"/>
    <col customWidth="1" min="6" max="6" width="23.75"/>
  </cols>
  <sheetData>
    <row r="1">
      <c r="A1" s="414" t="s">
        <v>4819</v>
      </c>
    </row>
    <row r="2">
      <c r="A2" s="415" t="s">
        <v>11</v>
      </c>
      <c r="B2" s="415" t="s">
        <v>17</v>
      </c>
      <c r="C2" s="415" t="s">
        <v>6</v>
      </c>
      <c r="D2" s="415" t="s">
        <v>8</v>
      </c>
      <c r="E2" s="415" t="s">
        <v>5</v>
      </c>
    </row>
    <row r="3">
      <c r="A3" s="31" t="s">
        <v>7687</v>
      </c>
      <c r="B3" s="31" t="s">
        <v>7688</v>
      </c>
      <c r="C3" s="31" t="s">
        <v>7689</v>
      </c>
      <c r="D3" s="31" t="s">
        <v>7690</v>
      </c>
      <c r="E3" s="31" t="s">
        <v>7691</v>
      </c>
    </row>
    <row r="4">
      <c r="A4" s="31" t="s">
        <v>2863</v>
      </c>
      <c r="B4" s="31" t="s">
        <v>7692</v>
      </c>
      <c r="C4" s="31" t="s">
        <v>7693</v>
      </c>
      <c r="D4" s="31" t="s">
        <v>7694</v>
      </c>
      <c r="E4" s="31" t="s">
        <v>7695</v>
      </c>
    </row>
    <row r="5">
      <c r="A5" s="31" t="s">
        <v>7696</v>
      </c>
      <c r="B5" s="31" t="s">
        <v>7697</v>
      </c>
      <c r="C5" s="31" t="s">
        <v>7698</v>
      </c>
      <c r="D5" s="31" t="s">
        <v>7699</v>
      </c>
      <c r="E5" s="31" t="s">
        <v>7700</v>
      </c>
    </row>
    <row r="6">
      <c r="A6" s="31" t="s">
        <v>7701</v>
      </c>
      <c r="B6" s="31" t="s">
        <v>7702</v>
      </c>
      <c r="C6" s="31" t="s">
        <v>7703</v>
      </c>
      <c r="D6" s="31" t="s">
        <v>7704</v>
      </c>
      <c r="E6" s="31" t="s">
        <v>7705</v>
      </c>
    </row>
    <row r="7">
      <c r="A7" s="31" t="s">
        <v>2703</v>
      </c>
      <c r="B7" s="31" t="s">
        <v>7706</v>
      </c>
      <c r="C7" s="31" t="s">
        <v>7707</v>
      </c>
      <c r="D7" s="31" t="s">
        <v>7708</v>
      </c>
      <c r="E7" s="31" t="s">
        <v>7709</v>
      </c>
    </row>
    <row r="8">
      <c r="A8" s="31" t="s">
        <v>7710</v>
      </c>
      <c r="B8" s="31" t="s">
        <v>7711</v>
      </c>
      <c r="C8" s="31" t="s">
        <v>7712</v>
      </c>
      <c r="D8" s="31" t="s">
        <v>7713</v>
      </c>
      <c r="E8" s="31" t="s">
        <v>7714</v>
      </c>
    </row>
    <row r="9">
      <c r="A9" s="31" t="s">
        <v>7715</v>
      </c>
      <c r="B9" s="31" t="s">
        <v>7716</v>
      </c>
      <c r="C9" s="31" t="s">
        <v>7717</v>
      </c>
      <c r="D9" s="31" t="s">
        <v>7718</v>
      </c>
      <c r="E9" s="31" t="s">
        <v>7719</v>
      </c>
    </row>
    <row r="10">
      <c r="A10" s="31" t="s">
        <v>7720</v>
      </c>
      <c r="B10" s="31" t="s">
        <v>7721</v>
      </c>
      <c r="C10" s="31" t="s">
        <v>7722</v>
      </c>
      <c r="D10" s="31" t="s">
        <v>7723</v>
      </c>
      <c r="E10" s="31" t="s">
        <v>7724</v>
      </c>
    </row>
    <row r="11">
      <c r="A11" s="31" t="s">
        <v>7725</v>
      </c>
      <c r="B11" s="31" t="s">
        <v>7726</v>
      </c>
      <c r="C11" s="31" t="s">
        <v>7727</v>
      </c>
      <c r="D11" s="31" t="s">
        <v>7728</v>
      </c>
    </row>
    <row r="12">
      <c r="A12" s="31" t="s">
        <v>7729</v>
      </c>
      <c r="B12" s="31" t="s">
        <v>7730</v>
      </c>
      <c r="C12" s="31" t="s">
        <v>7731</v>
      </c>
    </row>
    <row r="13">
      <c r="A13" s="31" t="s">
        <v>7732</v>
      </c>
      <c r="B13" s="31" t="s">
        <v>7733</v>
      </c>
      <c r="C13" s="31" t="s">
        <v>7734</v>
      </c>
    </row>
    <row r="14">
      <c r="A14" s="31" t="s">
        <v>7735</v>
      </c>
      <c r="B14" s="31" t="s">
        <v>7736</v>
      </c>
      <c r="C14" s="31" t="s">
        <v>7737</v>
      </c>
    </row>
    <row r="15">
      <c r="A15" s="31" t="s">
        <v>7738</v>
      </c>
      <c r="B15" s="31"/>
    </row>
    <row r="16">
      <c r="A16" s="31" t="s">
        <v>7739</v>
      </c>
      <c r="B16" s="31"/>
    </row>
    <row r="17">
      <c r="A17" s="31" t="s">
        <v>7740</v>
      </c>
      <c r="B17" s="31"/>
    </row>
    <row r="18">
      <c r="B18" s="31"/>
    </row>
    <row r="19">
      <c r="B19" s="31"/>
    </row>
    <row r="20">
      <c r="B20" s="31"/>
    </row>
    <row r="22">
      <c r="A22" s="380" t="s">
        <v>4820</v>
      </c>
    </row>
    <row r="23">
      <c r="A23" s="381" t="s">
        <v>4821</v>
      </c>
      <c r="B23" s="381" t="s">
        <v>4822</v>
      </c>
      <c r="C23" s="381" t="s">
        <v>4702</v>
      </c>
      <c r="D23" s="381" t="s">
        <v>4703</v>
      </c>
      <c r="E23" s="381" t="s">
        <v>4823</v>
      </c>
      <c r="F23" s="381" t="s">
        <v>4704</v>
      </c>
    </row>
    <row r="24">
      <c r="A24" s="4" t="s">
        <v>6</v>
      </c>
      <c r="B24" s="4" t="s">
        <v>5</v>
      </c>
      <c r="C24" s="4" t="s">
        <v>7606</v>
      </c>
      <c r="D24" s="4" t="s">
        <v>4844</v>
      </c>
      <c r="E24" s="4" t="s">
        <v>5</v>
      </c>
      <c r="F24" s="4" t="s">
        <v>7741</v>
      </c>
    </row>
    <row r="25">
      <c r="A25" s="4" t="s">
        <v>7742</v>
      </c>
      <c r="B25" s="4" t="s">
        <v>8</v>
      </c>
      <c r="C25" s="4" t="s">
        <v>7606</v>
      </c>
      <c r="D25" s="4" t="s">
        <v>4834</v>
      </c>
      <c r="E25" s="4" t="s">
        <v>17</v>
      </c>
      <c r="F25" s="4" t="s">
        <v>7743</v>
      </c>
    </row>
    <row r="26">
      <c r="A26" s="4" t="s">
        <v>5</v>
      </c>
      <c r="B26" s="4" t="s">
        <v>11</v>
      </c>
      <c r="C26" s="4" t="s">
        <v>7612</v>
      </c>
      <c r="D26" s="4" t="s">
        <v>7744</v>
      </c>
      <c r="E26" s="4" t="s">
        <v>11</v>
      </c>
      <c r="F26" s="4" t="s">
        <v>7745</v>
      </c>
    </row>
    <row r="27">
      <c r="A27" s="4" t="s">
        <v>7742</v>
      </c>
      <c r="B27" s="4" t="s">
        <v>6</v>
      </c>
      <c r="C27" s="4" t="s">
        <v>7612</v>
      </c>
      <c r="D27" s="4" t="s">
        <v>7107</v>
      </c>
      <c r="E27" s="4" t="s">
        <v>6</v>
      </c>
      <c r="F27" s="4" t="s">
        <v>7746</v>
      </c>
    </row>
    <row r="28">
      <c r="A28" s="4" t="s">
        <v>11</v>
      </c>
      <c r="B28" s="4" t="s">
        <v>8</v>
      </c>
      <c r="C28" s="4" t="s">
        <v>7747</v>
      </c>
      <c r="D28" s="4" t="s">
        <v>5439</v>
      </c>
      <c r="E28" s="4" t="s">
        <v>8</v>
      </c>
      <c r="F28" s="4" t="s">
        <v>7748</v>
      </c>
    </row>
    <row r="29">
      <c r="A29" s="4" t="s">
        <v>5</v>
      </c>
      <c r="B29" s="4" t="s">
        <v>17</v>
      </c>
      <c r="C29" s="4" t="s">
        <v>7747</v>
      </c>
      <c r="D29" s="4" t="s">
        <v>6236</v>
      </c>
      <c r="E29" s="4" t="s">
        <v>5</v>
      </c>
      <c r="F29" s="4" t="s">
        <v>7749</v>
      </c>
    </row>
    <row r="30">
      <c r="A30" s="4" t="s">
        <v>7742</v>
      </c>
      <c r="B30" s="4" t="s">
        <v>11</v>
      </c>
      <c r="C30" s="4" t="s">
        <v>7622</v>
      </c>
      <c r="D30" s="4" t="s">
        <v>7750</v>
      </c>
      <c r="E30" s="4" t="s">
        <v>11</v>
      </c>
      <c r="F30" s="4" t="s">
        <v>7751</v>
      </c>
    </row>
    <row r="31">
      <c r="A31" s="4" t="s">
        <v>6</v>
      </c>
      <c r="B31" s="4" t="s">
        <v>8</v>
      </c>
      <c r="C31" s="4" t="s">
        <v>7622</v>
      </c>
      <c r="D31" s="4" t="s">
        <v>7752</v>
      </c>
      <c r="E31" s="4" t="s">
        <v>6</v>
      </c>
      <c r="F31" s="4" t="s">
        <v>7753</v>
      </c>
    </row>
    <row r="32">
      <c r="A32" s="4" t="s">
        <v>11</v>
      </c>
      <c r="B32" s="4" t="s">
        <v>6</v>
      </c>
      <c r="C32" s="4" t="s">
        <v>7630</v>
      </c>
      <c r="D32" s="4" t="s">
        <v>5426</v>
      </c>
      <c r="E32" s="4" t="s">
        <v>11</v>
      </c>
      <c r="F32" s="4" t="s">
        <v>7751</v>
      </c>
    </row>
    <row r="33">
      <c r="A33" s="4" t="s">
        <v>8</v>
      </c>
      <c r="B33" s="4" t="s">
        <v>5</v>
      </c>
      <c r="C33" s="4" t="s">
        <v>7630</v>
      </c>
      <c r="D33" s="4" t="s">
        <v>7754</v>
      </c>
      <c r="E33" s="4" t="s">
        <v>8</v>
      </c>
      <c r="F33" s="4" t="s">
        <v>7755</v>
      </c>
    </row>
    <row r="34">
      <c r="A34" s="4" t="s">
        <v>5</v>
      </c>
      <c r="B34" s="4" t="s">
        <v>6</v>
      </c>
      <c r="C34" s="4" t="s">
        <v>7756</v>
      </c>
      <c r="D34" s="4" t="s">
        <v>7757</v>
      </c>
      <c r="E34" s="4" t="s">
        <v>5</v>
      </c>
      <c r="F34" s="4" t="s">
        <v>7758</v>
      </c>
    </row>
    <row r="35">
      <c r="A35" s="4" t="s">
        <v>8</v>
      </c>
      <c r="B35" s="4" t="s">
        <v>17</v>
      </c>
      <c r="C35" s="4" t="s">
        <v>7640</v>
      </c>
      <c r="D35" s="4" t="s">
        <v>7754</v>
      </c>
      <c r="E35" s="4" t="s">
        <v>17</v>
      </c>
      <c r="F35" s="4" t="s">
        <v>7759</v>
      </c>
    </row>
    <row r="36">
      <c r="A36" s="4" t="s">
        <v>11</v>
      </c>
      <c r="B36" s="4" t="s">
        <v>5</v>
      </c>
      <c r="C36" s="4" t="s">
        <v>7640</v>
      </c>
      <c r="D36" s="4" t="s">
        <v>5452</v>
      </c>
      <c r="E36" s="4" t="s">
        <v>5</v>
      </c>
      <c r="F36" s="4" t="s">
        <v>7758</v>
      </c>
    </row>
    <row r="37">
      <c r="A37" s="4" t="s">
        <v>6</v>
      </c>
      <c r="B37" s="4" t="s">
        <v>17</v>
      </c>
      <c r="C37" s="4" t="s">
        <v>7640</v>
      </c>
      <c r="D37" s="4" t="s">
        <v>7760</v>
      </c>
      <c r="E37" s="4" t="s">
        <v>6</v>
      </c>
      <c r="F37" s="4" t="s">
        <v>7761</v>
      </c>
    </row>
    <row r="38">
      <c r="A38" s="4" t="s">
        <v>7762</v>
      </c>
      <c r="B38" s="4" t="s">
        <v>11</v>
      </c>
      <c r="C38" s="4" t="s">
        <v>7643</v>
      </c>
      <c r="D38" s="4" t="s">
        <v>7754</v>
      </c>
      <c r="E38" s="4" t="s">
        <v>11</v>
      </c>
      <c r="F38" s="4" t="s">
        <v>7751</v>
      </c>
    </row>
    <row r="39">
      <c r="A39" s="4" t="s">
        <v>7742</v>
      </c>
      <c r="B39" s="4" t="s">
        <v>5</v>
      </c>
      <c r="C39" s="4" t="s">
        <v>7643</v>
      </c>
      <c r="D39" s="4" t="s">
        <v>7123</v>
      </c>
      <c r="E39" s="4" t="s">
        <v>5</v>
      </c>
      <c r="F39" s="4" t="s">
        <v>7749</v>
      </c>
    </row>
    <row r="40">
      <c r="A40" s="4" t="s">
        <v>11</v>
      </c>
      <c r="B40" s="4" t="s">
        <v>17</v>
      </c>
      <c r="C40" s="4" t="s">
        <v>7654</v>
      </c>
      <c r="D40" s="4" t="s">
        <v>5432</v>
      </c>
      <c r="E40" s="4" t="s">
        <v>11</v>
      </c>
      <c r="F40" s="4" t="s">
        <v>7763</v>
      </c>
    </row>
    <row r="41">
      <c r="A41" s="4" t="s">
        <v>8</v>
      </c>
      <c r="B41" s="4" t="s">
        <v>6</v>
      </c>
      <c r="C41" s="4" t="s">
        <v>7654</v>
      </c>
      <c r="D41" s="4" t="s">
        <v>7754</v>
      </c>
      <c r="E41" s="4" t="s">
        <v>8</v>
      </c>
      <c r="F41" s="4" t="s">
        <v>7764</v>
      </c>
    </row>
    <row r="42">
      <c r="A42" s="4" t="s">
        <v>6</v>
      </c>
      <c r="B42" s="4" t="s">
        <v>11</v>
      </c>
      <c r="C42" s="4" t="s">
        <v>7659</v>
      </c>
      <c r="D42" s="4" t="s">
        <v>7765</v>
      </c>
      <c r="E42" s="4" t="s">
        <v>6</v>
      </c>
      <c r="F42" s="4" t="s">
        <v>7766</v>
      </c>
    </row>
    <row r="43">
      <c r="A43" s="4" t="s">
        <v>5</v>
      </c>
      <c r="B43" s="4" t="s">
        <v>8</v>
      </c>
      <c r="C43" s="4" t="s">
        <v>7659</v>
      </c>
      <c r="D43" s="4" t="s">
        <v>6271</v>
      </c>
      <c r="E43" s="4" t="s">
        <v>8</v>
      </c>
      <c r="F43" s="4" t="s">
        <v>7767</v>
      </c>
    </row>
    <row r="44">
      <c r="A44" s="4" t="s">
        <v>7768</v>
      </c>
      <c r="C44" s="4" t="s">
        <v>7666</v>
      </c>
      <c r="D44" s="4" t="s">
        <v>5426</v>
      </c>
      <c r="E44" s="4" t="s">
        <v>5</v>
      </c>
      <c r="F44" s="4" t="s">
        <v>7758</v>
      </c>
    </row>
    <row r="45">
      <c r="A45" s="4" t="s">
        <v>7769</v>
      </c>
      <c r="C45" s="4" t="s">
        <v>7666</v>
      </c>
      <c r="D45" s="4" t="s">
        <v>7770</v>
      </c>
      <c r="E45" s="4" t="s">
        <v>8</v>
      </c>
      <c r="F45" s="4" t="s">
        <v>7755</v>
      </c>
    </row>
    <row r="46">
      <c r="A46" s="4" t="s">
        <v>7771</v>
      </c>
      <c r="C46" s="4" t="s">
        <v>7673</v>
      </c>
      <c r="D46" s="4" t="s">
        <v>6236</v>
      </c>
      <c r="E46" s="4" t="s">
        <v>5</v>
      </c>
      <c r="F46" s="4" t="s">
        <v>7758</v>
      </c>
    </row>
    <row r="47">
      <c r="A47" s="8"/>
      <c r="B47" s="8"/>
      <c r="C47" s="8"/>
      <c r="D47" s="8"/>
      <c r="E47" s="8"/>
      <c r="F47" s="8"/>
    </row>
    <row r="48">
      <c r="A48" s="8"/>
      <c r="B48" s="8"/>
      <c r="C48" s="8"/>
      <c r="D48" s="8"/>
      <c r="E48" s="8"/>
      <c r="F48" s="8"/>
    </row>
    <row r="49">
      <c r="A49" s="19" t="s">
        <v>7772</v>
      </c>
      <c r="E49" s="8"/>
      <c r="F49" s="8"/>
    </row>
    <row r="50">
      <c r="A50" s="251" t="s">
        <v>111</v>
      </c>
      <c r="B50" s="251" t="s">
        <v>112</v>
      </c>
      <c r="C50" s="251" t="s">
        <v>114</v>
      </c>
      <c r="D50" s="251" t="s">
        <v>4406</v>
      </c>
      <c r="E50" s="8"/>
      <c r="F50" s="8"/>
    </row>
    <row r="51">
      <c r="A51" s="4" t="s">
        <v>272</v>
      </c>
      <c r="B51" s="4" t="s">
        <v>273</v>
      </c>
      <c r="D51" s="4">
        <v>100000.0</v>
      </c>
      <c r="E51" s="8"/>
      <c r="F51" s="8"/>
    </row>
    <row r="52">
      <c r="A52" s="4" t="s">
        <v>212</v>
      </c>
      <c r="B52" s="4" t="s">
        <v>212</v>
      </c>
      <c r="D52" s="4">
        <v>50000.0</v>
      </c>
      <c r="E52" s="8"/>
      <c r="F52" s="8"/>
    </row>
    <row r="53">
      <c r="A53" s="4" t="s">
        <v>180</v>
      </c>
      <c r="B53" s="4" t="s">
        <v>274</v>
      </c>
      <c r="C53" s="4" t="s">
        <v>5</v>
      </c>
      <c r="D53" s="4">
        <v>30000.0</v>
      </c>
      <c r="E53" s="8"/>
      <c r="F53" s="8"/>
    </row>
    <row r="54">
      <c r="A54" s="4" t="s">
        <v>128</v>
      </c>
      <c r="B54" s="4" t="s">
        <v>275</v>
      </c>
      <c r="C54" s="4" t="s">
        <v>5</v>
      </c>
      <c r="D54" s="4">
        <v>30000.0</v>
      </c>
      <c r="E54" s="8"/>
      <c r="F54" s="8"/>
    </row>
    <row r="55">
      <c r="A55" s="4" t="s">
        <v>135</v>
      </c>
      <c r="B55" s="4" t="s">
        <v>276</v>
      </c>
      <c r="C55" s="4" t="s">
        <v>6</v>
      </c>
      <c r="D55" s="4">
        <v>30000.0</v>
      </c>
      <c r="E55" s="8"/>
      <c r="F55" s="8"/>
    </row>
    <row r="56">
      <c r="A56" s="4" t="s">
        <v>140</v>
      </c>
      <c r="B56" s="4" t="s">
        <v>275</v>
      </c>
      <c r="C56" s="4" t="s">
        <v>5</v>
      </c>
      <c r="D56" s="4">
        <v>50000.0</v>
      </c>
    </row>
    <row r="57">
      <c r="A57" s="4" t="s">
        <v>145</v>
      </c>
      <c r="B57" s="4" t="s">
        <v>8</v>
      </c>
      <c r="D57" s="4">
        <v>100000.0</v>
      </c>
    </row>
    <row r="58">
      <c r="A58" s="4" t="s">
        <v>148</v>
      </c>
      <c r="B58" s="4" t="s">
        <v>5</v>
      </c>
      <c r="D58" s="4">
        <v>200000.0</v>
      </c>
    </row>
  </sheetData>
  <mergeCells count="10">
    <mergeCell ref="B52:C52"/>
    <mergeCell ref="B57:C57"/>
    <mergeCell ref="B58:C58"/>
    <mergeCell ref="A1:E1"/>
    <mergeCell ref="A22:F22"/>
    <mergeCell ref="A44:B44"/>
    <mergeCell ref="A45:B45"/>
    <mergeCell ref="A46:B46"/>
    <mergeCell ref="A49:D49"/>
    <mergeCell ref="B51:C51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3" max="3" width="16.88"/>
    <col customWidth="1" min="5" max="5" width="16.75"/>
    <col customWidth="1" min="6" max="6" width="28.13"/>
    <col customWidth="1" min="7" max="7" width="25.75"/>
    <col customWidth="1" min="8" max="8" width="24.13"/>
  </cols>
  <sheetData>
    <row r="1">
      <c r="A1" s="416" t="s">
        <v>7773</v>
      </c>
    </row>
    <row r="2">
      <c r="A2" s="31" t="s">
        <v>4308</v>
      </c>
    </row>
    <row r="3">
      <c r="A3" s="31" t="s">
        <v>7774</v>
      </c>
    </row>
    <row r="4">
      <c r="A4" s="31" t="s">
        <v>315</v>
      </c>
    </row>
    <row r="5">
      <c r="A5" s="31" t="s">
        <v>7775</v>
      </c>
    </row>
    <row r="6">
      <c r="A6" s="31" t="s">
        <v>4316</v>
      </c>
    </row>
    <row r="7">
      <c r="A7" s="31" t="s">
        <v>7776</v>
      </c>
    </row>
    <row r="9">
      <c r="A9" s="149" t="s">
        <v>7777</v>
      </c>
    </row>
    <row r="10">
      <c r="A10" s="379" t="s">
        <v>4319</v>
      </c>
      <c r="B10" s="379" t="s">
        <v>4702</v>
      </c>
      <c r="C10" s="256" t="s">
        <v>4703</v>
      </c>
      <c r="D10" s="379" t="s">
        <v>4320</v>
      </c>
      <c r="E10" s="379" t="s">
        <v>436</v>
      </c>
      <c r="F10" s="379" t="s">
        <v>4704</v>
      </c>
      <c r="G10" s="379" t="s">
        <v>135</v>
      </c>
      <c r="H10" s="379" t="s">
        <v>128</v>
      </c>
    </row>
    <row r="11">
      <c r="A11" s="4" t="s">
        <v>7778</v>
      </c>
      <c r="B11" s="4" t="s">
        <v>7779</v>
      </c>
      <c r="C11" s="4" t="s">
        <v>7780</v>
      </c>
      <c r="D11" s="4" t="s">
        <v>16</v>
      </c>
      <c r="E11" s="4" t="s">
        <v>173</v>
      </c>
      <c r="F11" s="4" t="s">
        <v>7781</v>
      </c>
      <c r="G11" s="4" t="s">
        <v>7782</v>
      </c>
      <c r="H11" s="4" t="s">
        <v>7781</v>
      </c>
    </row>
    <row r="12">
      <c r="A12" s="4" t="s">
        <v>7783</v>
      </c>
      <c r="B12" s="4" t="s">
        <v>7779</v>
      </c>
      <c r="C12" s="4" t="s">
        <v>7744</v>
      </c>
      <c r="D12" s="4" t="s">
        <v>15</v>
      </c>
      <c r="E12" s="4" t="s">
        <v>175</v>
      </c>
      <c r="F12" s="4" t="s">
        <v>7784</v>
      </c>
      <c r="G12" s="4" t="s">
        <v>7785</v>
      </c>
      <c r="H12" s="4" t="s">
        <v>7784</v>
      </c>
    </row>
    <row r="13">
      <c r="A13" s="4" t="s">
        <v>4351</v>
      </c>
      <c r="B13" s="4" t="s">
        <v>7779</v>
      </c>
      <c r="C13" s="4" t="s">
        <v>7757</v>
      </c>
      <c r="D13" s="4" t="s">
        <v>12</v>
      </c>
      <c r="E13" s="4" t="s">
        <v>292</v>
      </c>
      <c r="F13" s="4" t="s">
        <v>7786</v>
      </c>
      <c r="G13" s="4" t="s">
        <v>7787</v>
      </c>
      <c r="H13" s="4" t="s">
        <v>7786</v>
      </c>
    </row>
    <row r="14">
      <c r="A14" s="4" t="s">
        <v>7788</v>
      </c>
      <c r="B14" s="4" t="s">
        <v>7789</v>
      </c>
      <c r="C14" s="4" t="s">
        <v>7790</v>
      </c>
      <c r="D14" s="4" t="s">
        <v>5</v>
      </c>
      <c r="E14" s="4" t="s">
        <v>173</v>
      </c>
      <c r="F14" s="4" t="s">
        <v>7791</v>
      </c>
      <c r="G14" s="4" t="s">
        <v>7792</v>
      </c>
      <c r="H14" s="4" t="s">
        <v>7793</v>
      </c>
    </row>
    <row r="15">
      <c r="A15" s="4" t="s">
        <v>4330</v>
      </c>
      <c r="B15" s="4" t="s">
        <v>7789</v>
      </c>
      <c r="C15" s="4" t="s">
        <v>6271</v>
      </c>
      <c r="D15" s="4" t="s">
        <v>7</v>
      </c>
      <c r="E15" s="4" t="s">
        <v>1500</v>
      </c>
      <c r="F15" s="4" t="s">
        <v>7794</v>
      </c>
      <c r="G15" s="4" t="s">
        <v>7795</v>
      </c>
      <c r="H15" s="4" t="s">
        <v>7794</v>
      </c>
    </row>
    <row r="16">
      <c r="A16" s="4" t="s">
        <v>7796</v>
      </c>
      <c r="B16" s="4" t="s">
        <v>7789</v>
      </c>
      <c r="C16" s="4" t="s">
        <v>7797</v>
      </c>
      <c r="D16" s="4" t="s">
        <v>11</v>
      </c>
      <c r="E16" s="4" t="s">
        <v>141</v>
      </c>
      <c r="F16" s="4" t="s">
        <v>7798</v>
      </c>
      <c r="G16" s="4" t="s">
        <v>7799</v>
      </c>
      <c r="H16" s="4" t="s">
        <v>7781</v>
      </c>
    </row>
    <row r="17">
      <c r="A17" s="4" t="s">
        <v>7800</v>
      </c>
      <c r="B17" s="4" t="s">
        <v>7801</v>
      </c>
      <c r="C17" s="4" t="s">
        <v>7802</v>
      </c>
      <c r="D17" s="4" t="s">
        <v>5</v>
      </c>
      <c r="E17" s="4" t="s">
        <v>1500</v>
      </c>
      <c r="F17" s="4" t="s">
        <v>7782</v>
      </c>
      <c r="G17" s="4" t="s">
        <v>7782</v>
      </c>
      <c r="H17" s="4" t="s">
        <v>7745</v>
      </c>
    </row>
    <row r="18">
      <c r="A18" s="4" t="s">
        <v>7803</v>
      </c>
      <c r="B18" s="4" t="s">
        <v>7801</v>
      </c>
      <c r="C18" s="4" t="s">
        <v>7744</v>
      </c>
      <c r="D18" s="4" t="s">
        <v>7</v>
      </c>
      <c r="E18" s="4" t="s">
        <v>173</v>
      </c>
      <c r="F18" s="4" t="s">
        <v>7794</v>
      </c>
      <c r="G18" s="4" t="s">
        <v>7804</v>
      </c>
      <c r="H18" s="4" t="s">
        <v>7794</v>
      </c>
    </row>
    <row r="19">
      <c r="A19" s="4" t="s">
        <v>7805</v>
      </c>
      <c r="B19" s="4" t="s">
        <v>7801</v>
      </c>
      <c r="C19" s="4" t="s">
        <v>7806</v>
      </c>
      <c r="D19" s="4" t="s">
        <v>12</v>
      </c>
      <c r="E19" s="4" t="s">
        <v>169</v>
      </c>
      <c r="F19" s="4" t="s">
        <v>7792</v>
      </c>
      <c r="G19" s="4" t="s">
        <v>7792</v>
      </c>
      <c r="H19" s="4" t="s">
        <v>7807</v>
      </c>
    </row>
    <row r="20">
      <c r="A20" s="4" t="s">
        <v>7808</v>
      </c>
      <c r="B20" s="4" t="s">
        <v>7809</v>
      </c>
      <c r="C20" s="4" t="s">
        <v>7757</v>
      </c>
      <c r="D20" s="4" t="s">
        <v>5</v>
      </c>
      <c r="E20" s="4" t="s">
        <v>6306</v>
      </c>
      <c r="F20" s="4" t="s">
        <v>7810</v>
      </c>
      <c r="G20" s="4" t="s">
        <v>7785</v>
      </c>
      <c r="H20" s="4" t="s">
        <v>7810</v>
      </c>
    </row>
    <row r="21">
      <c r="A21" s="4" t="s">
        <v>4327</v>
      </c>
      <c r="B21" s="4" t="s">
        <v>7809</v>
      </c>
      <c r="C21" s="4" t="s">
        <v>7780</v>
      </c>
      <c r="D21" s="4" t="s">
        <v>7</v>
      </c>
      <c r="E21" s="4" t="s">
        <v>7811</v>
      </c>
      <c r="F21" s="4" t="s">
        <v>7812</v>
      </c>
      <c r="G21" s="4" t="s">
        <v>7799</v>
      </c>
      <c r="H21" s="4" t="s">
        <v>7787</v>
      </c>
    </row>
    <row r="22">
      <c r="A22" s="4" t="s">
        <v>7813</v>
      </c>
      <c r="B22" s="4" t="s">
        <v>7809</v>
      </c>
      <c r="C22" s="4" t="s">
        <v>7790</v>
      </c>
      <c r="D22" s="4" t="s">
        <v>12</v>
      </c>
      <c r="E22" s="4" t="s">
        <v>173</v>
      </c>
      <c r="F22" s="4" t="s">
        <v>7814</v>
      </c>
      <c r="G22" s="4" t="s">
        <v>7815</v>
      </c>
      <c r="H22" s="4" t="s">
        <v>7816</v>
      </c>
    </row>
    <row r="23">
      <c r="A23" s="4" t="s">
        <v>7817</v>
      </c>
      <c r="B23" s="4" t="s">
        <v>7818</v>
      </c>
      <c r="C23" s="4" t="s">
        <v>6271</v>
      </c>
      <c r="D23" s="4" t="s">
        <v>5</v>
      </c>
      <c r="E23" s="4" t="s">
        <v>1500</v>
      </c>
      <c r="F23" s="4" t="s">
        <v>7782</v>
      </c>
      <c r="G23" s="4" t="s">
        <v>7782</v>
      </c>
      <c r="H23" s="4" t="s">
        <v>7819</v>
      </c>
    </row>
    <row r="24">
      <c r="A24" s="4" t="s">
        <v>7820</v>
      </c>
      <c r="B24" s="4" t="s">
        <v>7818</v>
      </c>
      <c r="C24" s="4" t="s">
        <v>7802</v>
      </c>
      <c r="D24" s="4" t="s">
        <v>16</v>
      </c>
      <c r="E24" s="4" t="s">
        <v>173</v>
      </c>
      <c r="F24" s="4" t="s">
        <v>7821</v>
      </c>
      <c r="G24" s="4" t="s">
        <v>7822</v>
      </c>
      <c r="H24" s="4" t="s">
        <v>7823</v>
      </c>
    </row>
    <row r="25">
      <c r="A25" s="4" t="s">
        <v>7824</v>
      </c>
      <c r="B25" s="4" t="s">
        <v>7818</v>
      </c>
      <c r="C25" s="4" t="s">
        <v>7744</v>
      </c>
      <c r="D25" s="4" t="s">
        <v>11</v>
      </c>
      <c r="E25" s="4" t="s">
        <v>4889</v>
      </c>
      <c r="F25" s="4" t="s">
        <v>7825</v>
      </c>
      <c r="G25" s="4" t="s">
        <v>7792</v>
      </c>
      <c r="H25" s="4" t="s">
        <v>7826</v>
      </c>
    </row>
    <row r="26">
      <c r="A26" s="4" t="s">
        <v>7827</v>
      </c>
      <c r="B26" s="4" t="s">
        <v>7828</v>
      </c>
      <c r="C26" s="4" t="s">
        <v>7790</v>
      </c>
      <c r="D26" s="4" t="s">
        <v>5</v>
      </c>
      <c r="E26" s="4" t="s">
        <v>4889</v>
      </c>
      <c r="F26" s="4" t="s">
        <v>7791</v>
      </c>
      <c r="G26" s="4" t="s">
        <v>7829</v>
      </c>
      <c r="H26" s="4" t="s">
        <v>7791</v>
      </c>
    </row>
    <row r="27">
      <c r="A27" s="4" t="s">
        <v>7830</v>
      </c>
      <c r="B27" s="4" t="s">
        <v>7828</v>
      </c>
      <c r="C27" s="4" t="s">
        <v>7806</v>
      </c>
      <c r="D27" s="4" t="s">
        <v>12</v>
      </c>
      <c r="E27" s="4" t="s">
        <v>4393</v>
      </c>
      <c r="F27" s="4" t="s">
        <v>7792</v>
      </c>
      <c r="G27" s="4" t="s">
        <v>7792</v>
      </c>
      <c r="H27" s="4" t="s">
        <v>7831</v>
      </c>
    </row>
    <row r="28">
      <c r="A28" s="4" t="s">
        <v>7832</v>
      </c>
      <c r="B28" s="4" t="s">
        <v>7833</v>
      </c>
      <c r="C28" s="4" t="s">
        <v>7780</v>
      </c>
      <c r="D28" s="4" t="s">
        <v>12</v>
      </c>
      <c r="E28" s="4" t="s">
        <v>5147</v>
      </c>
      <c r="F28" s="4" t="s">
        <v>7793</v>
      </c>
      <c r="G28" s="4" t="s">
        <v>7786</v>
      </c>
      <c r="H28" s="4" t="s">
        <v>7810</v>
      </c>
    </row>
    <row r="32">
      <c r="A32" s="375" t="s">
        <v>7834</v>
      </c>
      <c r="E32" s="8"/>
    </row>
    <row r="33">
      <c r="A33" s="251" t="s">
        <v>111</v>
      </c>
      <c r="B33" s="251" t="s">
        <v>112</v>
      </c>
      <c r="C33" s="251" t="s">
        <v>4405</v>
      </c>
      <c r="D33" s="251" t="s">
        <v>7835</v>
      </c>
      <c r="E33" s="251" t="s">
        <v>4406</v>
      </c>
    </row>
    <row r="34">
      <c r="A34" s="4" t="s">
        <v>7836</v>
      </c>
      <c r="B34" s="4" t="s">
        <v>7837</v>
      </c>
      <c r="E34" s="4">
        <v>60000.0</v>
      </c>
    </row>
    <row r="35">
      <c r="A35" s="4" t="s">
        <v>229</v>
      </c>
      <c r="B35" s="4" t="s">
        <v>16</v>
      </c>
      <c r="D35" s="4" t="s">
        <v>7838</v>
      </c>
      <c r="E35" s="4">
        <v>40000.0</v>
      </c>
    </row>
    <row r="36">
      <c r="A36" s="4" t="s">
        <v>232</v>
      </c>
      <c r="B36" s="4" t="s">
        <v>233</v>
      </c>
      <c r="C36" s="4" t="s">
        <v>12</v>
      </c>
      <c r="D36" s="4" t="s">
        <v>7838</v>
      </c>
      <c r="E36" s="4">
        <v>15000.0</v>
      </c>
    </row>
    <row r="37">
      <c r="A37" s="4" t="s">
        <v>117</v>
      </c>
      <c r="B37" s="4" t="s">
        <v>236</v>
      </c>
      <c r="C37" s="4" t="s">
        <v>16</v>
      </c>
      <c r="D37" s="4" t="s">
        <v>7838</v>
      </c>
      <c r="E37" s="4">
        <v>15000.0</v>
      </c>
    </row>
    <row r="38">
      <c r="A38" s="4" t="s">
        <v>238</v>
      </c>
      <c r="B38" s="4" t="s">
        <v>239</v>
      </c>
      <c r="C38" s="4" t="s">
        <v>12</v>
      </c>
      <c r="D38" s="4" t="s">
        <v>7839</v>
      </c>
      <c r="E38" s="4">
        <v>25000.0</v>
      </c>
    </row>
    <row r="39">
      <c r="A39" s="4" t="s">
        <v>240</v>
      </c>
      <c r="B39" s="4" t="s">
        <v>241</v>
      </c>
      <c r="C39" s="4" t="s">
        <v>12</v>
      </c>
      <c r="D39" s="4" t="s">
        <v>7840</v>
      </c>
      <c r="E39" s="4">
        <v>25000.0</v>
      </c>
    </row>
    <row r="40">
      <c r="A40" s="4" t="s">
        <v>243</v>
      </c>
      <c r="B40" s="4" t="s">
        <v>241</v>
      </c>
      <c r="C40" s="4" t="s">
        <v>12</v>
      </c>
      <c r="D40" s="4" t="s">
        <v>7840</v>
      </c>
      <c r="E40" s="4">
        <v>50000.0</v>
      </c>
    </row>
    <row r="41">
      <c r="A41" s="4" t="s">
        <v>145</v>
      </c>
      <c r="C41" s="4" t="s">
        <v>5</v>
      </c>
      <c r="D41" s="4" t="s">
        <v>7838</v>
      </c>
      <c r="E41" s="4">
        <v>150000.0</v>
      </c>
    </row>
    <row r="42">
      <c r="A42" s="4" t="s">
        <v>148</v>
      </c>
      <c r="C42" s="4" t="s">
        <v>12</v>
      </c>
      <c r="D42" s="4" t="s">
        <v>7838</v>
      </c>
      <c r="E42" s="4">
        <v>300000.0</v>
      </c>
    </row>
    <row r="44">
      <c r="A44" s="375" t="s">
        <v>7841</v>
      </c>
    </row>
    <row r="45">
      <c r="A45" s="251" t="s">
        <v>456</v>
      </c>
      <c r="B45" s="251" t="s">
        <v>4405</v>
      </c>
      <c r="C45" s="251" t="s">
        <v>4406</v>
      </c>
    </row>
    <row r="46">
      <c r="A46" s="75" t="s">
        <v>7842</v>
      </c>
      <c r="B46" s="4" t="s">
        <v>12</v>
      </c>
      <c r="C46" s="4">
        <v>6000.0</v>
      </c>
    </row>
    <row r="47">
      <c r="A47" s="75" t="s">
        <v>2992</v>
      </c>
      <c r="B47" s="4" t="s">
        <v>12</v>
      </c>
      <c r="C47" s="4">
        <v>5400.0</v>
      </c>
    </row>
    <row r="48">
      <c r="A48" s="75" t="s">
        <v>640</v>
      </c>
      <c r="B48" s="4" t="s">
        <v>5</v>
      </c>
      <c r="C48" s="4">
        <v>5400.0</v>
      </c>
    </row>
    <row r="49">
      <c r="A49" s="75" t="s">
        <v>1686</v>
      </c>
      <c r="B49" s="4" t="s">
        <v>7</v>
      </c>
      <c r="C49" s="4">
        <v>5400.0</v>
      </c>
    </row>
    <row r="50">
      <c r="A50" s="75" t="s">
        <v>7843</v>
      </c>
      <c r="B50" s="4" t="s">
        <v>5</v>
      </c>
      <c r="C50" s="4">
        <v>5400.0</v>
      </c>
    </row>
    <row r="51">
      <c r="A51" s="75" t="s">
        <v>7844</v>
      </c>
      <c r="B51" s="4" t="s">
        <v>12</v>
      </c>
      <c r="C51" s="4">
        <v>5400.0</v>
      </c>
    </row>
    <row r="52">
      <c r="A52" s="75" t="s">
        <v>7845</v>
      </c>
      <c r="B52" s="4" t="s">
        <v>5</v>
      </c>
      <c r="C52" s="4">
        <v>5400.0</v>
      </c>
    </row>
    <row r="53">
      <c r="A53" s="75" t="s">
        <v>4486</v>
      </c>
      <c r="B53" s="4" t="s">
        <v>12</v>
      </c>
      <c r="C53" s="4">
        <v>5400.0</v>
      </c>
    </row>
    <row r="54">
      <c r="A54" s="75" t="s">
        <v>7846</v>
      </c>
      <c r="B54" s="4" t="s">
        <v>7</v>
      </c>
      <c r="C54" s="4">
        <v>5400.0</v>
      </c>
    </row>
    <row r="55">
      <c r="A55" s="75" t="s">
        <v>7847</v>
      </c>
      <c r="B55" s="4" t="s">
        <v>16</v>
      </c>
      <c r="C55" s="4">
        <v>5400.0</v>
      </c>
    </row>
    <row r="56">
      <c r="A56" s="75" t="s">
        <v>7848</v>
      </c>
      <c r="B56" s="4" t="s">
        <v>16</v>
      </c>
      <c r="C56" s="4">
        <v>5400.0</v>
      </c>
    </row>
    <row r="57">
      <c r="A57" s="105"/>
      <c r="B57" s="8"/>
      <c r="C57" s="8"/>
    </row>
    <row r="58">
      <c r="A58" s="105"/>
      <c r="B58" s="8"/>
      <c r="C58" s="8"/>
    </row>
    <row r="59">
      <c r="A59" s="105"/>
      <c r="B59" s="8"/>
      <c r="C59" s="8"/>
    </row>
    <row r="60">
      <c r="A60" s="105"/>
      <c r="B60" s="8"/>
      <c r="C60" s="8"/>
    </row>
    <row r="61">
      <c r="A61" s="105"/>
      <c r="B61" s="8"/>
      <c r="C61" s="8"/>
    </row>
    <row r="62">
      <c r="A62" s="105"/>
      <c r="B62" s="8"/>
      <c r="C62" s="8"/>
    </row>
    <row r="63">
      <c r="A63" s="105"/>
      <c r="B63" s="8"/>
      <c r="C63" s="8"/>
    </row>
    <row r="64">
      <c r="A64" s="105"/>
      <c r="B64" s="8"/>
      <c r="C64" s="8"/>
    </row>
    <row r="65">
      <c r="B65" s="8"/>
      <c r="C65" s="8"/>
    </row>
    <row r="66">
      <c r="B66" s="8"/>
      <c r="C66" s="8"/>
    </row>
  </sheetData>
  <mergeCells count="7">
    <mergeCell ref="A9:H9"/>
    <mergeCell ref="A32:D32"/>
    <mergeCell ref="B34:D34"/>
    <mergeCell ref="B35:C35"/>
    <mergeCell ref="A41:B41"/>
    <mergeCell ref="A42:B42"/>
    <mergeCell ref="A44:C44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4" max="4" width="18.13"/>
    <col customWidth="1" min="5" max="5" width="18.88"/>
    <col customWidth="1" min="6" max="6" width="23.25"/>
    <col customWidth="1" min="7" max="7" width="24.13"/>
    <col customWidth="1" min="8" max="8" width="24.88"/>
  </cols>
  <sheetData>
    <row r="1">
      <c r="A1" s="416" t="s">
        <v>7773</v>
      </c>
    </row>
    <row r="2">
      <c r="A2" s="31" t="s">
        <v>4309</v>
      </c>
    </row>
    <row r="3">
      <c r="A3" s="31" t="s">
        <v>7849</v>
      </c>
    </row>
    <row r="4">
      <c r="A4" s="31" t="s">
        <v>7850</v>
      </c>
    </row>
    <row r="5">
      <c r="A5" s="31" t="s">
        <v>7851</v>
      </c>
    </row>
    <row r="7">
      <c r="A7" s="149" t="s">
        <v>7777</v>
      </c>
    </row>
    <row r="8">
      <c r="A8" s="379" t="s">
        <v>4319</v>
      </c>
      <c r="B8" s="379" t="s">
        <v>4702</v>
      </c>
      <c r="C8" s="256" t="s">
        <v>4703</v>
      </c>
      <c r="D8" s="379" t="s">
        <v>4320</v>
      </c>
      <c r="E8" s="379" t="s">
        <v>436</v>
      </c>
      <c r="F8" s="379" t="s">
        <v>4704</v>
      </c>
      <c r="G8" s="379" t="s">
        <v>135</v>
      </c>
      <c r="H8" s="379" t="s">
        <v>128</v>
      </c>
    </row>
    <row r="9">
      <c r="A9" s="4" t="s">
        <v>7852</v>
      </c>
      <c r="B9" s="4" t="s">
        <v>7779</v>
      </c>
      <c r="C9" s="4" t="s">
        <v>7555</v>
      </c>
      <c r="D9" s="4" t="s">
        <v>6</v>
      </c>
      <c r="E9" s="4" t="s">
        <v>4402</v>
      </c>
      <c r="F9" s="4" t="s">
        <v>7853</v>
      </c>
      <c r="G9" s="4" t="s">
        <v>7854</v>
      </c>
      <c r="H9" s="4" t="s">
        <v>7853</v>
      </c>
    </row>
    <row r="10">
      <c r="A10" s="4" t="s">
        <v>7855</v>
      </c>
      <c r="B10" s="4" t="s">
        <v>7779</v>
      </c>
      <c r="C10" s="4" t="s">
        <v>7565</v>
      </c>
      <c r="D10" s="4" t="s">
        <v>13</v>
      </c>
      <c r="E10" s="4" t="s">
        <v>5147</v>
      </c>
      <c r="F10" s="4" t="s">
        <v>7856</v>
      </c>
      <c r="G10" s="4" t="s">
        <v>7857</v>
      </c>
      <c r="H10" s="4" t="s">
        <v>7856</v>
      </c>
    </row>
    <row r="11">
      <c r="A11" s="4" t="s">
        <v>7858</v>
      </c>
      <c r="B11" s="4" t="s">
        <v>7789</v>
      </c>
      <c r="C11" s="4" t="s">
        <v>7561</v>
      </c>
      <c r="D11" s="4" t="s">
        <v>9</v>
      </c>
      <c r="E11" s="4" t="s">
        <v>7859</v>
      </c>
      <c r="F11" s="4" t="s">
        <v>7860</v>
      </c>
      <c r="G11" s="4" t="s">
        <v>7861</v>
      </c>
      <c r="H11" s="4" t="s">
        <v>7860</v>
      </c>
    </row>
    <row r="12">
      <c r="A12" s="4" t="s">
        <v>7862</v>
      </c>
      <c r="B12" s="4" t="s">
        <v>7789</v>
      </c>
      <c r="C12" s="4" t="s">
        <v>7565</v>
      </c>
      <c r="D12" s="4" t="s">
        <v>8</v>
      </c>
      <c r="E12" s="4" t="s">
        <v>5147</v>
      </c>
      <c r="F12" s="4" t="s">
        <v>7767</v>
      </c>
      <c r="G12" s="4" t="s">
        <v>7856</v>
      </c>
      <c r="H12" s="4" t="s">
        <v>7863</v>
      </c>
    </row>
    <row r="13">
      <c r="A13" s="4" t="s">
        <v>7864</v>
      </c>
      <c r="B13" s="4" t="s">
        <v>7801</v>
      </c>
      <c r="C13" s="4" t="s">
        <v>7561</v>
      </c>
      <c r="D13" s="4" t="s">
        <v>8</v>
      </c>
      <c r="E13" s="4" t="s">
        <v>4402</v>
      </c>
      <c r="F13" s="4" t="s">
        <v>7767</v>
      </c>
      <c r="G13" s="4" t="s">
        <v>7767</v>
      </c>
      <c r="H13" s="4" t="s">
        <v>7767</v>
      </c>
    </row>
    <row r="14">
      <c r="A14" s="4" t="s">
        <v>7865</v>
      </c>
      <c r="B14" s="4" t="s">
        <v>7801</v>
      </c>
      <c r="C14" s="4" t="s">
        <v>7555</v>
      </c>
      <c r="D14" s="4" t="s">
        <v>6</v>
      </c>
      <c r="E14" s="4" t="s">
        <v>5147</v>
      </c>
      <c r="F14" s="4" t="s">
        <v>7853</v>
      </c>
      <c r="G14" s="4" t="s">
        <v>7861</v>
      </c>
      <c r="H14" s="4" t="s">
        <v>7853</v>
      </c>
    </row>
    <row r="15">
      <c r="A15" s="4" t="s">
        <v>7866</v>
      </c>
      <c r="B15" s="4" t="s">
        <v>7809</v>
      </c>
      <c r="C15" s="4" t="s">
        <v>7565</v>
      </c>
      <c r="D15" s="4" t="s">
        <v>13</v>
      </c>
      <c r="E15" s="4" t="s">
        <v>5147</v>
      </c>
      <c r="F15" s="4" t="s">
        <v>7867</v>
      </c>
      <c r="G15" s="4" t="s">
        <v>7867</v>
      </c>
      <c r="H15" s="4" t="s">
        <v>7868</v>
      </c>
    </row>
    <row r="16">
      <c r="A16" s="4" t="s">
        <v>7869</v>
      </c>
      <c r="B16" s="4" t="s">
        <v>7809</v>
      </c>
      <c r="C16" s="4" t="s">
        <v>7561</v>
      </c>
      <c r="D16" s="4" t="s">
        <v>6</v>
      </c>
      <c r="E16" s="4" t="s">
        <v>4402</v>
      </c>
      <c r="F16" s="4" t="s">
        <v>7853</v>
      </c>
      <c r="G16" s="4" t="s">
        <v>7767</v>
      </c>
      <c r="H16" s="4" t="s">
        <v>7853</v>
      </c>
    </row>
    <row r="17">
      <c r="A17" s="4" t="s">
        <v>7870</v>
      </c>
      <c r="B17" s="4" t="s">
        <v>7818</v>
      </c>
      <c r="C17" s="4" t="s">
        <v>7561</v>
      </c>
      <c r="D17" s="4" t="s">
        <v>8</v>
      </c>
      <c r="E17" s="4" t="s">
        <v>4402</v>
      </c>
      <c r="F17" s="4" t="s">
        <v>7863</v>
      </c>
      <c r="G17" s="4" t="s">
        <v>7863</v>
      </c>
      <c r="H17" s="4" t="s">
        <v>7868</v>
      </c>
    </row>
    <row r="18">
      <c r="A18" s="4" t="s">
        <v>4377</v>
      </c>
      <c r="B18" s="4" t="s">
        <v>7818</v>
      </c>
      <c r="C18" s="4" t="s">
        <v>7565</v>
      </c>
      <c r="D18" s="4" t="s">
        <v>13</v>
      </c>
      <c r="E18" s="4" t="s">
        <v>5147</v>
      </c>
      <c r="F18" s="4" t="s">
        <v>7871</v>
      </c>
      <c r="G18" s="4" t="s">
        <v>7872</v>
      </c>
      <c r="H18" s="4" t="s">
        <v>7873</v>
      </c>
    </row>
    <row r="19">
      <c r="A19" s="4" t="s">
        <v>7858</v>
      </c>
      <c r="B19" s="4" t="s">
        <v>7828</v>
      </c>
      <c r="C19" s="4" t="s">
        <v>7555</v>
      </c>
      <c r="D19" s="4" t="s">
        <v>6</v>
      </c>
      <c r="E19" s="4" t="s">
        <v>4402</v>
      </c>
      <c r="F19" s="4" t="s">
        <v>7853</v>
      </c>
      <c r="G19" s="4" t="s">
        <v>7874</v>
      </c>
      <c r="H19" s="4" t="s">
        <v>7853</v>
      </c>
      <c r="I19" s="8"/>
    </row>
    <row r="20">
      <c r="A20" s="4" t="s">
        <v>7875</v>
      </c>
      <c r="B20" s="4" t="s">
        <v>7828</v>
      </c>
      <c r="C20" s="4" t="s">
        <v>7561</v>
      </c>
      <c r="D20" s="4" t="s">
        <v>8</v>
      </c>
      <c r="E20" s="4" t="s">
        <v>7876</v>
      </c>
      <c r="F20" s="4" t="s">
        <v>7767</v>
      </c>
      <c r="G20" s="4" t="s">
        <v>7767</v>
      </c>
      <c r="H20" s="4" t="s">
        <v>7877</v>
      </c>
    </row>
    <row r="21">
      <c r="A21" s="4" t="s">
        <v>7878</v>
      </c>
      <c r="B21" s="4" t="s">
        <v>7833</v>
      </c>
      <c r="C21" s="4" t="s">
        <v>7555</v>
      </c>
      <c r="D21" s="4" t="s">
        <v>6</v>
      </c>
      <c r="E21" s="4" t="s">
        <v>4402</v>
      </c>
      <c r="F21" s="4" t="s">
        <v>7879</v>
      </c>
      <c r="G21" s="4" t="s">
        <v>7863</v>
      </c>
      <c r="H21" s="4" t="s">
        <v>7879</v>
      </c>
    </row>
    <row r="23">
      <c r="A23" s="375" t="s">
        <v>7880</v>
      </c>
    </row>
    <row r="24">
      <c r="A24" s="251" t="s">
        <v>111</v>
      </c>
      <c r="B24" s="251" t="s">
        <v>112</v>
      </c>
      <c r="C24" s="251" t="s">
        <v>4405</v>
      </c>
      <c r="D24" s="251" t="s">
        <v>7835</v>
      </c>
      <c r="E24" s="251" t="s">
        <v>4406</v>
      </c>
    </row>
    <row r="25">
      <c r="A25" s="4" t="s">
        <v>7836</v>
      </c>
      <c r="B25" s="4" t="s">
        <v>7837</v>
      </c>
      <c r="E25" s="4">
        <v>60000.0</v>
      </c>
    </row>
    <row r="26">
      <c r="A26" s="4" t="s">
        <v>229</v>
      </c>
      <c r="B26" s="4" t="s">
        <v>13</v>
      </c>
      <c r="D26" s="4" t="s">
        <v>7838</v>
      </c>
      <c r="E26" s="4">
        <v>40000.0</v>
      </c>
    </row>
    <row r="27">
      <c r="A27" s="4" t="s">
        <v>232</v>
      </c>
      <c r="B27" s="4" t="s">
        <v>158</v>
      </c>
      <c r="C27" s="4" t="s">
        <v>6</v>
      </c>
      <c r="D27" s="4" t="s">
        <v>7838</v>
      </c>
      <c r="E27" s="4">
        <v>15000.0</v>
      </c>
    </row>
    <row r="28">
      <c r="A28" s="4" t="s">
        <v>117</v>
      </c>
      <c r="B28" s="4" t="s">
        <v>254</v>
      </c>
      <c r="C28" s="4" t="s">
        <v>9</v>
      </c>
      <c r="D28" s="4" t="s">
        <v>7838</v>
      </c>
      <c r="E28" s="4">
        <v>15000.0</v>
      </c>
    </row>
    <row r="29">
      <c r="A29" s="4" t="s">
        <v>238</v>
      </c>
      <c r="B29" s="4" t="s">
        <v>129</v>
      </c>
      <c r="C29" s="4" t="s">
        <v>6</v>
      </c>
      <c r="D29" s="4" t="s">
        <v>7881</v>
      </c>
      <c r="E29" s="4">
        <v>25000.0</v>
      </c>
    </row>
    <row r="30">
      <c r="A30" s="4" t="s">
        <v>240</v>
      </c>
      <c r="B30" s="4" t="s">
        <v>255</v>
      </c>
      <c r="C30" s="4" t="s">
        <v>6</v>
      </c>
      <c r="D30" s="4" t="s">
        <v>7882</v>
      </c>
      <c r="E30" s="4">
        <v>25000.0</v>
      </c>
    </row>
    <row r="31">
      <c r="A31" s="4" t="s">
        <v>243</v>
      </c>
      <c r="B31" s="4" t="s">
        <v>256</v>
      </c>
      <c r="C31" s="4" t="s">
        <v>8</v>
      </c>
      <c r="D31" s="4" t="s">
        <v>7883</v>
      </c>
      <c r="E31" s="4">
        <v>50000.0</v>
      </c>
    </row>
    <row r="32">
      <c r="A32" s="4" t="s">
        <v>145</v>
      </c>
      <c r="C32" s="4" t="s">
        <v>8</v>
      </c>
      <c r="D32" s="4" t="s">
        <v>7838</v>
      </c>
      <c r="E32" s="4">
        <v>150000.0</v>
      </c>
    </row>
    <row r="33">
      <c r="A33" s="4" t="s">
        <v>148</v>
      </c>
      <c r="C33" s="4" t="s">
        <v>6</v>
      </c>
      <c r="D33" s="4" t="s">
        <v>7838</v>
      </c>
      <c r="E33" s="4">
        <v>300000.0</v>
      </c>
    </row>
    <row r="35">
      <c r="A35" s="375" t="s">
        <v>7884</v>
      </c>
    </row>
    <row r="36">
      <c r="A36" s="251" t="s">
        <v>456</v>
      </c>
      <c r="B36" s="251" t="s">
        <v>4405</v>
      </c>
      <c r="C36" s="251" t="s">
        <v>4406</v>
      </c>
    </row>
    <row r="37">
      <c r="A37" s="75" t="s">
        <v>7885</v>
      </c>
      <c r="B37" s="4" t="s">
        <v>6</v>
      </c>
      <c r="C37" s="4">
        <v>6000.0</v>
      </c>
    </row>
    <row r="38">
      <c r="A38" s="75" t="s">
        <v>1960</v>
      </c>
      <c r="B38" s="4" t="s">
        <v>8</v>
      </c>
      <c r="C38" s="4">
        <v>5400.0</v>
      </c>
    </row>
    <row r="39">
      <c r="A39" s="75" t="s">
        <v>7886</v>
      </c>
      <c r="B39" s="4" t="s">
        <v>6</v>
      </c>
      <c r="C39" s="4">
        <v>5400.0</v>
      </c>
    </row>
    <row r="40">
      <c r="A40" s="75" t="s">
        <v>7887</v>
      </c>
      <c r="B40" s="4" t="s">
        <v>6</v>
      </c>
      <c r="C40" s="4">
        <v>5400.0</v>
      </c>
    </row>
    <row r="41">
      <c r="A41" s="75" t="s">
        <v>5214</v>
      </c>
      <c r="B41" s="4" t="s">
        <v>8</v>
      </c>
      <c r="C41" s="4">
        <v>5400.0</v>
      </c>
    </row>
    <row r="42">
      <c r="A42" s="75" t="s">
        <v>3272</v>
      </c>
      <c r="B42" s="4" t="s">
        <v>13</v>
      </c>
      <c r="C42" s="4">
        <v>5400.0</v>
      </c>
    </row>
    <row r="43">
      <c r="A43" s="75" t="s">
        <v>1144</v>
      </c>
      <c r="B43" s="4" t="s">
        <v>6</v>
      </c>
      <c r="C43" s="4">
        <v>5400.0</v>
      </c>
    </row>
    <row r="44">
      <c r="A44" s="75" t="s">
        <v>2010</v>
      </c>
      <c r="B44" s="4" t="s">
        <v>8</v>
      </c>
      <c r="C44" s="4">
        <v>5400.0</v>
      </c>
    </row>
    <row r="45">
      <c r="A45" s="75" t="s">
        <v>7888</v>
      </c>
      <c r="B45" s="4" t="s">
        <v>9</v>
      </c>
      <c r="C45" s="4">
        <v>5400.0</v>
      </c>
    </row>
    <row r="46">
      <c r="A46" s="75" t="s">
        <v>7889</v>
      </c>
      <c r="B46" s="4" t="s">
        <v>9</v>
      </c>
      <c r="C46" s="4">
        <v>5400.0</v>
      </c>
    </row>
    <row r="47">
      <c r="A47" s="75" t="s">
        <v>7890</v>
      </c>
      <c r="B47" s="4" t="s">
        <v>9</v>
      </c>
      <c r="C47" s="4">
        <v>5400.0</v>
      </c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</sheetData>
  <mergeCells count="7">
    <mergeCell ref="A7:H7"/>
    <mergeCell ref="A23:D23"/>
    <mergeCell ref="B25:D25"/>
    <mergeCell ref="B26:C26"/>
    <mergeCell ref="A32:B32"/>
    <mergeCell ref="A33:B33"/>
    <mergeCell ref="A35:C35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5.5"/>
    <col customWidth="1" min="3" max="3" width="22.13"/>
    <col customWidth="1" min="4" max="4" width="18.63"/>
    <col customWidth="1" min="5" max="5" width="16.75"/>
    <col customWidth="1" min="6" max="6" width="30.38"/>
    <col customWidth="1" min="7" max="7" width="30.25"/>
    <col customWidth="1" min="8" max="8" width="23.75"/>
  </cols>
  <sheetData>
    <row r="1">
      <c r="A1" s="416" t="s">
        <v>7773</v>
      </c>
    </row>
    <row r="2">
      <c r="A2" s="31" t="s">
        <v>7891</v>
      </c>
    </row>
    <row r="3">
      <c r="A3" s="31" t="s">
        <v>7892</v>
      </c>
    </row>
    <row r="4">
      <c r="A4" s="31" t="s">
        <v>7893</v>
      </c>
    </row>
    <row r="5">
      <c r="A5" s="31" t="s">
        <v>7894</v>
      </c>
    </row>
    <row r="7">
      <c r="A7" s="149" t="s">
        <v>7777</v>
      </c>
    </row>
    <row r="8">
      <c r="A8" s="379" t="s">
        <v>4319</v>
      </c>
      <c r="B8" s="379" t="s">
        <v>4702</v>
      </c>
      <c r="C8" s="256" t="s">
        <v>4703</v>
      </c>
      <c r="D8" s="379" t="s">
        <v>4320</v>
      </c>
      <c r="E8" s="379" t="s">
        <v>436</v>
      </c>
      <c r="F8" s="379" t="s">
        <v>4704</v>
      </c>
      <c r="G8" s="379" t="s">
        <v>135</v>
      </c>
      <c r="H8" s="379" t="s">
        <v>128</v>
      </c>
    </row>
    <row r="9">
      <c r="A9" s="4" t="s">
        <v>7895</v>
      </c>
      <c r="B9" s="4" t="s">
        <v>7779</v>
      </c>
      <c r="C9" s="4" t="s">
        <v>56</v>
      </c>
      <c r="D9" s="4" t="s">
        <v>10</v>
      </c>
      <c r="E9" s="4" t="s">
        <v>141</v>
      </c>
      <c r="F9" s="4" t="s">
        <v>7896</v>
      </c>
      <c r="G9" s="4" t="s">
        <v>7897</v>
      </c>
      <c r="H9" s="4" t="s">
        <v>7896</v>
      </c>
    </row>
    <row r="10">
      <c r="A10" s="4" t="s">
        <v>4392</v>
      </c>
      <c r="B10" s="4" t="s">
        <v>7779</v>
      </c>
      <c r="C10" s="4" t="s">
        <v>7898</v>
      </c>
      <c r="D10" s="4" t="s">
        <v>17</v>
      </c>
      <c r="E10" s="4" t="s">
        <v>6273</v>
      </c>
      <c r="F10" s="4" t="s">
        <v>7899</v>
      </c>
      <c r="G10" s="4" t="s">
        <v>7899</v>
      </c>
      <c r="H10" s="4" t="s">
        <v>7900</v>
      </c>
    </row>
    <row r="11">
      <c r="A11" s="4" t="s">
        <v>4323</v>
      </c>
      <c r="B11" s="4" t="s">
        <v>7789</v>
      </c>
      <c r="C11" s="4" t="s">
        <v>42</v>
      </c>
      <c r="D11" s="4" t="s">
        <v>10</v>
      </c>
      <c r="E11" s="4" t="s">
        <v>7901</v>
      </c>
      <c r="F11" s="4" t="s">
        <v>7896</v>
      </c>
      <c r="G11" s="4" t="s">
        <v>7897</v>
      </c>
      <c r="H11" s="4" t="s">
        <v>7896</v>
      </c>
    </row>
    <row r="12">
      <c r="A12" s="4" t="s">
        <v>4374</v>
      </c>
      <c r="B12" s="4" t="s">
        <v>7789</v>
      </c>
      <c r="C12" s="4" t="s">
        <v>4854</v>
      </c>
      <c r="D12" s="4" t="s">
        <v>17</v>
      </c>
      <c r="E12" s="4" t="s">
        <v>6273</v>
      </c>
      <c r="F12" s="4" t="s">
        <v>7902</v>
      </c>
      <c r="G12" s="4" t="s">
        <v>7903</v>
      </c>
      <c r="H12" s="4" t="s">
        <v>7904</v>
      </c>
    </row>
    <row r="13">
      <c r="A13" s="4" t="s">
        <v>7905</v>
      </c>
      <c r="B13" s="4" t="s">
        <v>7801</v>
      </c>
      <c r="C13" s="4" t="s">
        <v>56</v>
      </c>
      <c r="D13" s="4" t="s">
        <v>10</v>
      </c>
      <c r="E13" s="4" t="s">
        <v>7906</v>
      </c>
      <c r="F13" s="4" t="s">
        <v>7897</v>
      </c>
      <c r="G13" s="4" t="s">
        <v>7907</v>
      </c>
      <c r="H13" s="4" t="s">
        <v>7897</v>
      </c>
    </row>
    <row r="14">
      <c r="A14" s="4" t="s">
        <v>7908</v>
      </c>
      <c r="B14" s="4" t="s">
        <v>7801</v>
      </c>
      <c r="C14" s="4" t="s">
        <v>7898</v>
      </c>
      <c r="D14" s="4" t="s">
        <v>4</v>
      </c>
      <c r="E14" s="4" t="s">
        <v>6273</v>
      </c>
      <c r="F14" s="4" t="s">
        <v>7909</v>
      </c>
      <c r="G14" s="4" t="s">
        <v>7910</v>
      </c>
      <c r="H14" s="4" t="s">
        <v>7909</v>
      </c>
    </row>
    <row r="15">
      <c r="A15" s="4" t="s">
        <v>7895</v>
      </c>
      <c r="B15" s="4" t="s">
        <v>7809</v>
      </c>
      <c r="C15" s="4" t="s">
        <v>42</v>
      </c>
      <c r="D15" s="4" t="s">
        <v>10</v>
      </c>
      <c r="E15" s="4" t="s">
        <v>7911</v>
      </c>
      <c r="F15" s="4" t="s">
        <v>7912</v>
      </c>
      <c r="G15" s="4" t="s">
        <v>7912</v>
      </c>
      <c r="H15" s="4" t="s">
        <v>7913</v>
      </c>
    </row>
    <row r="16">
      <c r="A16" s="4" t="s">
        <v>7914</v>
      </c>
      <c r="B16" s="4" t="s">
        <v>7809</v>
      </c>
      <c r="C16" s="4" t="s">
        <v>4854</v>
      </c>
      <c r="D16" s="4" t="s">
        <v>14</v>
      </c>
      <c r="E16" s="4" t="s">
        <v>7915</v>
      </c>
      <c r="F16" s="4" t="s">
        <v>7916</v>
      </c>
      <c r="G16" s="4" t="s">
        <v>7917</v>
      </c>
      <c r="H16" s="4" t="s">
        <v>7916</v>
      </c>
    </row>
    <row r="17">
      <c r="A17" s="4" t="s">
        <v>4323</v>
      </c>
      <c r="B17" s="4" t="s">
        <v>7818</v>
      </c>
      <c r="C17" s="4" t="s">
        <v>56</v>
      </c>
      <c r="D17" s="4" t="s">
        <v>14</v>
      </c>
      <c r="E17" s="4" t="s">
        <v>7918</v>
      </c>
      <c r="F17" s="4" t="s">
        <v>7919</v>
      </c>
      <c r="G17" s="4" t="s">
        <v>7919</v>
      </c>
      <c r="H17" s="4" t="s">
        <v>7919</v>
      </c>
    </row>
    <row r="18">
      <c r="A18" s="4" t="s">
        <v>7920</v>
      </c>
      <c r="B18" s="4" t="s">
        <v>7818</v>
      </c>
      <c r="C18" s="4" t="s">
        <v>7898</v>
      </c>
      <c r="D18" s="4" t="s">
        <v>4</v>
      </c>
      <c r="E18" s="4" t="s">
        <v>6273</v>
      </c>
      <c r="F18" s="4" t="s">
        <v>7921</v>
      </c>
      <c r="G18" s="4" t="s">
        <v>7922</v>
      </c>
      <c r="H18" s="4" t="s">
        <v>7921</v>
      </c>
    </row>
    <row r="19">
      <c r="A19" s="4" t="s">
        <v>7905</v>
      </c>
      <c r="B19" s="4" t="s">
        <v>7828</v>
      </c>
      <c r="C19" s="4" t="s">
        <v>42</v>
      </c>
      <c r="D19" s="4" t="s">
        <v>10</v>
      </c>
      <c r="E19" s="4" t="s">
        <v>6306</v>
      </c>
      <c r="F19" s="4" t="s">
        <v>7923</v>
      </c>
      <c r="G19" s="4" t="s">
        <v>7923</v>
      </c>
      <c r="H19" s="4" t="s">
        <v>7924</v>
      </c>
    </row>
    <row r="20">
      <c r="A20" s="4" t="s">
        <v>7925</v>
      </c>
      <c r="B20" s="4" t="s">
        <v>7828</v>
      </c>
      <c r="C20" s="4" t="s">
        <v>4854</v>
      </c>
      <c r="D20" s="4" t="s">
        <v>4</v>
      </c>
      <c r="E20" s="4" t="s">
        <v>6273</v>
      </c>
      <c r="F20" s="4" t="s">
        <v>7926</v>
      </c>
      <c r="G20" s="4" t="s">
        <v>7910</v>
      </c>
      <c r="H20" s="4" t="s">
        <v>7926</v>
      </c>
    </row>
    <row r="21">
      <c r="A21" s="4" t="s">
        <v>7927</v>
      </c>
      <c r="B21" s="4" t="s">
        <v>7833</v>
      </c>
      <c r="C21" s="4" t="s">
        <v>56</v>
      </c>
      <c r="D21" s="4" t="s">
        <v>4</v>
      </c>
      <c r="E21" s="4" t="s">
        <v>141</v>
      </c>
      <c r="F21" s="4" t="s">
        <v>7913</v>
      </c>
      <c r="G21" s="4" t="s">
        <v>7928</v>
      </c>
      <c r="H21" s="4" t="s">
        <v>7921</v>
      </c>
    </row>
    <row r="22">
      <c r="A22" s="8"/>
      <c r="B22" s="8"/>
      <c r="C22" s="8"/>
      <c r="D22" s="8"/>
      <c r="E22" s="8"/>
      <c r="F22" s="8"/>
      <c r="G22" s="8"/>
      <c r="H22" s="8"/>
    </row>
    <row r="23">
      <c r="A23" s="375" t="s">
        <v>7929</v>
      </c>
      <c r="E23" s="8"/>
      <c r="F23" s="8"/>
      <c r="G23" s="8"/>
      <c r="H23" s="8"/>
    </row>
    <row r="24">
      <c r="A24" s="251" t="s">
        <v>111</v>
      </c>
      <c r="B24" s="251" t="s">
        <v>112</v>
      </c>
      <c r="C24" s="251" t="s">
        <v>4405</v>
      </c>
      <c r="D24" s="251" t="s">
        <v>7835</v>
      </c>
      <c r="E24" s="251" t="s">
        <v>4406</v>
      </c>
      <c r="F24" s="8"/>
      <c r="G24" s="8"/>
      <c r="H24" s="8"/>
    </row>
    <row r="25">
      <c r="A25" s="4" t="s">
        <v>7836</v>
      </c>
      <c r="B25" s="4" t="s">
        <v>7837</v>
      </c>
      <c r="E25" s="4">
        <v>60000.0</v>
      </c>
      <c r="F25" s="8"/>
      <c r="G25" s="8"/>
      <c r="H25" s="8"/>
    </row>
    <row r="26">
      <c r="A26" s="4" t="s">
        <v>229</v>
      </c>
      <c r="B26" s="4" t="s">
        <v>10</v>
      </c>
      <c r="D26" s="4" t="s">
        <v>7838</v>
      </c>
      <c r="E26" s="4">
        <v>40000.0</v>
      </c>
      <c r="F26" s="8"/>
      <c r="G26" s="8"/>
      <c r="H26" s="8"/>
    </row>
    <row r="27">
      <c r="A27" s="4" t="s">
        <v>232</v>
      </c>
      <c r="B27" s="4" t="s">
        <v>139</v>
      </c>
      <c r="C27" s="4" t="s">
        <v>10</v>
      </c>
      <c r="D27" s="4" t="s">
        <v>7838</v>
      </c>
      <c r="E27" s="4">
        <v>15000.0</v>
      </c>
      <c r="F27" s="8"/>
      <c r="G27" s="8"/>
      <c r="H27" s="8"/>
    </row>
    <row r="28">
      <c r="A28" s="4" t="s">
        <v>117</v>
      </c>
      <c r="B28" s="4" t="s">
        <v>266</v>
      </c>
      <c r="C28" s="4" t="s">
        <v>267</v>
      </c>
      <c r="D28" s="4" t="s">
        <v>7838</v>
      </c>
      <c r="E28" s="4">
        <v>15000.0</v>
      </c>
      <c r="F28" s="8"/>
      <c r="G28" s="8"/>
      <c r="H28" s="8"/>
    </row>
    <row r="29">
      <c r="A29" s="4" t="s">
        <v>238</v>
      </c>
      <c r="B29" s="4" t="s">
        <v>268</v>
      </c>
      <c r="C29" s="4" t="s">
        <v>4</v>
      </c>
      <c r="D29" s="4" t="s">
        <v>7930</v>
      </c>
      <c r="E29" s="4">
        <v>25000.0</v>
      </c>
      <c r="F29" s="8"/>
      <c r="G29" s="8"/>
      <c r="H29" s="8"/>
    </row>
    <row r="30">
      <c r="A30" s="4" t="s">
        <v>240</v>
      </c>
      <c r="B30" s="4" t="s">
        <v>270</v>
      </c>
      <c r="C30" s="4" t="s">
        <v>4</v>
      </c>
      <c r="D30" s="4" t="s">
        <v>7931</v>
      </c>
      <c r="E30" s="4">
        <v>25000.0</v>
      </c>
    </row>
    <row r="31">
      <c r="A31" s="4" t="s">
        <v>243</v>
      </c>
      <c r="B31" s="4" t="s">
        <v>268</v>
      </c>
      <c r="C31" s="4" t="s">
        <v>4</v>
      </c>
      <c r="D31" s="4" t="s">
        <v>7932</v>
      </c>
      <c r="E31" s="4">
        <v>50000.0</v>
      </c>
    </row>
    <row r="32">
      <c r="A32" s="4" t="s">
        <v>145</v>
      </c>
      <c r="C32" s="4" t="s">
        <v>10</v>
      </c>
      <c r="D32" s="4" t="s">
        <v>7838</v>
      </c>
      <c r="E32" s="4">
        <v>150000.0</v>
      </c>
    </row>
    <row r="33">
      <c r="A33" s="4" t="s">
        <v>148</v>
      </c>
      <c r="C33" s="4" t="s">
        <v>4</v>
      </c>
      <c r="D33" s="4" t="s">
        <v>7838</v>
      </c>
      <c r="E33" s="4">
        <v>300000.0</v>
      </c>
    </row>
    <row r="34">
      <c r="D34" s="8"/>
    </row>
    <row r="35">
      <c r="A35" s="375" t="s">
        <v>7933</v>
      </c>
    </row>
    <row r="36">
      <c r="A36" s="251" t="s">
        <v>456</v>
      </c>
      <c r="B36" s="251" t="s">
        <v>4405</v>
      </c>
      <c r="C36" s="251" t="s">
        <v>4406</v>
      </c>
    </row>
    <row r="37">
      <c r="A37" s="31" t="s">
        <v>7934</v>
      </c>
      <c r="B37" s="4" t="s">
        <v>7935</v>
      </c>
      <c r="C37" s="4">
        <v>6000.0</v>
      </c>
    </row>
    <row r="38">
      <c r="A38" s="31" t="s">
        <v>7936</v>
      </c>
      <c r="B38" s="4" t="s">
        <v>4</v>
      </c>
      <c r="C38" s="4">
        <v>5400.0</v>
      </c>
    </row>
    <row r="39">
      <c r="A39" s="31" t="s">
        <v>2512</v>
      </c>
      <c r="B39" s="4" t="s">
        <v>7935</v>
      </c>
      <c r="C39" s="4">
        <v>5400.0</v>
      </c>
    </row>
    <row r="40">
      <c r="A40" s="31" t="s">
        <v>7937</v>
      </c>
      <c r="B40" s="4" t="s">
        <v>4</v>
      </c>
      <c r="C40" s="4">
        <v>5400.0</v>
      </c>
    </row>
    <row r="41">
      <c r="A41" s="31" t="s">
        <v>7938</v>
      </c>
      <c r="B41" s="4" t="s">
        <v>14</v>
      </c>
      <c r="C41" s="4">
        <v>5400.0</v>
      </c>
    </row>
    <row r="42">
      <c r="A42" s="31" t="s">
        <v>1524</v>
      </c>
      <c r="B42" s="4" t="s">
        <v>7935</v>
      </c>
      <c r="C42" s="4">
        <v>5400.0</v>
      </c>
    </row>
    <row r="43">
      <c r="A43" s="31" t="s">
        <v>7939</v>
      </c>
      <c r="B43" s="4" t="s">
        <v>7935</v>
      </c>
      <c r="C43" s="4">
        <v>5400.0</v>
      </c>
    </row>
    <row r="44">
      <c r="A44" s="31" t="s">
        <v>7940</v>
      </c>
      <c r="B44" s="4" t="s">
        <v>7935</v>
      </c>
      <c r="C44" s="4">
        <v>5400.0</v>
      </c>
    </row>
    <row r="45">
      <c r="A45" s="31" t="s">
        <v>7941</v>
      </c>
      <c r="B45" s="4" t="s">
        <v>4</v>
      </c>
      <c r="C45" s="4">
        <v>5400.0</v>
      </c>
    </row>
    <row r="46">
      <c r="A46" s="31" t="s">
        <v>1026</v>
      </c>
      <c r="B46" s="4" t="s">
        <v>14</v>
      </c>
      <c r="C46" s="4">
        <v>5400.0</v>
      </c>
    </row>
    <row r="47">
      <c r="A47" s="31" t="s">
        <v>7942</v>
      </c>
      <c r="B47" s="4" t="s">
        <v>17</v>
      </c>
      <c r="C47" s="4">
        <v>5400.0</v>
      </c>
    </row>
  </sheetData>
  <mergeCells count="7">
    <mergeCell ref="A7:H7"/>
    <mergeCell ref="A23:D23"/>
    <mergeCell ref="B25:D25"/>
    <mergeCell ref="B26:C26"/>
    <mergeCell ref="A32:B32"/>
    <mergeCell ref="A33:B33"/>
    <mergeCell ref="A35:C35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0.13"/>
    <col customWidth="1" min="3" max="3" width="19.13"/>
    <col customWidth="1" min="4" max="4" width="19.38"/>
    <col customWidth="1" min="5" max="5" width="16.0"/>
    <col customWidth="1" min="6" max="6" width="25.13"/>
    <col customWidth="1" min="7" max="7" width="25.5"/>
    <col customWidth="1" min="8" max="8" width="25.75"/>
  </cols>
  <sheetData>
    <row r="1">
      <c r="A1" s="417" t="s">
        <v>7943</v>
      </c>
    </row>
    <row r="2">
      <c r="A2" s="418" t="s">
        <v>105</v>
      </c>
      <c r="B2" s="418" t="s">
        <v>7944</v>
      </c>
      <c r="C2" s="418" t="s">
        <v>7945</v>
      </c>
      <c r="D2" s="418" t="s">
        <v>7946</v>
      </c>
      <c r="E2" s="418" t="s">
        <v>7947</v>
      </c>
    </row>
    <row r="3">
      <c r="A3" s="31" t="s">
        <v>7948</v>
      </c>
      <c r="B3" s="31" t="s">
        <v>1787</v>
      </c>
      <c r="C3" s="31" t="s">
        <v>4251</v>
      </c>
      <c r="D3" s="31" t="s">
        <v>1263</v>
      </c>
      <c r="E3" s="31" t="s">
        <v>3824</v>
      </c>
    </row>
    <row r="4">
      <c r="A4" s="31" t="s">
        <v>388</v>
      </c>
      <c r="B4" s="31" t="s">
        <v>1864</v>
      </c>
      <c r="C4" s="31" t="s">
        <v>7949</v>
      </c>
      <c r="D4" s="31" t="s">
        <v>1265</v>
      </c>
      <c r="E4" s="31" t="s">
        <v>3825</v>
      </c>
    </row>
    <row r="5">
      <c r="A5" s="31" t="s">
        <v>7950</v>
      </c>
      <c r="B5" s="31" t="s">
        <v>7951</v>
      </c>
      <c r="C5" s="31" t="s">
        <v>7952</v>
      </c>
      <c r="D5" s="31" t="s">
        <v>7953</v>
      </c>
      <c r="E5" s="31" t="s">
        <v>3828</v>
      </c>
    </row>
    <row r="6">
      <c r="A6" s="31" t="s">
        <v>7954</v>
      </c>
      <c r="B6" s="31" t="s">
        <v>7955</v>
      </c>
      <c r="C6" s="31" t="s">
        <v>7956</v>
      </c>
      <c r="D6" s="31" t="s">
        <v>1272</v>
      </c>
      <c r="E6" s="31" t="s">
        <v>2068</v>
      </c>
    </row>
    <row r="7">
      <c r="A7" s="31" t="s">
        <v>7957</v>
      </c>
      <c r="B7" s="31" t="s">
        <v>7958</v>
      </c>
      <c r="C7" s="31" t="s">
        <v>7959</v>
      </c>
      <c r="D7" s="31" t="s">
        <v>1275</v>
      </c>
      <c r="E7" s="31" t="s">
        <v>6342</v>
      </c>
    </row>
    <row r="8">
      <c r="A8" s="31" t="s">
        <v>7960</v>
      </c>
      <c r="B8" s="31" t="s">
        <v>7961</v>
      </c>
      <c r="C8" s="31" t="s">
        <v>7962</v>
      </c>
      <c r="D8" s="31" t="s">
        <v>7963</v>
      </c>
      <c r="E8" s="31" t="s">
        <v>7964</v>
      </c>
    </row>
    <row r="9">
      <c r="A9" s="31" t="s">
        <v>7965</v>
      </c>
      <c r="B9" s="31" t="s">
        <v>7966</v>
      </c>
      <c r="C9" s="31" t="s">
        <v>7967</v>
      </c>
      <c r="D9" s="31" t="s">
        <v>7968</v>
      </c>
      <c r="E9" s="31" t="s">
        <v>7969</v>
      </c>
    </row>
    <row r="10">
      <c r="A10" s="31" t="s">
        <v>7970</v>
      </c>
      <c r="B10" s="31" t="s">
        <v>7971</v>
      </c>
      <c r="C10" s="31" t="s">
        <v>2192</v>
      </c>
      <c r="D10" s="31" t="s">
        <v>7972</v>
      </c>
      <c r="E10" s="31" t="s">
        <v>7973</v>
      </c>
    </row>
    <row r="11">
      <c r="A11" s="31" t="s">
        <v>7974</v>
      </c>
      <c r="B11" s="31" t="s">
        <v>7975</v>
      </c>
      <c r="C11" s="31" t="s">
        <v>7976</v>
      </c>
      <c r="D11" s="31" t="s">
        <v>7977</v>
      </c>
      <c r="E11" s="31" t="s">
        <v>3840</v>
      </c>
    </row>
    <row r="12">
      <c r="A12" s="31" t="s">
        <v>7978</v>
      </c>
      <c r="B12" s="31" t="s">
        <v>7979</v>
      </c>
      <c r="C12" s="31" t="s">
        <v>7980</v>
      </c>
      <c r="D12" s="31" t="s">
        <v>7981</v>
      </c>
      <c r="E12" s="31" t="s">
        <v>7982</v>
      </c>
    </row>
    <row r="13">
      <c r="A13" s="31" t="s">
        <v>7983</v>
      </c>
      <c r="B13" s="31" t="s">
        <v>7984</v>
      </c>
      <c r="C13" s="31" t="s">
        <v>7985</v>
      </c>
      <c r="D13" s="31" t="s">
        <v>7986</v>
      </c>
      <c r="E13" s="31" t="s">
        <v>7987</v>
      </c>
    </row>
    <row r="14">
      <c r="A14" s="31" t="s">
        <v>7988</v>
      </c>
      <c r="B14" s="31" t="s">
        <v>7989</v>
      </c>
      <c r="C14" s="31" t="s">
        <v>7990</v>
      </c>
      <c r="D14" s="31" t="s">
        <v>7991</v>
      </c>
      <c r="E14" s="31" t="s">
        <v>7992</v>
      </c>
    </row>
    <row r="15">
      <c r="A15" s="31" t="s">
        <v>7993</v>
      </c>
      <c r="B15" s="31" t="s">
        <v>7994</v>
      </c>
      <c r="C15" s="31" t="s">
        <v>7995</v>
      </c>
      <c r="D15" s="31" t="s">
        <v>7996</v>
      </c>
      <c r="E15" s="31" t="s">
        <v>7997</v>
      </c>
    </row>
    <row r="16">
      <c r="A16" s="31" t="s">
        <v>7998</v>
      </c>
      <c r="B16" s="31" t="s">
        <v>7999</v>
      </c>
      <c r="C16" s="31" t="s">
        <v>8000</v>
      </c>
      <c r="D16" s="31" t="s">
        <v>8001</v>
      </c>
      <c r="E16" s="31" t="s">
        <v>8002</v>
      </c>
    </row>
    <row r="17">
      <c r="A17" s="31" t="s">
        <v>8003</v>
      </c>
      <c r="B17" s="31" t="s">
        <v>8004</v>
      </c>
      <c r="C17" s="31" t="s">
        <v>8005</v>
      </c>
      <c r="D17" s="31" t="s">
        <v>8006</v>
      </c>
      <c r="E17" s="31" t="s">
        <v>8007</v>
      </c>
    </row>
    <row r="18">
      <c r="A18" s="31" t="s">
        <v>8008</v>
      </c>
      <c r="B18" s="31" t="s">
        <v>8009</v>
      </c>
      <c r="C18" s="31" t="s">
        <v>8010</v>
      </c>
      <c r="D18" s="31" t="s">
        <v>1308</v>
      </c>
      <c r="E18" s="31" t="s">
        <v>8011</v>
      </c>
    </row>
    <row r="19">
      <c r="A19" s="31" t="s">
        <v>8012</v>
      </c>
      <c r="B19" s="31" t="s">
        <v>8013</v>
      </c>
      <c r="C19" s="31" t="s">
        <v>8014</v>
      </c>
      <c r="D19" s="31" t="s">
        <v>8015</v>
      </c>
      <c r="E19" s="31" t="s">
        <v>8016</v>
      </c>
    </row>
    <row r="20">
      <c r="A20" s="31" t="s">
        <v>8017</v>
      </c>
      <c r="B20" s="31" t="s">
        <v>8018</v>
      </c>
      <c r="C20" s="31" t="s">
        <v>8019</v>
      </c>
      <c r="D20" s="31" t="s">
        <v>8020</v>
      </c>
      <c r="E20" s="31" t="s">
        <v>8021</v>
      </c>
    </row>
    <row r="21">
      <c r="A21" s="31" t="s">
        <v>8022</v>
      </c>
      <c r="B21" s="31" t="s">
        <v>8023</v>
      </c>
      <c r="C21" s="31" t="s">
        <v>8024</v>
      </c>
      <c r="D21" s="31" t="s">
        <v>8025</v>
      </c>
      <c r="E21" s="31" t="s">
        <v>8026</v>
      </c>
    </row>
    <row r="22">
      <c r="A22" s="31" t="s">
        <v>8027</v>
      </c>
      <c r="C22" s="31" t="s">
        <v>8028</v>
      </c>
      <c r="E22" s="31" t="s">
        <v>8029</v>
      </c>
    </row>
    <row r="23">
      <c r="A23" s="31" t="s">
        <v>8030</v>
      </c>
      <c r="C23" s="31" t="s">
        <v>8031</v>
      </c>
      <c r="E23" s="31" t="s">
        <v>8032</v>
      </c>
    </row>
    <row r="24">
      <c r="A24" s="31" t="s">
        <v>8033</v>
      </c>
      <c r="E24" s="31" t="s">
        <v>8034</v>
      </c>
    </row>
    <row r="25">
      <c r="E25" s="31" t="s">
        <v>8035</v>
      </c>
    </row>
    <row r="26">
      <c r="E26" s="31" t="s">
        <v>8036</v>
      </c>
    </row>
    <row r="27">
      <c r="E27" s="31" t="s">
        <v>8037</v>
      </c>
    </row>
    <row r="28">
      <c r="E28" s="31" t="s">
        <v>8038</v>
      </c>
    </row>
    <row r="29">
      <c r="E29" s="31" t="s">
        <v>8039</v>
      </c>
    </row>
    <row r="30">
      <c r="E30" s="31" t="s">
        <v>8040</v>
      </c>
    </row>
    <row r="31">
      <c r="E31" s="31" t="s">
        <v>8041</v>
      </c>
    </row>
    <row r="37">
      <c r="A37" s="149" t="s">
        <v>7777</v>
      </c>
    </row>
    <row r="38">
      <c r="A38" s="379" t="s">
        <v>4319</v>
      </c>
      <c r="B38" s="379" t="s">
        <v>4702</v>
      </c>
      <c r="C38" s="256" t="s">
        <v>4703</v>
      </c>
      <c r="D38" s="379" t="s">
        <v>4320</v>
      </c>
      <c r="E38" s="379" t="s">
        <v>436</v>
      </c>
      <c r="F38" s="379" t="s">
        <v>4704</v>
      </c>
      <c r="G38" s="379" t="s">
        <v>135</v>
      </c>
      <c r="H38" s="379" t="s">
        <v>128</v>
      </c>
    </row>
    <row r="39">
      <c r="A39" s="4" t="s">
        <v>8042</v>
      </c>
      <c r="B39" s="4" t="s">
        <v>8043</v>
      </c>
      <c r="C39" s="4" t="s">
        <v>8044</v>
      </c>
      <c r="D39" s="4" t="s">
        <v>104</v>
      </c>
      <c r="E39" s="4" t="s">
        <v>8045</v>
      </c>
      <c r="F39" s="4" t="s">
        <v>8046</v>
      </c>
      <c r="G39" s="4" t="s">
        <v>8047</v>
      </c>
      <c r="H39" s="4" t="s">
        <v>8046</v>
      </c>
    </row>
    <row r="40">
      <c r="A40" s="4" t="s">
        <v>8048</v>
      </c>
      <c r="B40" s="4" t="s">
        <v>8043</v>
      </c>
      <c r="C40" s="4" t="s">
        <v>8049</v>
      </c>
      <c r="D40" s="4" t="s">
        <v>18</v>
      </c>
      <c r="E40" s="4" t="s">
        <v>1500</v>
      </c>
      <c r="F40" s="4" t="s">
        <v>8050</v>
      </c>
      <c r="G40" s="4" t="s">
        <v>8051</v>
      </c>
      <c r="H40" s="4" t="s">
        <v>8050</v>
      </c>
    </row>
    <row r="41">
      <c r="A41" s="4" t="s">
        <v>8052</v>
      </c>
      <c r="B41" s="4" t="s">
        <v>8053</v>
      </c>
      <c r="C41" s="4" t="s">
        <v>8054</v>
      </c>
      <c r="D41" s="4" t="s">
        <v>105</v>
      </c>
      <c r="E41" s="4" t="s">
        <v>1500</v>
      </c>
      <c r="F41" s="4" t="s">
        <v>8055</v>
      </c>
      <c r="G41" s="4" t="s">
        <v>8056</v>
      </c>
      <c r="H41" s="4" t="s">
        <v>8055</v>
      </c>
    </row>
    <row r="42">
      <c r="A42" s="4" t="s">
        <v>8057</v>
      </c>
      <c r="B42" s="4" t="s">
        <v>8053</v>
      </c>
      <c r="C42" s="4" t="s">
        <v>8044</v>
      </c>
      <c r="D42" s="4" t="s">
        <v>103</v>
      </c>
      <c r="E42" s="4" t="s">
        <v>8058</v>
      </c>
      <c r="F42" s="4" t="s">
        <v>8059</v>
      </c>
      <c r="G42" s="4" t="s">
        <v>8060</v>
      </c>
      <c r="H42" s="4" t="s">
        <v>8059</v>
      </c>
    </row>
    <row r="43">
      <c r="A43" s="4" t="s">
        <v>8061</v>
      </c>
      <c r="B43" s="4" t="s">
        <v>8062</v>
      </c>
      <c r="C43" s="4" t="s">
        <v>8049</v>
      </c>
      <c r="D43" s="4" t="s">
        <v>19</v>
      </c>
      <c r="E43" s="4" t="s">
        <v>1500</v>
      </c>
      <c r="F43" s="4" t="s">
        <v>8063</v>
      </c>
      <c r="G43" s="4" t="s">
        <v>8064</v>
      </c>
      <c r="H43" s="4" t="s">
        <v>8063</v>
      </c>
    </row>
    <row r="44">
      <c r="A44" s="4" t="s">
        <v>8065</v>
      </c>
      <c r="B44" s="4" t="s">
        <v>8062</v>
      </c>
      <c r="C44" s="4" t="s">
        <v>8054</v>
      </c>
      <c r="D44" s="4" t="s">
        <v>18</v>
      </c>
      <c r="E44" s="4" t="s">
        <v>8066</v>
      </c>
      <c r="F44" s="4" t="s">
        <v>8050</v>
      </c>
      <c r="G44" s="4" t="s">
        <v>8067</v>
      </c>
      <c r="H44" s="4" t="s">
        <v>8050</v>
      </c>
    </row>
    <row r="45">
      <c r="A45" s="4" t="s">
        <v>8068</v>
      </c>
      <c r="B45" s="4" t="s">
        <v>8069</v>
      </c>
      <c r="C45" s="4" t="s">
        <v>8044</v>
      </c>
      <c r="D45" s="4" t="s">
        <v>103</v>
      </c>
      <c r="E45" s="4" t="s">
        <v>1500</v>
      </c>
      <c r="F45" s="4" t="s">
        <v>8070</v>
      </c>
      <c r="G45" s="4" t="s">
        <v>8071</v>
      </c>
      <c r="H45" s="4" t="s">
        <v>8070</v>
      </c>
    </row>
    <row r="46">
      <c r="A46" s="4" t="s">
        <v>8072</v>
      </c>
      <c r="B46" s="4" t="s">
        <v>8069</v>
      </c>
      <c r="C46" s="4" t="s">
        <v>8049</v>
      </c>
      <c r="D46" s="4" t="s">
        <v>19</v>
      </c>
      <c r="E46" s="4" t="s">
        <v>8058</v>
      </c>
      <c r="F46" s="4" t="s">
        <v>8063</v>
      </c>
      <c r="G46" s="4" t="s">
        <v>8073</v>
      </c>
      <c r="H46" s="4" t="s">
        <v>8063</v>
      </c>
    </row>
    <row r="47">
      <c r="A47" s="4" t="s">
        <v>8074</v>
      </c>
      <c r="B47" s="4" t="s">
        <v>8075</v>
      </c>
      <c r="C47" s="4" t="s">
        <v>8054</v>
      </c>
      <c r="D47" s="4" t="s">
        <v>103</v>
      </c>
      <c r="E47" s="4" t="s">
        <v>1500</v>
      </c>
      <c r="F47" s="4" t="s">
        <v>8076</v>
      </c>
      <c r="G47" s="4" t="s">
        <v>8076</v>
      </c>
      <c r="H47" s="4" t="s">
        <v>8059</v>
      </c>
    </row>
    <row r="48">
      <c r="A48" s="4" t="s">
        <v>8077</v>
      </c>
      <c r="B48" s="4" t="s">
        <v>8075</v>
      </c>
      <c r="C48" s="4" t="s">
        <v>8049</v>
      </c>
      <c r="D48" s="4" t="s">
        <v>19</v>
      </c>
      <c r="E48" s="4" t="s">
        <v>8066</v>
      </c>
      <c r="F48" s="4" t="s">
        <v>8063</v>
      </c>
      <c r="G48" s="4" t="s">
        <v>8078</v>
      </c>
      <c r="H48" s="4" t="s">
        <v>8063</v>
      </c>
    </row>
    <row r="49">
      <c r="A49" s="4" t="s">
        <v>8079</v>
      </c>
      <c r="B49" s="4" t="s">
        <v>8080</v>
      </c>
      <c r="C49" s="4" t="s">
        <v>8044</v>
      </c>
      <c r="D49" s="4" t="s">
        <v>103</v>
      </c>
      <c r="E49" s="4" t="s">
        <v>8058</v>
      </c>
      <c r="F49" s="4" t="s">
        <v>8070</v>
      </c>
      <c r="G49" s="4" t="s">
        <v>8081</v>
      </c>
      <c r="H49" s="4" t="s">
        <v>8070</v>
      </c>
    </row>
    <row r="50">
      <c r="A50" s="8"/>
      <c r="B50" s="8"/>
      <c r="C50" s="8"/>
      <c r="D50" s="8"/>
      <c r="E50" s="8"/>
      <c r="F50" s="8"/>
      <c r="G50" s="8"/>
      <c r="H50" s="8"/>
    </row>
    <row r="51">
      <c r="A51" s="8"/>
      <c r="B51" s="8"/>
      <c r="C51" s="8"/>
      <c r="D51" s="8"/>
      <c r="E51" s="8"/>
      <c r="F51" s="8"/>
      <c r="G51" s="8"/>
      <c r="H51" s="8"/>
    </row>
    <row r="52">
      <c r="A52" s="8"/>
      <c r="B52" s="8"/>
      <c r="C52" s="8"/>
      <c r="D52" s="8"/>
      <c r="E52" s="8"/>
      <c r="F52" s="8"/>
      <c r="G52" s="8"/>
      <c r="H52" s="8"/>
    </row>
    <row r="53">
      <c r="A53" s="8"/>
      <c r="B53" s="8"/>
      <c r="C53" s="8"/>
      <c r="D53" s="8"/>
      <c r="E53" s="8"/>
      <c r="F53" s="8"/>
      <c r="G53" s="8"/>
      <c r="H53" s="8"/>
    </row>
    <row r="54">
      <c r="A54" s="8"/>
      <c r="B54" s="8"/>
      <c r="C54" s="8"/>
      <c r="D54" s="8"/>
      <c r="E54" s="8"/>
      <c r="F54" s="8"/>
      <c r="G54" s="8"/>
      <c r="H54" s="8"/>
    </row>
    <row r="55">
      <c r="A55" s="8"/>
      <c r="B55" s="8"/>
      <c r="C55" s="8"/>
      <c r="D55" s="8"/>
      <c r="E55" s="8"/>
      <c r="F55" s="8"/>
      <c r="G55" s="8"/>
      <c r="H55" s="8"/>
    </row>
    <row r="56">
      <c r="A56" s="8"/>
      <c r="B56" s="8"/>
      <c r="C56" s="8"/>
      <c r="D56" s="8"/>
      <c r="E56" s="8"/>
      <c r="F56" s="8"/>
      <c r="G56" s="8"/>
      <c r="H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</row>
    <row r="59">
      <c r="A59" s="8"/>
      <c r="B59" s="8"/>
      <c r="C59" s="8"/>
      <c r="D59" s="8"/>
      <c r="E59" s="8"/>
      <c r="F59" s="8"/>
      <c r="G59" s="8"/>
      <c r="H59" s="8"/>
    </row>
    <row r="60">
      <c r="A60" s="8"/>
      <c r="B60" s="8"/>
      <c r="C60" s="8"/>
      <c r="D60" s="8"/>
      <c r="E60" s="8"/>
      <c r="F60" s="8"/>
      <c r="G60" s="8"/>
      <c r="H60" s="8"/>
    </row>
    <row r="63">
      <c r="A63" s="375" t="s">
        <v>8082</v>
      </c>
    </row>
    <row r="64">
      <c r="A64" s="251" t="s">
        <v>111</v>
      </c>
      <c r="B64" s="251" t="s">
        <v>112</v>
      </c>
      <c r="C64" s="251" t="s">
        <v>4405</v>
      </c>
      <c r="D64" s="251" t="s">
        <v>7835</v>
      </c>
      <c r="E64" s="251" t="s">
        <v>4406</v>
      </c>
    </row>
    <row r="65">
      <c r="A65" s="4" t="s">
        <v>148</v>
      </c>
      <c r="B65" s="4" t="s">
        <v>103</v>
      </c>
      <c r="E65" s="4">
        <v>150000.0</v>
      </c>
    </row>
    <row r="66">
      <c r="A66" s="4" t="s">
        <v>145</v>
      </c>
      <c r="B66" s="4" t="s">
        <v>19</v>
      </c>
      <c r="E66" s="4">
        <v>75000.0</v>
      </c>
    </row>
    <row r="67">
      <c r="A67" s="4" t="s">
        <v>243</v>
      </c>
      <c r="B67" s="4" t="s">
        <v>278</v>
      </c>
      <c r="C67" s="4" t="s">
        <v>19</v>
      </c>
      <c r="D67" s="4" t="s">
        <v>8083</v>
      </c>
      <c r="E67" s="4">
        <v>30000.0</v>
      </c>
    </row>
    <row r="68">
      <c r="A68" s="4" t="s">
        <v>135</v>
      </c>
      <c r="B68" s="4" t="s">
        <v>279</v>
      </c>
      <c r="C68" s="4" t="s">
        <v>19</v>
      </c>
      <c r="D68" s="4" t="s">
        <v>8084</v>
      </c>
      <c r="E68" s="4">
        <v>15000.0</v>
      </c>
    </row>
    <row r="69">
      <c r="A69" s="4" t="s">
        <v>128</v>
      </c>
      <c r="B69" s="4" t="s">
        <v>280</v>
      </c>
      <c r="C69" s="4" t="s">
        <v>18</v>
      </c>
      <c r="D69" s="4" t="s">
        <v>8085</v>
      </c>
      <c r="E69" s="4">
        <v>15000.0</v>
      </c>
    </row>
    <row r="70">
      <c r="A70" s="4" t="s">
        <v>168</v>
      </c>
      <c r="B70" s="4" t="s">
        <v>281</v>
      </c>
      <c r="C70" s="4" t="s">
        <v>103</v>
      </c>
      <c r="D70" s="4" t="s">
        <v>8086</v>
      </c>
      <c r="E70" s="4">
        <v>10000.0</v>
      </c>
    </row>
    <row r="71">
      <c r="A71" s="4" t="s">
        <v>282</v>
      </c>
      <c r="B71" s="4" t="s">
        <v>283</v>
      </c>
      <c r="C71" s="4" t="s">
        <v>284</v>
      </c>
      <c r="D71" s="4" t="s">
        <v>8087</v>
      </c>
      <c r="E71" s="4">
        <v>10000.0</v>
      </c>
    </row>
    <row r="72">
      <c r="A72" s="4" t="s">
        <v>285</v>
      </c>
      <c r="B72" s="4" t="s">
        <v>278</v>
      </c>
      <c r="C72" s="4" t="s">
        <v>19</v>
      </c>
      <c r="D72" s="4" t="s">
        <v>8088</v>
      </c>
      <c r="E72" s="4">
        <v>10000.0</v>
      </c>
    </row>
    <row r="73">
      <c r="A73" s="4" t="s">
        <v>286</v>
      </c>
      <c r="B73" s="4" t="s">
        <v>105</v>
      </c>
      <c r="E73" s="4">
        <v>50000.0</v>
      </c>
    </row>
    <row r="74">
      <c r="A74" s="8"/>
      <c r="B74" s="8"/>
      <c r="C74" s="8"/>
      <c r="D74" s="8"/>
      <c r="E74" s="8"/>
    </row>
  </sheetData>
  <mergeCells count="6">
    <mergeCell ref="A1:E1"/>
    <mergeCell ref="A37:H37"/>
    <mergeCell ref="A63:E63"/>
    <mergeCell ref="B65:D65"/>
    <mergeCell ref="B66:D66"/>
    <mergeCell ref="B73:D73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8.75"/>
    <col customWidth="1" min="3" max="3" width="26.63"/>
    <col customWidth="1" min="4" max="4" width="27.63"/>
    <col customWidth="1" min="5" max="5" width="25.75"/>
    <col customWidth="1" min="6" max="6" width="28.38"/>
    <col customWidth="1" min="7" max="7" width="27.13"/>
    <col customWidth="1" min="8" max="8" width="28.75"/>
    <col customWidth="1" min="9" max="9" width="36.5"/>
    <col customWidth="1" min="10" max="10" width="32.75"/>
    <col customWidth="1" min="11" max="11" width="36.75"/>
    <col customWidth="1" min="12" max="12" width="32.5"/>
    <col customWidth="1" min="13" max="13" width="28.38"/>
    <col customWidth="1" min="14" max="15" width="23.5"/>
    <col customWidth="1" min="16" max="16" width="21.75"/>
    <col customWidth="1" min="18" max="18" width="15.0"/>
    <col customWidth="1" min="19" max="19" width="20.25"/>
    <col customWidth="1" min="20" max="20" width="24.5"/>
    <col customWidth="1" min="21" max="21" width="33.63"/>
    <col customWidth="1" min="22" max="22" width="28.5"/>
    <col customWidth="1" min="23" max="23" width="35.13"/>
    <col customWidth="1" min="24" max="24" width="29.38"/>
  </cols>
  <sheetData>
    <row r="1">
      <c r="A1" s="419" t="s">
        <v>8089</v>
      </c>
    </row>
    <row r="2">
      <c r="A2" s="375" t="s">
        <v>4819</v>
      </c>
    </row>
    <row r="3">
      <c r="A3" s="419" t="s">
        <v>8090</v>
      </c>
      <c r="B3" s="419" t="s">
        <v>8091</v>
      </c>
      <c r="C3" s="419" t="s">
        <v>8092</v>
      </c>
      <c r="D3" s="419" t="s">
        <v>8093</v>
      </c>
      <c r="E3" s="419" t="s">
        <v>8094</v>
      </c>
      <c r="F3" s="419" t="s">
        <v>8095</v>
      </c>
      <c r="G3" s="419" t="s">
        <v>8096</v>
      </c>
      <c r="H3" s="419" t="s">
        <v>8097</v>
      </c>
      <c r="I3" s="419" t="s">
        <v>8098</v>
      </c>
      <c r="J3" s="419" t="s">
        <v>8099</v>
      </c>
      <c r="K3" s="419" t="s">
        <v>8100</v>
      </c>
      <c r="L3" s="419" t="s">
        <v>8101</v>
      </c>
      <c r="M3" s="419" t="s">
        <v>16</v>
      </c>
      <c r="N3" s="419" t="s">
        <v>8102</v>
      </c>
    </row>
    <row r="4">
      <c r="A4" s="31" t="s">
        <v>423</v>
      </c>
      <c r="B4" s="31" t="s">
        <v>980</v>
      </c>
      <c r="C4" s="31" t="s">
        <v>1327</v>
      </c>
      <c r="D4" s="31" t="s">
        <v>8103</v>
      </c>
      <c r="E4" s="31" t="s">
        <v>2057</v>
      </c>
      <c r="F4" s="31" t="s">
        <v>2207</v>
      </c>
      <c r="G4" s="31" t="s">
        <v>2338</v>
      </c>
      <c r="H4" s="31" t="s">
        <v>2624</v>
      </c>
      <c r="I4" s="31" t="s">
        <v>8104</v>
      </c>
      <c r="J4" s="31" t="s">
        <v>3357</v>
      </c>
      <c r="K4" s="31" t="s">
        <v>3078</v>
      </c>
      <c r="L4" s="31" t="s">
        <v>8105</v>
      </c>
      <c r="M4" s="31" t="s">
        <v>3756</v>
      </c>
      <c r="N4" s="31" t="s">
        <v>8106</v>
      </c>
    </row>
    <row r="5">
      <c r="A5" s="31" t="s">
        <v>8107</v>
      </c>
      <c r="B5" s="31" t="s">
        <v>8108</v>
      </c>
      <c r="C5" s="31" t="s">
        <v>1329</v>
      </c>
      <c r="D5" s="31" t="s">
        <v>1782</v>
      </c>
      <c r="E5" s="31" t="s">
        <v>1864</v>
      </c>
      <c r="F5" s="31" t="s">
        <v>8109</v>
      </c>
      <c r="G5" s="31" t="s">
        <v>2553</v>
      </c>
      <c r="H5" s="31" t="s">
        <v>2649</v>
      </c>
      <c r="I5" s="31" t="s">
        <v>3134</v>
      </c>
      <c r="J5" s="31" t="s">
        <v>8110</v>
      </c>
      <c r="K5" s="31" t="s">
        <v>517</v>
      </c>
      <c r="L5" s="31" t="s">
        <v>8111</v>
      </c>
      <c r="M5" s="31" t="s">
        <v>2072</v>
      </c>
      <c r="N5" s="31" t="s">
        <v>8112</v>
      </c>
    </row>
    <row r="6">
      <c r="A6" s="31" t="s">
        <v>860</v>
      </c>
      <c r="B6" s="31" t="s">
        <v>7244</v>
      </c>
      <c r="C6" s="31" t="s">
        <v>8113</v>
      </c>
      <c r="D6" s="31" t="s">
        <v>8114</v>
      </c>
      <c r="E6" s="31" t="s">
        <v>8115</v>
      </c>
      <c r="F6" s="31" t="s">
        <v>8116</v>
      </c>
      <c r="G6" s="31" t="s">
        <v>2376</v>
      </c>
      <c r="H6" s="31" t="s">
        <v>8117</v>
      </c>
      <c r="I6" s="31" t="s">
        <v>8118</v>
      </c>
      <c r="J6" s="31" t="s">
        <v>3390</v>
      </c>
      <c r="K6" s="31" t="s">
        <v>8119</v>
      </c>
      <c r="L6" s="31" t="s">
        <v>3729</v>
      </c>
      <c r="M6" s="31" t="s">
        <v>3759</v>
      </c>
      <c r="N6" s="31" t="s">
        <v>8120</v>
      </c>
    </row>
    <row r="7">
      <c r="A7" s="31" t="s">
        <v>8121</v>
      </c>
      <c r="B7" s="31" t="s">
        <v>8122</v>
      </c>
      <c r="C7" s="31" t="s">
        <v>8123</v>
      </c>
      <c r="D7" s="31" t="s">
        <v>2792</v>
      </c>
      <c r="E7" s="31" t="s">
        <v>7704</v>
      </c>
      <c r="F7" s="31" t="s">
        <v>2293</v>
      </c>
      <c r="G7" s="31" t="s">
        <v>8124</v>
      </c>
      <c r="H7" s="31" t="s">
        <v>6338</v>
      </c>
      <c r="I7" s="31" t="s">
        <v>8125</v>
      </c>
      <c r="J7" s="31" t="s">
        <v>8126</v>
      </c>
      <c r="K7" s="31" t="s">
        <v>8127</v>
      </c>
      <c r="L7" s="31" t="s">
        <v>8128</v>
      </c>
      <c r="M7" s="31" t="s">
        <v>8129</v>
      </c>
      <c r="N7" s="31" t="s">
        <v>4235</v>
      </c>
    </row>
    <row r="8">
      <c r="A8" s="31" t="s">
        <v>8130</v>
      </c>
      <c r="B8" s="31" t="s">
        <v>7843</v>
      </c>
      <c r="C8" s="31" t="s">
        <v>3794</v>
      </c>
      <c r="D8" s="31" t="s">
        <v>5014</v>
      </c>
      <c r="E8" s="31" t="s">
        <v>2002</v>
      </c>
      <c r="F8" s="31" t="s">
        <v>8131</v>
      </c>
      <c r="G8" s="31" t="s">
        <v>8132</v>
      </c>
      <c r="H8" s="31" t="s">
        <v>8133</v>
      </c>
      <c r="I8" s="31" t="s">
        <v>8134</v>
      </c>
      <c r="J8" s="31" t="s">
        <v>3342</v>
      </c>
      <c r="K8" s="31" t="s">
        <v>8135</v>
      </c>
      <c r="L8" s="31" t="s">
        <v>3622</v>
      </c>
      <c r="M8" s="31" t="s">
        <v>3794</v>
      </c>
      <c r="N8" s="31" t="s">
        <v>8136</v>
      </c>
    </row>
    <row r="9">
      <c r="A9" s="31" t="s">
        <v>564</v>
      </c>
      <c r="B9" s="31" t="s">
        <v>8137</v>
      </c>
      <c r="C9" s="31" t="s">
        <v>8138</v>
      </c>
      <c r="D9" s="31" t="s">
        <v>8139</v>
      </c>
      <c r="E9" s="31" t="s">
        <v>8140</v>
      </c>
      <c r="F9" s="31" t="s">
        <v>8141</v>
      </c>
      <c r="G9" s="31" t="s">
        <v>8142</v>
      </c>
      <c r="H9" s="31" t="s">
        <v>8143</v>
      </c>
      <c r="I9" s="31" t="s">
        <v>8144</v>
      </c>
      <c r="J9" s="31" t="s">
        <v>8145</v>
      </c>
      <c r="K9" s="31" t="s">
        <v>8146</v>
      </c>
      <c r="L9" s="31" t="s">
        <v>3629</v>
      </c>
      <c r="M9" s="31" t="s">
        <v>8147</v>
      </c>
      <c r="N9" s="31" t="s">
        <v>8148</v>
      </c>
    </row>
    <row r="10">
      <c r="A10" s="31" t="s">
        <v>8149</v>
      </c>
      <c r="B10" s="31" t="s">
        <v>3582</v>
      </c>
      <c r="C10" s="31" t="s">
        <v>8150</v>
      </c>
      <c r="D10" s="31" t="s">
        <v>8151</v>
      </c>
      <c r="E10" s="31" t="s">
        <v>8152</v>
      </c>
      <c r="F10" s="31" t="s">
        <v>8153</v>
      </c>
      <c r="G10" s="31" t="s">
        <v>8154</v>
      </c>
      <c r="H10" s="31" t="s">
        <v>8155</v>
      </c>
      <c r="I10" s="31" t="s">
        <v>6872</v>
      </c>
      <c r="J10" s="31" t="s">
        <v>8156</v>
      </c>
      <c r="K10" s="31" t="s">
        <v>8157</v>
      </c>
      <c r="L10" s="31" t="s">
        <v>3634</v>
      </c>
      <c r="M10" s="31" t="s">
        <v>8158</v>
      </c>
      <c r="N10" s="31" t="s">
        <v>8159</v>
      </c>
    </row>
    <row r="11">
      <c r="A11" s="31" t="s">
        <v>8160</v>
      </c>
      <c r="B11" s="31" t="s">
        <v>8161</v>
      </c>
      <c r="C11" s="31" t="s">
        <v>1389</v>
      </c>
      <c r="D11" s="31" t="s">
        <v>1663</v>
      </c>
      <c r="E11" s="31" t="s">
        <v>8162</v>
      </c>
      <c r="F11" s="31" t="s">
        <v>8163</v>
      </c>
      <c r="G11" s="31" t="s">
        <v>8164</v>
      </c>
      <c r="H11" s="31" t="s">
        <v>8165</v>
      </c>
      <c r="I11" s="31" t="s">
        <v>4486</v>
      </c>
      <c r="J11" s="31" t="s">
        <v>4493</v>
      </c>
      <c r="K11" s="31" t="s">
        <v>8166</v>
      </c>
      <c r="L11" s="31" t="s">
        <v>3639</v>
      </c>
      <c r="M11" s="31" t="s">
        <v>8167</v>
      </c>
      <c r="N11" s="31" t="s">
        <v>8168</v>
      </c>
    </row>
    <row r="12">
      <c r="A12" s="31" t="s">
        <v>8169</v>
      </c>
      <c r="B12" s="31" t="s">
        <v>664</v>
      </c>
      <c r="C12" s="31" t="s">
        <v>8170</v>
      </c>
      <c r="D12" s="31" t="s">
        <v>6886</v>
      </c>
      <c r="E12" s="31" t="s">
        <v>8171</v>
      </c>
      <c r="F12" s="31" t="s">
        <v>8172</v>
      </c>
      <c r="G12" s="31" t="s">
        <v>5969</v>
      </c>
      <c r="H12" s="31" t="s">
        <v>8173</v>
      </c>
      <c r="I12" s="31" t="s">
        <v>8174</v>
      </c>
      <c r="J12" s="31" t="s">
        <v>3347</v>
      </c>
      <c r="K12" s="31" t="s">
        <v>8175</v>
      </c>
      <c r="L12" s="31" t="s">
        <v>3646</v>
      </c>
      <c r="M12" s="31" t="s">
        <v>8176</v>
      </c>
      <c r="N12" s="31" t="s">
        <v>8177</v>
      </c>
    </row>
    <row r="13">
      <c r="A13" s="31" t="s">
        <v>8178</v>
      </c>
      <c r="B13" s="31" t="s">
        <v>8179</v>
      </c>
      <c r="C13" s="31" t="s">
        <v>8180</v>
      </c>
      <c r="D13" s="31" t="s">
        <v>1676</v>
      </c>
      <c r="E13" s="31" t="s">
        <v>8181</v>
      </c>
      <c r="F13" s="31" t="s">
        <v>8182</v>
      </c>
      <c r="G13" s="31" t="s">
        <v>5977</v>
      </c>
      <c r="H13" s="31" t="s">
        <v>8183</v>
      </c>
      <c r="I13" s="31" t="s">
        <v>8184</v>
      </c>
      <c r="J13" s="31" t="s">
        <v>3293</v>
      </c>
      <c r="K13" s="31" t="s">
        <v>5235</v>
      </c>
      <c r="L13" s="31" t="s">
        <v>3651</v>
      </c>
      <c r="M13" s="31" t="s">
        <v>3787</v>
      </c>
      <c r="N13" s="31" t="s">
        <v>5608</v>
      </c>
    </row>
    <row r="14">
      <c r="A14" s="31" t="s">
        <v>8185</v>
      </c>
      <c r="B14" s="31" t="s">
        <v>8186</v>
      </c>
      <c r="C14" s="31" t="s">
        <v>8187</v>
      </c>
      <c r="D14" s="31" t="s">
        <v>1683</v>
      </c>
      <c r="E14" s="31" t="s">
        <v>8188</v>
      </c>
      <c r="F14" s="31" t="s">
        <v>8189</v>
      </c>
      <c r="G14" s="31" t="s">
        <v>8190</v>
      </c>
      <c r="H14" s="31" t="s">
        <v>8191</v>
      </c>
      <c r="I14" s="31" t="s">
        <v>8192</v>
      </c>
      <c r="J14" s="31" t="s">
        <v>5987</v>
      </c>
      <c r="K14" s="31" t="s">
        <v>8193</v>
      </c>
      <c r="L14" s="31" t="s">
        <v>8194</v>
      </c>
      <c r="M14" s="31" t="s">
        <v>8195</v>
      </c>
      <c r="N14" s="31" t="s">
        <v>8196</v>
      </c>
    </row>
    <row r="15">
      <c r="A15" s="31" t="s">
        <v>8197</v>
      </c>
      <c r="B15" s="31" t="s">
        <v>8198</v>
      </c>
      <c r="C15" s="31" t="s">
        <v>8199</v>
      </c>
      <c r="D15" s="31" t="s">
        <v>8200</v>
      </c>
      <c r="E15" s="31" t="s">
        <v>8201</v>
      </c>
      <c r="F15" s="31" t="s">
        <v>5985</v>
      </c>
      <c r="G15" s="31" t="s">
        <v>8202</v>
      </c>
      <c r="H15" s="31" t="s">
        <v>8203</v>
      </c>
      <c r="I15" s="31" t="s">
        <v>8204</v>
      </c>
      <c r="J15" s="31" t="s">
        <v>8205</v>
      </c>
      <c r="K15" s="31" t="s">
        <v>5618</v>
      </c>
      <c r="L15" s="31" t="s">
        <v>8206</v>
      </c>
      <c r="M15" s="31" t="s">
        <v>8207</v>
      </c>
      <c r="N15" s="31" t="s">
        <v>7298</v>
      </c>
    </row>
    <row r="16">
      <c r="A16" s="31" t="s">
        <v>8208</v>
      </c>
      <c r="B16" s="31" t="s">
        <v>8209</v>
      </c>
      <c r="C16" s="31" t="s">
        <v>8210</v>
      </c>
      <c r="D16" s="31" t="s">
        <v>8211</v>
      </c>
      <c r="E16" s="31" t="s">
        <v>8212</v>
      </c>
      <c r="F16" s="31" t="s">
        <v>8213</v>
      </c>
      <c r="G16" s="31" t="s">
        <v>5033</v>
      </c>
      <c r="H16" s="31" t="s">
        <v>8214</v>
      </c>
      <c r="I16" s="31" t="s">
        <v>8215</v>
      </c>
      <c r="J16" s="31" t="s">
        <v>8216</v>
      </c>
      <c r="K16" s="31" t="s">
        <v>5241</v>
      </c>
      <c r="L16" s="31" t="s">
        <v>8217</v>
      </c>
      <c r="M16" s="31" t="s">
        <v>8218</v>
      </c>
      <c r="N16" s="31" t="s">
        <v>8219</v>
      </c>
    </row>
    <row r="17">
      <c r="A17" s="31" t="s">
        <v>8220</v>
      </c>
      <c r="B17" s="31" t="s">
        <v>8221</v>
      </c>
      <c r="C17" s="31" t="s">
        <v>8222</v>
      </c>
      <c r="D17" s="31" t="s">
        <v>8223</v>
      </c>
      <c r="E17" s="31" t="s">
        <v>8224</v>
      </c>
      <c r="F17" s="31" t="s">
        <v>8225</v>
      </c>
      <c r="G17" s="31" t="s">
        <v>8226</v>
      </c>
      <c r="H17" s="31" t="s">
        <v>7315</v>
      </c>
      <c r="I17" s="31" t="s">
        <v>8227</v>
      </c>
      <c r="J17" s="31" t="s">
        <v>8228</v>
      </c>
      <c r="K17" s="31" t="s">
        <v>7314</v>
      </c>
      <c r="L17" s="31" t="s">
        <v>8229</v>
      </c>
      <c r="M17" s="31" t="s">
        <v>8230</v>
      </c>
      <c r="N17" s="31" t="s">
        <v>4540</v>
      </c>
    </row>
    <row r="18">
      <c r="A18" s="31" t="s">
        <v>8231</v>
      </c>
      <c r="B18" s="31" t="s">
        <v>8232</v>
      </c>
      <c r="C18" s="31" t="s">
        <v>6934</v>
      </c>
      <c r="D18" s="31" t="s">
        <v>8233</v>
      </c>
      <c r="E18" s="31" t="s">
        <v>8234</v>
      </c>
      <c r="F18" s="31" t="s">
        <v>8235</v>
      </c>
      <c r="G18" s="31" t="s">
        <v>8236</v>
      </c>
      <c r="H18" s="31" t="s">
        <v>8237</v>
      </c>
      <c r="I18" s="31" t="s">
        <v>8238</v>
      </c>
      <c r="J18" s="31" t="s">
        <v>8239</v>
      </c>
      <c r="K18" s="31" t="s">
        <v>6009</v>
      </c>
      <c r="L18" s="31" t="s">
        <v>8240</v>
      </c>
      <c r="M18" s="31" t="s">
        <v>8234</v>
      </c>
      <c r="N18" s="31" t="s">
        <v>8241</v>
      </c>
    </row>
    <row r="19">
      <c r="A19" s="31" t="s">
        <v>8242</v>
      </c>
      <c r="B19" s="31" t="s">
        <v>8243</v>
      </c>
      <c r="C19" s="31" t="s">
        <v>8244</v>
      </c>
      <c r="D19" s="31" t="s">
        <v>8245</v>
      </c>
      <c r="E19" s="31" t="s">
        <v>8246</v>
      </c>
      <c r="F19" s="31" t="s">
        <v>8247</v>
      </c>
      <c r="G19" s="31" t="s">
        <v>8248</v>
      </c>
      <c r="H19" s="31" t="s">
        <v>8249</v>
      </c>
      <c r="I19" s="31" t="s">
        <v>8250</v>
      </c>
      <c r="J19" s="31" t="s">
        <v>8251</v>
      </c>
      <c r="K19" s="31" t="s">
        <v>8252</v>
      </c>
      <c r="L19" s="31" t="s">
        <v>3670</v>
      </c>
      <c r="M19" s="31" t="s">
        <v>8253</v>
      </c>
      <c r="N19" s="31" t="s">
        <v>8254</v>
      </c>
    </row>
    <row r="20">
      <c r="A20" s="31" t="s">
        <v>8255</v>
      </c>
      <c r="B20" s="31" t="s">
        <v>8256</v>
      </c>
      <c r="C20" s="31" t="s">
        <v>8257</v>
      </c>
      <c r="D20" s="31" t="s">
        <v>8258</v>
      </c>
      <c r="E20" s="31" t="s">
        <v>8259</v>
      </c>
      <c r="F20" s="31" t="s">
        <v>8260</v>
      </c>
      <c r="G20" s="31" t="s">
        <v>6018</v>
      </c>
      <c r="H20" s="31" t="s">
        <v>8261</v>
      </c>
      <c r="I20" s="31" t="s">
        <v>8262</v>
      </c>
      <c r="J20" s="31" t="s">
        <v>8263</v>
      </c>
      <c r="K20" s="31" t="s">
        <v>8264</v>
      </c>
      <c r="L20" s="31" t="s">
        <v>8265</v>
      </c>
      <c r="M20" s="31" t="s">
        <v>8266</v>
      </c>
      <c r="N20" s="31" t="s">
        <v>8267</v>
      </c>
    </row>
    <row r="21">
      <c r="A21" s="31" t="s">
        <v>8268</v>
      </c>
      <c r="B21" s="31" t="s">
        <v>8269</v>
      </c>
      <c r="C21" s="31" t="s">
        <v>8270</v>
      </c>
      <c r="D21" s="31" t="s">
        <v>8271</v>
      </c>
      <c r="E21" s="31" t="s">
        <v>8272</v>
      </c>
      <c r="F21" s="31" t="s">
        <v>8273</v>
      </c>
      <c r="G21" s="31" t="s">
        <v>8274</v>
      </c>
      <c r="H21" s="31" t="s">
        <v>8275</v>
      </c>
      <c r="I21" s="31" t="s">
        <v>8276</v>
      </c>
      <c r="J21" s="31" t="s">
        <v>8277</v>
      </c>
      <c r="K21" s="31" t="s">
        <v>8278</v>
      </c>
      <c r="L21" s="31" t="s">
        <v>8279</v>
      </c>
      <c r="M21" s="31" t="s">
        <v>8280</v>
      </c>
      <c r="N21" s="31" t="s">
        <v>8281</v>
      </c>
    </row>
    <row r="23">
      <c r="A23" s="31" t="s">
        <v>8282</v>
      </c>
      <c r="B23" s="31" t="s">
        <v>8282</v>
      </c>
      <c r="C23" s="31" t="s">
        <v>8282</v>
      </c>
      <c r="G23" s="31" t="s">
        <v>8282</v>
      </c>
      <c r="H23" s="31" t="s">
        <v>8282</v>
      </c>
      <c r="I23" s="31" t="s">
        <v>8282</v>
      </c>
      <c r="J23" s="31" t="s">
        <v>8282</v>
      </c>
      <c r="M23" s="31" t="s">
        <v>8282</v>
      </c>
    </row>
    <row r="24">
      <c r="A24" s="31" t="s">
        <v>8283</v>
      </c>
      <c r="B24" s="31" t="s">
        <v>8284</v>
      </c>
      <c r="C24" s="31" t="s">
        <v>8285</v>
      </c>
      <c r="G24" s="31" t="s">
        <v>8286</v>
      </c>
      <c r="H24" s="31" t="s">
        <v>8287</v>
      </c>
      <c r="I24" s="31" t="s">
        <v>8288</v>
      </c>
      <c r="J24" s="31" t="s">
        <v>8289</v>
      </c>
      <c r="M24" s="31" t="s">
        <v>8290</v>
      </c>
    </row>
    <row r="25">
      <c r="A25" s="31" t="s">
        <v>8291</v>
      </c>
      <c r="B25" s="31" t="s">
        <v>8292</v>
      </c>
    </row>
    <row r="26">
      <c r="A26" s="31" t="s">
        <v>8293</v>
      </c>
    </row>
    <row r="27">
      <c r="A27" s="31"/>
    </row>
    <row r="28">
      <c r="A28" s="31"/>
    </row>
    <row r="29">
      <c r="A29" s="419" t="s">
        <v>8294</v>
      </c>
      <c r="D29" s="107" t="s">
        <v>8295</v>
      </c>
      <c r="O29" s="107" t="s">
        <v>8296</v>
      </c>
    </row>
    <row r="30">
      <c r="A30" s="107" t="s">
        <v>8295</v>
      </c>
      <c r="B30" s="107" t="s">
        <v>8296</v>
      </c>
      <c r="D30" s="149" t="s">
        <v>7777</v>
      </c>
      <c r="O30" s="149" t="s">
        <v>7777</v>
      </c>
    </row>
    <row r="31">
      <c r="A31" s="31" t="s">
        <v>4309</v>
      </c>
      <c r="B31" s="31" t="s">
        <v>8297</v>
      </c>
      <c r="D31" s="379" t="s">
        <v>4319</v>
      </c>
      <c r="E31" s="379" t="s">
        <v>4702</v>
      </c>
      <c r="F31" s="256" t="s">
        <v>4703</v>
      </c>
      <c r="G31" s="379" t="s">
        <v>4320</v>
      </c>
      <c r="H31" s="379" t="s">
        <v>436</v>
      </c>
      <c r="I31" s="379" t="s">
        <v>4704</v>
      </c>
      <c r="J31" s="379" t="s">
        <v>135</v>
      </c>
      <c r="K31" s="379" t="s">
        <v>128</v>
      </c>
      <c r="L31" s="256" t="s">
        <v>124</v>
      </c>
      <c r="M31" s="256" t="s">
        <v>138</v>
      </c>
      <c r="O31" s="379" t="s">
        <v>4319</v>
      </c>
      <c r="P31" s="379" t="s">
        <v>4702</v>
      </c>
      <c r="Q31" s="256" t="s">
        <v>4703</v>
      </c>
      <c r="R31" s="379" t="s">
        <v>4320</v>
      </c>
      <c r="S31" s="379" t="s">
        <v>436</v>
      </c>
      <c r="T31" s="379" t="s">
        <v>4704</v>
      </c>
      <c r="U31" s="379" t="s">
        <v>135</v>
      </c>
      <c r="V31" s="379" t="s">
        <v>128</v>
      </c>
      <c r="W31" s="256" t="s">
        <v>124</v>
      </c>
      <c r="X31" s="256" t="s">
        <v>138</v>
      </c>
    </row>
    <row r="32">
      <c r="A32" s="31" t="s">
        <v>7892</v>
      </c>
      <c r="B32" s="31" t="s">
        <v>8298</v>
      </c>
      <c r="D32" s="4" t="s">
        <v>7908</v>
      </c>
      <c r="E32" s="420">
        <v>46271.0</v>
      </c>
      <c r="F32" s="4" t="s">
        <v>5426</v>
      </c>
      <c r="G32" s="4" t="s">
        <v>14</v>
      </c>
      <c r="H32" s="4" t="s">
        <v>8299</v>
      </c>
      <c r="I32" s="4" t="s">
        <v>7916</v>
      </c>
      <c r="J32" s="4" t="s">
        <v>8300</v>
      </c>
      <c r="K32" s="4" t="s">
        <v>8301</v>
      </c>
      <c r="L32" s="4" t="s">
        <v>8302</v>
      </c>
      <c r="M32" s="4" t="s">
        <v>8303</v>
      </c>
      <c r="O32" s="4" t="s">
        <v>7824</v>
      </c>
      <c r="P32" s="420">
        <v>46271.0</v>
      </c>
      <c r="Q32" s="4" t="s">
        <v>5432</v>
      </c>
      <c r="R32" s="4" t="s">
        <v>11</v>
      </c>
      <c r="S32" s="4" t="s">
        <v>8304</v>
      </c>
      <c r="T32" s="4" t="s">
        <v>8305</v>
      </c>
      <c r="U32" s="4" t="s">
        <v>8306</v>
      </c>
      <c r="V32" s="4" t="s">
        <v>8307</v>
      </c>
      <c r="W32" s="4" t="s">
        <v>8308</v>
      </c>
      <c r="X32" s="4" t="s">
        <v>8309</v>
      </c>
      <c r="Y32" s="8"/>
    </row>
    <row r="33">
      <c r="A33" s="31" t="s">
        <v>8310</v>
      </c>
      <c r="B33" s="31" t="s">
        <v>8311</v>
      </c>
      <c r="D33" s="4" t="s">
        <v>8312</v>
      </c>
      <c r="E33" s="420">
        <v>46272.0</v>
      </c>
      <c r="F33" s="4" t="s">
        <v>5452</v>
      </c>
      <c r="G33" s="4" t="s">
        <v>15</v>
      </c>
      <c r="H33" s="4" t="s">
        <v>8313</v>
      </c>
      <c r="I33" s="4" t="s">
        <v>8314</v>
      </c>
      <c r="J33" s="4" t="s">
        <v>8315</v>
      </c>
      <c r="K33" s="4" t="s">
        <v>8316</v>
      </c>
      <c r="L33" s="4" t="s">
        <v>8317</v>
      </c>
      <c r="M33" s="4" t="s">
        <v>8318</v>
      </c>
      <c r="O33" s="4" t="s">
        <v>8319</v>
      </c>
      <c r="P33" s="420">
        <v>46272.0</v>
      </c>
      <c r="Q33" s="4" t="s">
        <v>5475</v>
      </c>
      <c r="R33" s="4" t="s">
        <v>10</v>
      </c>
      <c r="S33" s="4" t="s">
        <v>8320</v>
      </c>
      <c r="T33" s="4" t="s">
        <v>8321</v>
      </c>
      <c r="U33" s="4" t="s">
        <v>8322</v>
      </c>
      <c r="V33" s="4" t="s">
        <v>8323</v>
      </c>
      <c r="W33" s="4" t="s">
        <v>8324</v>
      </c>
      <c r="X33" s="4" t="s">
        <v>8325</v>
      </c>
      <c r="Y33" s="8"/>
    </row>
    <row r="34">
      <c r="A34" s="31" t="s">
        <v>8326</v>
      </c>
      <c r="B34" s="31" t="s">
        <v>8327</v>
      </c>
      <c r="D34" s="4" t="s">
        <v>7778</v>
      </c>
      <c r="E34" s="420">
        <v>46273.0</v>
      </c>
      <c r="F34" s="4" t="s">
        <v>5439</v>
      </c>
      <c r="G34" s="4" t="s">
        <v>5</v>
      </c>
      <c r="H34" s="4" t="s">
        <v>8328</v>
      </c>
      <c r="I34" s="4" t="s">
        <v>8329</v>
      </c>
      <c r="J34" s="4" t="s">
        <v>8330</v>
      </c>
      <c r="K34" s="4" t="s">
        <v>8331</v>
      </c>
      <c r="L34" s="4" t="s">
        <v>8332</v>
      </c>
      <c r="M34" s="4" t="s">
        <v>8333</v>
      </c>
      <c r="O34" s="4" t="s">
        <v>4396</v>
      </c>
      <c r="P34" s="420">
        <v>46273.0</v>
      </c>
      <c r="Q34" s="4" t="s">
        <v>5426</v>
      </c>
      <c r="R34" s="4" t="s">
        <v>7</v>
      </c>
      <c r="S34" s="4" t="s">
        <v>5147</v>
      </c>
      <c r="T34" s="4" t="s">
        <v>7787</v>
      </c>
      <c r="U34" s="4" t="s">
        <v>8334</v>
      </c>
      <c r="V34" s="4" t="s">
        <v>8335</v>
      </c>
      <c r="W34" s="4" t="s">
        <v>8336</v>
      </c>
      <c r="X34" s="4" t="s">
        <v>8337</v>
      </c>
      <c r="Y34" s="8"/>
    </row>
    <row r="35">
      <c r="A35" s="31" t="s">
        <v>8338</v>
      </c>
      <c r="B35" s="31" t="s">
        <v>8339</v>
      </c>
      <c r="D35" s="4" t="s">
        <v>4382</v>
      </c>
      <c r="E35" s="420">
        <v>46274.0</v>
      </c>
      <c r="F35" s="4" t="s">
        <v>5439</v>
      </c>
      <c r="G35" s="4" t="s">
        <v>14</v>
      </c>
      <c r="H35" s="4" t="s">
        <v>6288</v>
      </c>
      <c r="I35" s="4" t="s">
        <v>8340</v>
      </c>
      <c r="J35" s="4" t="s">
        <v>8341</v>
      </c>
      <c r="K35" s="4" t="s">
        <v>8342</v>
      </c>
      <c r="L35" s="4" t="s">
        <v>8343</v>
      </c>
      <c r="M35" s="4" t="s">
        <v>8344</v>
      </c>
      <c r="O35" s="4" t="s">
        <v>8345</v>
      </c>
      <c r="P35" s="420">
        <v>46274.0</v>
      </c>
      <c r="Q35" s="4" t="s">
        <v>5432</v>
      </c>
      <c r="R35" s="4" t="s">
        <v>8</v>
      </c>
      <c r="S35" s="4" t="s">
        <v>8299</v>
      </c>
      <c r="T35" s="4" t="s">
        <v>8346</v>
      </c>
      <c r="U35" s="4" t="s">
        <v>8347</v>
      </c>
      <c r="V35" s="4" t="s">
        <v>8348</v>
      </c>
      <c r="W35" s="4" t="s">
        <v>8349</v>
      </c>
      <c r="X35" s="4" t="s">
        <v>8350</v>
      </c>
      <c r="Y35" s="8"/>
    </row>
    <row r="36">
      <c r="A36" s="31" t="s">
        <v>8351</v>
      </c>
      <c r="B36" s="31" t="s">
        <v>8352</v>
      </c>
      <c r="D36" s="4" t="s">
        <v>8353</v>
      </c>
      <c r="E36" s="420">
        <v>46275.0</v>
      </c>
      <c r="F36" s="4" t="s">
        <v>8354</v>
      </c>
      <c r="G36" s="4" t="s">
        <v>4</v>
      </c>
      <c r="H36" s="4" t="s">
        <v>5147</v>
      </c>
      <c r="I36" s="4" t="s">
        <v>8355</v>
      </c>
      <c r="J36" s="4" t="s">
        <v>8356</v>
      </c>
      <c r="K36" s="4" t="s">
        <v>8357</v>
      </c>
      <c r="L36" s="4" t="s">
        <v>8358</v>
      </c>
      <c r="M36" s="4" t="s">
        <v>8359</v>
      </c>
      <c r="O36" s="4" t="s">
        <v>8360</v>
      </c>
      <c r="P36" s="420">
        <v>46275.0</v>
      </c>
      <c r="Q36" s="4" t="s">
        <v>5461</v>
      </c>
      <c r="R36" s="4" t="s">
        <v>9</v>
      </c>
      <c r="S36" s="4" t="s">
        <v>8361</v>
      </c>
      <c r="T36" s="4" t="s">
        <v>8362</v>
      </c>
      <c r="U36" s="4" t="s">
        <v>8363</v>
      </c>
      <c r="V36" s="4" t="s">
        <v>8364</v>
      </c>
      <c r="W36" s="4" t="s">
        <v>8365</v>
      </c>
      <c r="X36" s="4" t="s">
        <v>8366</v>
      </c>
      <c r="Y36" s="8"/>
    </row>
    <row r="37">
      <c r="A37" s="31" t="s">
        <v>8367</v>
      </c>
      <c r="B37" s="31" t="s">
        <v>8368</v>
      </c>
      <c r="D37" s="4" t="s">
        <v>4377</v>
      </c>
      <c r="E37" s="420">
        <v>46276.0</v>
      </c>
      <c r="F37" s="4" t="s">
        <v>8369</v>
      </c>
      <c r="G37" s="4" t="s">
        <v>13</v>
      </c>
      <c r="H37" s="4" t="s">
        <v>173</v>
      </c>
      <c r="I37" s="4" t="s">
        <v>8370</v>
      </c>
      <c r="J37" s="4" t="s">
        <v>8371</v>
      </c>
      <c r="K37" s="4" t="s">
        <v>8372</v>
      </c>
      <c r="L37" s="4" t="s">
        <v>8373</v>
      </c>
      <c r="M37" s="4" t="s">
        <v>8374</v>
      </c>
      <c r="O37" s="4" t="s">
        <v>8375</v>
      </c>
      <c r="P37" s="420">
        <v>46276.0</v>
      </c>
      <c r="Q37" s="4" t="s">
        <v>5426</v>
      </c>
      <c r="R37" s="4" t="s">
        <v>11</v>
      </c>
      <c r="S37" s="4" t="s">
        <v>8376</v>
      </c>
      <c r="T37" s="4" t="s">
        <v>8377</v>
      </c>
      <c r="U37" s="4" t="s">
        <v>8378</v>
      </c>
      <c r="V37" s="4" t="s">
        <v>8379</v>
      </c>
      <c r="W37" s="4" t="s">
        <v>8380</v>
      </c>
      <c r="X37" s="4" t="s">
        <v>8381</v>
      </c>
      <c r="Y37" s="8"/>
    </row>
    <row r="38">
      <c r="D38" s="4" t="s">
        <v>8382</v>
      </c>
      <c r="E38" s="420">
        <v>46277.0</v>
      </c>
      <c r="F38" s="4" t="s">
        <v>5475</v>
      </c>
      <c r="G38" s="4" t="s">
        <v>5</v>
      </c>
      <c r="H38" s="4" t="s">
        <v>5147</v>
      </c>
      <c r="I38" s="4" t="s">
        <v>7810</v>
      </c>
      <c r="J38" s="4" t="s">
        <v>8383</v>
      </c>
      <c r="K38" s="4" t="s">
        <v>8384</v>
      </c>
      <c r="L38" s="4" t="s">
        <v>8385</v>
      </c>
      <c r="M38" s="4" t="s">
        <v>8386</v>
      </c>
      <c r="O38" s="4" t="s">
        <v>8387</v>
      </c>
      <c r="P38" s="420">
        <v>46277.0</v>
      </c>
      <c r="Q38" s="4" t="s">
        <v>5439</v>
      </c>
      <c r="R38" s="4" t="s">
        <v>12</v>
      </c>
      <c r="S38" s="4" t="s">
        <v>8328</v>
      </c>
      <c r="T38" s="4" t="s">
        <v>8388</v>
      </c>
      <c r="U38" s="4" t="s">
        <v>8389</v>
      </c>
      <c r="V38" s="4" t="s">
        <v>8390</v>
      </c>
      <c r="W38" s="4" t="s">
        <v>8391</v>
      </c>
      <c r="X38" s="4" t="s">
        <v>8392</v>
      </c>
      <c r="Y38" s="8"/>
    </row>
    <row r="39">
      <c r="D39" s="4" t="s">
        <v>8393</v>
      </c>
      <c r="E39" s="420">
        <v>46278.0</v>
      </c>
      <c r="F39" s="4" t="s">
        <v>5432</v>
      </c>
      <c r="G39" s="4" t="s">
        <v>6</v>
      </c>
      <c r="H39" s="4" t="s">
        <v>5147</v>
      </c>
      <c r="I39" s="4" t="s">
        <v>7853</v>
      </c>
      <c r="J39" s="4" t="s">
        <v>8394</v>
      </c>
      <c r="K39" s="4" t="s">
        <v>8395</v>
      </c>
      <c r="L39" s="4" t="s">
        <v>8396</v>
      </c>
      <c r="M39" s="4" t="s">
        <v>8397</v>
      </c>
      <c r="O39" s="4" t="s">
        <v>8398</v>
      </c>
      <c r="P39" s="420">
        <v>46278.0</v>
      </c>
      <c r="Q39" s="4" t="s">
        <v>8369</v>
      </c>
      <c r="R39" s="4" t="s">
        <v>17</v>
      </c>
      <c r="S39" s="4" t="s">
        <v>8399</v>
      </c>
      <c r="T39" s="4" t="s">
        <v>8400</v>
      </c>
      <c r="U39" s="4" t="s">
        <v>8401</v>
      </c>
      <c r="V39" s="4" t="s">
        <v>8402</v>
      </c>
      <c r="W39" s="4" t="s">
        <v>8403</v>
      </c>
      <c r="X39" s="4" t="s">
        <v>8404</v>
      </c>
      <c r="Y39" s="8"/>
    </row>
    <row r="40">
      <c r="D40" s="4" t="s">
        <v>8405</v>
      </c>
      <c r="E40" s="420">
        <v>46279.0</v>
      </c>
      <c r="F40" s="4" t="s">
        <v>8354</v>
      </c>
      <c r="G40" s="4" t="s">
        <v>16</v>
      </c>
      <c r="H40" s="4" t="s">
        <v>6288</v>
      </c>
      <c r="I40" s="4" t="s">
        <v>8406</v>
      </c>
      <c r="J40" s="4" t="s">
        <v>8407</v>
      </c>
      <c r="K40" s="4" t="s">
        <v>8408</v>
      </c>
      <c r="L40" s="4" t="s">
        <v>8409</v>
      </c>
      <c r="M40" s="4" t="s">
        <v>8410</v>
      </c>
      <c r="O40" s="4" t="s">
        <v>8411</v>
      </c>
      <c r="P40" s="420">
        <v>46279.0</v>
      </c>
      <c r="Q40" s="4" t="s">
        <v>5452</v>
      </c>
      <c r="R40" s="4" t="s">
        <v>7</v>
      </c>
      <c r="S40" s="4" t="s">
        <v>8299</v>
      </c>
      <c r="T40" s="4" t="s">
        <v>7787</v>
      </c>
      <c r="U40" s="4" t="s">
        <v>8412</v>
      </c>
      <c r="V40" s="4" t="s">
        <v>8413</v>
      </c>
      <c r="W40" s="4" t="s">
        <v>8414</v>
      </c>
      <c r="X40" s="4" t="s">
        <v>8415</v>
      </c>
      <c r="Y40" s="8"/>
    </row>
    <row r="41">
      <c r="D41" s="4" t="s">
        <v>8416</v>
      </c>
      <c r="E41" s="420">
        <v>46280.0</v>
      </c>
      <c r="F41" s="4" t="s">
        <v>5426</v>
      </c>
      <c r="G41" s="4" t="s">
        <v>14</v>
      </c>
      <c r="H41" s="4" t="s">
        <v>5147</v>
      </c>
      <c r="I41" s="4" t="s">
        <v>8340</v>
      </c>
      <c r="J41" s="4" t="s">
        <v>8417</v>
      </c>
      <c r="K41" s="4" t="s">
        <v>8418</v>
      </c>
      <c r="L41" s="4" t="s">
        <v>8419</v>
      </c>
      <c r="M41" s="4" t="s">
        <v>8420</v>
      </c>
      <c r="O41" s="4" t="s">
        <v>8421</v>
      </c>
      <c r="P41" s="420">
        <v>46280.0</v>
      </c>
      <c r="Q41" s="4" t="s">
        <v>5432</v>
      </c>
      <c r="R41" s="4" t="s">
        <v>17</v>
      </c>
      <c r="S41" s="4" t="s">
        <v>8361</v>
      </c>
      <c r="T41" s="4" t="s">
        <v>8422</v>
      </c>
      <c r="U41" s="4" t="s">
        <v>8423</v>
      </c>
      <c r="V41" s="4" t="s">
        <v>8424</v>
      </c>
      <c r="W41" s="4" t="s">
        <v>8425</v>
      </c>
      <c r="X41" s="4" t="s">
        <v>8426</v>
      </c>
      <c r="Y41" s="8"/>
    </row>
    <row r="42">
      <c r="D42" s="4" t="s">
        <v>8427</v>
      </c>
      <c r="E42" s="420">
        <v>46281.0</v>
      </c>
      <c r="F42" s="4" t="s">
        <v>8369</v>
      </c>
      <c r="G42" s="4" t="s">
        <v>15</v>
      </c>
      <c r="H42" s="4" t="s">
        <v>5147</v>
      </c>
      <c r="I42" s="4" t="s">
        <v>8428</v>
      </c>
      <c r="J42" s="4" t="s">
        <v>8429</v>
      </c>
      <c r="K42" s="4" t="s">
        <v>8430</v>
      </c>
      <c r="L42" s="4" t="s">
        <v>8431</v>
      </c>
      <c r="M42" s="4" t="s">
        <v>8432</v>
      </c>
      <c r="O42" s="4" t="s">
        <v>8433</v>
      </c>
      <c r="P42" s="420">
        <v>46281.0</v>
      </c>
      <c r="Q42" s="4" t="s">
        <v>5475</v>
      </c>
      <c r="R42" s="4" t="s">
        <v>8</v>
      </c>
      <c r="S42" s="4" t="s">
        <v>175</v>
      </c>
      <c r="T42" s="4" t="s">
        <v>8434</v>
      </c>
      <c r="U42" s="4" t="s">
        <v>8435</v>
      </c>
      <c r="V42" s="4" t="s">
        <v>8436</v>
      </c>
      <c r="W42" s="4" t="s">
        <v>8437</v>
      </c>
      <c r="X42" s="4" t="s">
        <v>8438</v>
      </c>
      <c r="Y42" s="8"/>
    </row>
    <row r="43">
      <c r="D43" s="4" t="s">
        <v>8439</v>
      </c>
      <c r="E43" s="420">
        <v>46282.0</v>
      </c>
      <c r="F43" s="4" t="s">
        <v>5452</v>
      </c>
      <c r="G43" s="4" t="s">
        <v>6</v>
      </c>
      <c r="H43" s="4" t="s">
        <v>6288</v>
      </c>
      <c r="I43" s="4" t="s">
        <v>7853</v>
      </c>
      <c r="J43" s="4" t="s">
        <v>8440</v>
      </c>
      <c r="K43" s="4" t="s">
        <v>8441</v>
      </c>
      <c r="L43" s="4" t="s">
        <v>8442</v>
      </c>
      <c r="M43" s="4" t="s">
        <v>8443</v>
      </c>
      <c r="O43" s="4" t="s">
        <v>8444</v>
      </c>
      <c r="P43" s="420">
        <v>46282.0</v>
      </c>
      <c r="Q43" s="4" t="s">
        <v>5461</v>
      </c>
      <c r="R43" s="4" t="s">
        <v>7</v>
      </c>
      <c r="S43" s="4" t="s">
        <v>8361</v>
      </c>
      <c r="T43" s="4" t="s">
        <v>8445</v>
      </c>
      <c r="U43" s="4" t="s">
        <v>8446</v>
      </c>
      <c r="V43" s="4" t="s">
        <v>8447</v>
      </c>
      <c r="W43" s="4" t="s">
        <v>8448</v>
      </c>
      <c r="X43" s="4" t="s">
        <v>8449</v>
      </c>
      <c r="Y43" s="8"/>
    </row>
    <row r="44">
      <c r="D44" s="4" t="s">
        <v>8450</v>
      </c>
      <c r="E44" s="420">
        <v>46283.0</v>
      </c>
      <c r="F44" s="4" t="s">
        <v>5452</v>
      </c>
      <c r="G44" s="4" t="s">
        <v>13</v>
      </c>
      <c r="H44" s="4" t="s">
        <v>6288</v>
      </c>
      <c r="I44" s="4" t="s">
        <v>7867</v>
      </c>
      <c r="J44" s="4" t="s">
        <v>8451</v>
      </c>
      <c r="K44" s="4" t="s">
        <v>8452</v>
      </c>
      <c r="L44" s="4" t="s">
        <v>8453</v>
      </c>
      <c r="M44" s="4" t="s">
        <v>8454</v>
      </c>
      <c r="O44" s="4" t="s">
        <v>8455</v>
      </c>
      <c r="P44" s="420">
        <v>46283.0</v>
      </c>
      <c r="Q44" s="4" t="s">
        <v>5461</v>
      </c>
      <c r="R44" s="4" t="s">
        <v>17</v>
      </c>
      <c r="S44" s="4" t="s">
        <v>5147</v>
      </c>
      <c r="T44" s="4" t="s">
        <v>8456</v>
      </c>
      <c r="U44" s="4" t="s">
        <v>8457</v>
      </c>
      <c r="V44" s="4" t="s">
        <v>8458</v>
      </c>
      <c r="W44" s="4" t="s">
        <v>8459</v>
      </c>
      <c r="X44" s="4" t="s">
        <v>8460</v>
      </c>
      <c r="Y44" s="8"/>
    </row>
    <row r="45">
      <c r="D45" s="4" t="s">
        <v>8461</v>
      </c>
      <c r="E45" s="420">
        <v>46284.0</v>
      </c>
      <c r="F45" s="4" t="s">
        <v>5475</v>
      </c>
      <c r="G45" s="4" t="s">
        <v>14</v>
      </c>
      <c r="H45" s="4" t="s">
        <v>5147</v>
      </c>
      <c r="I45" s="4" t="s">
        <v>8462</v>
      </c>
      <c r="J45" s="4" t="s">
        <v>8463</v>
      </c>
      <c r="K45" s="4" t="s">
        <v>8464</v>
      </c>
      <c r="L45" s="4" t="s">
        <v>8465</v>
      </c>
      <c r="M45" s="4" t="s">
        <v>8466</v>
      </c>
      <c r="O45" s="4" t="s">
        <v>8467</v>
      </c>
      <c r="P45" s="420">
        <v>46284.0</v>
      </c>
      <c r="Q45" s="4" t="s">
        <v>5432</v>
      </c>
      <c r="R45" s="4" t="s">
        <v>9</v>
      </c>
      <c r="S45" s="4" t="s">
        <v>8361</v>
      </c>
      <c r="T45" s="4" t="s">
        <v>8468</v>
      </c>
      <c r="U45" s="4" t="s">
        <v>8469</v>
      </c>
      <c r="V45" s="4" t="s">
        <v>8470</v>
      </c>
      <c r="W45" s="4" t="s">
        <v>8471</v>
      </c>
      <c r="X45" s="4" t="s">
        <v>8472</v>
      </c>
      <c r="Y45" s="8"/>
    </row>
    <row r="46">
      <c r="D46" s="4" t="s">
        <v>8473</v>
      </c>
      <c r="E46" s="420">
        <v>46285.0</v>
      </c>
      <c r="F46" s="4" t="s">
        <v>5452</v>
      </c>
      <c r="G46" s="4" t="s">
        <v>6</v>
      </c>
      <c r="H46" s="4" t="s">
        <v>5147</v>
      </c>
      <c r="I46" s="4" t="s">
        <v>8474</v>
      </c>
      <c r="J46" s="4" t="s">
        <v>8475</v>
      </c>
      <c r="K46" s="4" t="s">
        <v>8476</v>
      </c>
      <c r="L46" s="4" t="s">
        <v>8477</v>
      </c>
      <c r="M46" s="4" t="s">
        <v>8478</v>
      </c>
      <c r="O46" s="4" t="s">
        <v>4327</v>
      </c>
      <c r="P46" s="420">
        <v>46285.0</v>
      </c>
      <c r="Q46" s="4" t="s">
        <v>5439</v>
      </c>
      <c r="R46" s="4" t="s">
        <v>11</v>
      </c>
      <c r="S46" s="4" t="s">
        <v>8479</v>
      </c>
      <c r="T46" s="4" t="s">
        <v>8480</v>
      </c>
      <c r="U46" s="4" t="s">
        <v>8481</v>
      </c>
      <c r="V46" s="4" t="s">
        <v>8482</v>
      </c>
      <c r="W46" s="4" t="s">
        <v>8483</v>
      </c>
      <c r="X46" s="4" t="s">
        <v>8484</v>
      </c>
      <c r="Y46" s="8"/>
    </row>
    <row r="47">
      <c r="D47" s="4" t="s">
        <v>8485</v>
      </c>
      <c r="E47" s="420">
        <v>46287.0</v>
      </c>
      <c r="F47" s="4" t="s">
        <v>8354</v>
      </c>
      <c r="G47" s="4" t="s">
        <v>4</v>
      </c>
      <c r="H47" s="4" t="s">
        <v>173</v>
      </c>
      <c r="I47" s="4" t="s">
        <v>7921</v>
      </c>
      <c r="J47" s="4" t="s">
        <v>8486</v>
      </c>
      <c r="K47" s="4" t="s">
        <v>8487</v>
      </c>
      <c r="L47" s="4" t="s">
        <v>8488</v>
      </c>
      <c r="M47" s="4" t="s">
        <v>8489</v>
      </c>
      <c r="N47" s="8"/>
      <c r="O47" s="4" t="s">
        <v>7870</v>
      </c>
      <c r="P47" s="420">
        <v>46286.0</v>
      </c>
      <c r="Q47" s="4" t="s">
        <v>8354</v>
      </c>
      <c r="R47" s="4" t="s">
        <v>8</v>
      </c>
      <c r="S47" s="4" t="s">
        <v>8361</v>
      </c>
      <c r="T47" s="4" t="s">
        <v>8490</v>
      </c>
      <c r="U47" s="4" t="s">
        <v>8491</v>
      </c>
      <c r="V47" s="4" t="s">
        <v>8492</v>
      </c>
      <c r="W47" s="4" t="s">
        <v>8493</v>
      </c>
      <c r="X47" s="4" t="s">
        <v>8494</v>
      </c>
      <c r="Y47" s="8"/>
    </row>
    <row r="48">
      <c r="D48" s="4" t="s">
        <v>8495</v>
      </c>
      <c r="E48" s="420">
        <v>46287.0</v>
      </c>
      <c r="F48" s="4" t="s">
        <v>8369</v>
      </c>
      <c r="G48" s="4" t="s">
        <v>16</v>
      </c>
      <c r="H48" s="4" t="s">
        <v>5147</v>
      </c>
      <c r="I48" s="4" t="s">
        <v>7816</v>
      </c>
      <c r="J48" s="4" t="s">
        <v>8496</v>
      </c>
      <c r="K48" s="4" t="s">
        <v>8497</v>
      </c>
      <c r="L48" s="4" t="s">
        <v>8498</v>
      </c>
      <c r="M48" s="4" t="s">
        <v>8499</v>
      </c>
      <c r="N48" s="8"/>
      <c r="O48" s="4" t="s">
        <v>7783</v>
      </c>
      <c r="P48" s="420">
        <v>46286.0</v>
      </c>
      <c r="Q48" s="4" t="s">
        <v>5475</v>
      </c>
      <c r="R48" s="4" t="s">
        <v>12</v>
      </c>
      <c r="S48" s="4" t="s">
        <v>5147</v>
      </c>
      <c r="T48" s="4" t="s">
        <v>7793</v>
      </c>
      <c r="U48" s="4" t="s">
        <v>8500</v>
      </c>
      <c r="V48" s="4" t="s">
        <v>8501</v>
      </c>
      <c r="W48" s="4" t="s">
        <v>8502</v>
      </c>
      <c r="X48" s="4" t="s">
        <v>8503</v>
      </c>
      <c r="Y48" s="8"/>
    </row>
    <row r="49">
      <c r="D49" s="4" t="s">
        <v>4360</v>
      </c>
      <c r="E49" s="420">
        <v>46288.0</v>
      </c>
      <c r="F49" s="4" t="s">
        <v>5426</v>
      </c>
      <c r="G49" s="4" t="s">
        <v>13</v>
      </c>
      <c r="H49" s="4" t="s">
        <v>173</v>
      </c>
      <c r="I49" s="4" t="s">
        <v>8504</v>
      </c>
      <c r="J49" s="4" t="s">
        <v>8505</v>
      </c>
      <c r="K49" s="4" t="s">
        <v>8506</v>
      </c>
      <c r="L49" s="4" t="s">
        <v>8507</v>
      </c>
      <c r="M49" s="4" t="s">
        <v>8508</v>
      </c>
      <c r="N49" s="8"/>
      <c r="O49" s="4" t="s">
        <v>8509</v>
      </c>
      <c r="P49" s="420">
        <v>46288.0</v>
      </c>
      <c r="Q49" s="4" t="s">
        <v>5461</v>
      </c>
      <c r="R49" s="4" t="s">
        <v>10</v>
      </c>
      <c r="S49" s="4" t="s">
        <v>169</v>
      </c>
      <c r="T49" s="4" t="s">
        <v>7896</v>
      </c>
      <c r="U49" s="4" t="s">
        <v>8510</v>
      </c>
      <c r="V49" s="4" t="s">
        <v>8511</v>
      </c>
      <c r="W49" s="4" t="s">
        <v>8512</v>
      </c>
      <c r="X49" s="4" t="s">
        <v>8513</v>
      </c>
      <c r="Y49" s="8"/>
    </row>
    <row r="50">
      <c r="D50" s="4" t="s">
        <v>8514</v>
      </c>
      <c r="E50" s="420">
        <v>46289.0</v>
      </c>
      <c r="F50" s="4" t="s">
        <v>5475</v>
      </c>
      <c r="G50" s="4" t="s">
        <v>16</v>
      </c>
      <c r="H50" s="4" t="s">
        <v>173</v>
      </c>
      <c r="I50" s="4" t="s">
        <v>7816</v>
      </c>
      <c r="J50" s="4" t="s">
        <v>8515</v>
      </c>
      <c r="K50" s="4" t="s">
        <v>8516</v>
      </c>
      <c r="L50" s="4" t="s">
        <v>8517</v>
      </c>
      <c r="M50" s="4" t="s">
        <v>8518</v>
      </c>
      <c r="N50" s="8"/>
      <c r="O50" s="4" t="s">
        <v>8519</v>
      </c>
      <c r="P50" s="420">
        <v>46289.0</v>
      </c>
      <c r="Q50" s="4" t="s">
        <v>5432</v>
      </c>
      <c r="R50" s="4" t="s">
        <v>17</v>
      </c>
      <c r="S50" s="4" t="s">
        <v>8361</v>
      </c>
      <c r="T50" s="4" t="s">
        <v>8520</v>
      </c>
      <c r="U50" s="4" t="s">
        <v>8521</v>
      </c>
      <c r="V50" s="4" t="s">
        <v>8522</v>
      </c>
      <c r="W50" s="4" t="s">
        <v>8523</v>
      </c>
      <c r="X50" s="4" t="s">
        <v>8524</v>
      </c>
      <c r="Y50" s="8"/>
    </row>
    <row r="51">
      <c r="D51" s="4" t="s">
        <v>8525</v>
      </c>
      <c r="E51" s="420">
        <v>46290.0</v>
      </c>
      <c r="F51" s="4" t="s">
        <v>5439</v>
      </c>
      <c r="G51" s="4" t="s">
        <v>5</v>
      </c>
      <c r="H51" s="4" t="s">
        <v>5147</v>
      </c>
      <c r="I51" s="4" t="s">
        <v>8526</v>
      </c>
      <c r="J51" s="4" t="s">
        <v>8527</v>
      </c>
      <c r="K51" s="4" t="s">
        <v>8528</v>
      </c>
      <c r="L51" s="4" t="s">
        <v>8529</v>
      </c>
      <c r="M51" s="4" t="s">
        <v>8530</v>
      </c>
      <c r="N51" s="8"/>
      <c r="O51" s="4" t="s">
        <v>8531</v>
      </c>
      <c r="P51" s="420">
        <v>46290.0</v>
      </c>
      <c r="Q51" s="4" t="s">
        <v>5426</v>
      </c>
      <c r="R51" s="4" t="s">
        <v>7</v>
      </c>
      <c r="S51" s="4" t="s">
        <v>8532</v>
      </c>
      <c r="T51" s="4" t="s">
        <v>7831</v>
      </c>
      <c r="U51" s="4" t="s">
        <v>8533</v>
      </c>
      <c r="V51" s="4" t="s">
        <v>8534</v>
      </c>
      <c r="W51" s="4" t="s">
        <v>8535</v>
      </c>
      <c r="X51" s="4" t="s">
        <v>8536</v>
      </c>
      <c r="Y51" s="8"/>
    </row>
    <row r="52">
      <c r="D52" s="4" t="s">
        <v>4389</v>
      </c>
      <c r="E52" s="420">
        <v>46291.0</v>
      </c>
      <c r="F52" s="4" t="s">
        <v>5439</v>
      </c>
      <c r="G52" s="4" t="s">
        <v>13</v>
      </c>
      <c r="H52" s="4" t="s">
        <v>8361</v>
      </c>
      <c r="I52" s="4" t="s">
        <v>8537</v>
      </c>
      <c r="J52" s="4" t="s">
        <v>8538</v>
      </c>
      <c r="K52" s="4" t="s">
        <v>8539</v>
      </c>
      <c r="L52" s="4" t="s">
        <v>8317</v>
      </c>
      <c r="M52" s="4" t="s">
        <v>8540</v>
      </c>
      <c r="N52" s="8"/>
      <c r="O52" s="4" t="s">
        <v>8541</v>
      </c>
      <c r="P52" s="420">
        <v>46291.0</v>
      </c>
      <c r="Q52" s="4" t="s">
        <v>5452</v>
      </c>
      <c r="R52" s="4" t="s">
        <v>11</v>
      </c>
      <c r="S52" s="4" t="s">
        <v>8304</v>
      </c>
      <c r="T52" s="4" t="s">
        <v>8542</v>
      </c>
      <c r="U52" s="4" t="s">
        <v>8543</v>
      </c>
      <c r="V52" s="4" t="s">
        <v>8544</v>
      </c>
      <c r="W52" s="4" t="s">
        <v>8545</v>
      </c>
      <c r="X52" s="4" t="s">
        <v>8546</v>
      </c>
      <c r="Y52" s="8"/>
    </row>
    <row r="53"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G54" s="8"/>
      <c r="H54" s="8"/>
      <c r="I54" s="8"/>
      <c r="J54" s="8"/>
      <c r="K54" s="8"/>
      <c r="L54" s="8"/>
      <c r="M54" s="8"/>
      <c r="N54" s="8"/>
      <c r="Q54" s="8"/>
      <c r="R54" s="8"/>
      <c r="S54" s="8"/>
      <c r="T54" s="8"/>
      <c r="U54" s="8"/>
      <c r="V54" s="8"/>
      <c r="W54" s="8"/>
      <c r="X54" s="8"/>
      <c r="Y54" s="8"/>
    </row>
    <row r="55">
      <c r="G55" s="8"/>
      <c r="H55" s="8"/>
      <c r="I55" s="8"/>
      <c r="J55" s="8"/>
      <c r="K55" s="8"/>
      <c r="L55" s="8"/>
      <c r="M55" s="8"/>
      <c r="N55" s="8"/>
      <c r="Q55" s="8"/>
      <c r="R55" s="8"/>
      <c r="S55" s="8"/>
      <c r="T55" s="8"/>
      <c r="U55" s="8"/>
      <c r="V55" s="8"/>
      <c r="W55" s="8"/>
      <c r="X55" s="8"/>
      <c r="Y55" s="8"/>
    </row>
    <row r="56">
      <c r="D56" s="107" t="s">
        <v>8547</v>
      </c>
      <c r="N56" s="8"/>
      <c r="Q56" s="8"/>
      <c r="R56" s="8"/>
      <c r="S56" s="8"/>
      <c r="T56" s="8"/>
      <c r="U56" s="8"/>
      <c r="V56" s="8"/>
      <c r="W56" s="8"/>
      <c r="X56" s="8"/>
      <c r="Y56" s="8"/>
    </row>
    <row r="57">
      <c r="D57" s="149" t="s">
        <v>7777</v>
      </c>
      <c r="N57" s="8"/>
      <c r="Q57" s="8"/>
      <c r="R57" s="8"/>
      <c r="S57" s="8"/>
      <c r="T57" s="8"/>
      <c r="U57" s="8"/>
      <c r="V57" s="8"/>
      <c r="W57" s="8"/>
      <c r="X57" s="8"/>
      <c r="Y57" s="8"/>
    </row>
    <row r="58">
      <c r="D58" s="379" t="s">
        <v>4319</v>
      </c>
      <c r="E58" s="379" t="s">
        <v>4702</v>
      </c>
      <c r="F58" s="256" t="s">
        <v>4703</v>
      </c>
      <c r="G58" s="379" t="s">
        <v>4320</v>
      </c>
      <c r="H58" s="379" t="s">
        <v>436</v>
      </c>
      <c r="I58" s="379" t="s">
        <v>4704</v>
      </c>
      <c r="J58" s="379" t="s">
        <v>135</v>
      </c>
      <c r="K58" s="379" t="s">
        <v>128</v>
      </c>
      <c r="L58" s="256" t="s">
        <v>124</v>
      </c>
      <c r="M58" s="256" t="s">
        <v>138</v>
      </c>
      <c r="N58" s="8"/>
      <c r="Q58" s="8"/>
      <c r="R58" s="8"/>
      <c r="S58" s="8"/>
      <c r="T58" s="8"/>
      <c r="U58" s="8"/>
      <c r="V58" s="8"/>
      <c r="W58" s="8"/>
      <c r="X58" s="8"/>
      <c r="Y58" s="8"/>
    </row>
    <row r="59">
      <c r="D59" s="4" t="s">
        <v>7862</v>
      </c>
      <c r="E59" s="4" t="s">
        <v>8548</v>
      </c>
      <c r="F59" s="4" t="s">
        <v>5426</v>
      </c>
      <c r="G59" s="4" t="s">
        <v>13</v>
      </c>
      <c r="H59" s="4" t="s">
        <v>8361</v>
      </c>
      <c r="I59" s="4" t="s">
        <v>8370</v>
      </c>
      <c r="J59" s="4" t="s">
        <v>8549</v>
      </c>
      <c r="K59" s="4" t="s">
        <v>8550</v>
      </c>
      <c r="L59" s="4" t="s">
        <v>8551</v>
      </c>
      <c r="M59" s="4" t="s">
        <v>8552</v>
      </c>
      <c r="N59" s="8"/>
      <c r="O59" s="8"/>
      <c r="Q59" s="8"/>
      <c r="R59" s="8"/>
      <c r="S59" s="8"/>
      <c r="T59" s="8"/>
      <c r="U59" s="8"/>
      <c r="V59" s="8"/>
      <c r="W59" s="8"/>
      <c r="X59" s="8"/>
      <c r="Y59" s="8"/>
    </row>
    <row r="60">
      <c r="D60" s="4" t="s">
        <v>4334</v>
      </c>
      <c r="E60" s="4" t="s">
        <v>8548</v>
      </c>
      <c r="F60" s="4" t="s">
        <v>5439</v>
      </c>
      <c r="G60" s="4" t="s">
        <v>14</v>
      </c>
      <c r="H60" s="4" t="s">
        <v>175</v>
      </c>
      <c r="I60" s="4" t="s">
        <v>8553</v>
      </c>
      <c r="J60" s="4" t="s">
        <v>8554</v>
      </c>
      <c r="K60" s="4" t="s">
        <v>8555</v>
      </c>
      <c r="L60" s="4" t="s">
        <v>8556</v>
      </c>
      <c r="M60" s="4" t="s">
        <v>8557</v>
      </c>
      <c r="N60" s="8"/>
      <c r="O60" s="8"/>
      <c r="Q60" s="8"/>
      <c r="R60" s="8"/>
      <c r="S60" s="8"/>
      <c r="T60" s="8"/>
      <c r="U60" s="8"/>
      <c r="V60" s="8"/>
      <c r="W60" s="8"/>
      <c r="X60" s="8"/>
      <c r="Y60" s="8"/>
    </row>
    <row r="61">
      <c r="D61" s="4" t="s">
        <v>4369</v>
      </c>
      <c r="E61" s="4" t="s">
        <v>8080</v>
      </c>
      <c r="F61" s="4" t="s">
        <v>5452</v>
      </c>
      <c r="G61" s="4" t="s">
        <v>6</v>
      </c>
      <c r="H61" s="4" t="s">
        <v>173</v>
      </c>
      <c r="I61" s="4" t="s">
        <v>8558</v>
      </c>
      <c r="J61" s="4" t="s">
        <v>8559</v>
      </c>
      <c r="K61" s="4" t="s">
        <v>8560</v>
      </c>
      <c r="L61" s="4" t="s">
        <v>8561</v>
      </c>
      <c r="M61" s="4" t="s">
        <v>8562</v>
      </c>
      <c r="N61" s="8"/>
      <c r="O61" s="8"/>
      <c r="Q61" s="8"/>
      <c r="R61" s="8"/>
      <c r="S61" s="8"/>
      <c r="T61" s="8"/>
      <c r="U61" s="8"/>
      <c r="V61" s="8"/>
      <c r="W61" s="8"/>
      <c r="X61" s="8"/>
      <c r="Y61" s="8"/>
    </row>
    <row r="62">
      <c r="D62" s="4" t="s">
        <v>7817</v>
      </c>
      <c r="E62" s="4" t="s">
        <v>8080</v>
      </c>
      <c r="F62" s="4" t="s">
        <v>7770</v>
      </c>
      <c r="G62" s="4" t="s">
        <v>5</v>
      </c>
      <c r="H62" s="4" t="s">
        <v>5147</v>
      </c>
      <c r="I62" s="4" t="s">
        <v>8526</v>
      </c>
      <c r="J62" s="4" t="s">
        <v>8563</v>
      </c>
      <c r="K62" s="4" t="s">
        <v>8564</v>
      </c>
      <c r="L62" s="4" t="s">
        <v>8565</v>
      </c>
      <c r="M62" s="4" t="s">
        <v>8566</v>
      </c>
      <c r="N62" s="8"/>
      <c r="O62" s="8"/>
      <c r="Q62" s="8"/>
      <c r="R62" s="8"/>
      <c r="S62" s="8"/>
      <c r="T62" s="8"/>
      <c r="U62" s="8"/>
      <c r="V62" s="8"/>
      <c r="W62" s="8"/>
      <c r="X62" s="8"/>
      <c r="Y62" s="8"/>
    </row>
    <row r="63">
      <c r="D63" s="107" t="s">
        <v>8567</v>
      </c>
      <c r="N63" s="8"/>
      <c r="O63" s="8"/>
      <c r="Q63" s="8"/>
      <c r="R63" s="8"/>
      <c r="S63" s="8"/>
      <c r="T63" s="8"/>
      <c r="U63" s="8"/>
      <c r="V63" s="8"/>
      <c r="W63" s="8"/>
      <c r="X63" s="8"/>
      <c r="Y63" s="8"/>
    </row>
    <row r="64">
      <c r="D64" s="149" t="s">
        <v>7777</v>
      </c>
      <c r="N64" s="8"/>
      <c r="O64" s="8"/>
      <c r="Q64" s="8"/>
      <c r="R64" s="8"/>
      <c r="S64" s="8"/>
      <c r="T64" s="8"/>
      <c r="U64" s="8"/>
      <c r="V64" s="8"/>
      <c r="W64" s="8"/>
      <c r="X64" s="8"/>
      <c r="Y64" s="8"/>
    </row>
    <row r="65">
      <c r="D65" s="379" t="s">
        <v>4319</v>
      </c>
      <c r="E65" s="379" t="s">
        <v>4702</v>
      </c>
      <c r="F65" s="256" t="s">
        <v>4703</v>
      </c>
      <c r="G65" s="379" t="s">
        <v>4320</v>
      </c>
      <c r="H65" s="379" t="s">
        <v>436</v>
      </c>
      <c r="I65" s="379" t="s">
        <v>4704</v>
      </c>
      <c r="J65" s="379" t="s">
        <v>135</v>
      </c>
      <c r="K65" s="379" t="s">
        <v>128</v>
      </c>
      <c r="L65" s="256" t="s">
        <v>124</v>
      </c>
      <c r="M65" s="256" t="s">
        <v>138</v>
      </c>
      <c r="N65" s="8"/>
      <c r="O65" s="8"/>
      <c r="Q65" s="8"/>
      <c r="R65" s="8"/>
      <c r="S65" s="8"/>
      <c r="T65" s="8"/>
      <c r="U65" s="8"/>
      <c r="V65" s="8"/>
      <c r="W65" s="8"/>
      <c r="X65" s="8"/>
      <c r="Y65" s="8"/>
    </row>
    <row r="66">
      <c r="D66" s="4" t="s">
        <v>7865</v>
      </c>
      <c r="E66" s="4" t="s">
        <v>8568</v>
      </c>
      <c r="F66" s="4" t="s">
        <v>5439</v>
      </c>
      <c r="G66" s="4" t="s">
        <v>13</v>
      </c>
      <c r="H66" s="4" t="s">
        <v>8361</v>
      </c>
      <c r="I66" s="4" t="s">
        <v>8569</v>
      </c>
      <c r="J66" s="4" t="s">
        <v>8570</v>
      </c>
      <c r="K66" s="4" t="s">
        <v>8571</v>
      </c>
      <c r="L66" s="4" t="s">
        <v>8572</v>
      </c>
      <c r="M66" s="4" t="s">
        <v>8573</v>
      </c>
      <c r="N66" s="8"/>
      <c r="O66" s="8"/>
      <c r="Q66" s="8"/>
      <c r="R66" s="8"/>
      <c r="S66" s="8"/>
      <c r="T66" s="8"/>
      <c r="U66" s="8"/>
      <c r="V66" s="8"/>
      <c r="W66" s="8"/>
      <c r="X66" s="8"/>
      <c r="Y66" s="8"/>
    </row>
    <row r="67">
      <c r="D67" s="4" t="s">
        <v>8574</v>
      </c>
      <c r="E67" s="4" t="s">
        <v>8568</v>
      </c>
      <c r="F67" s="4" t="s">
        <v>5432</v>
      </c>
      <c r="G67" s="4" t="s">
        <v>14</v>
      </c>
      <c r="H67" s="4" t="s">
        <v>5147</v>
      </c>
      <c r="I67" s="4" t="s">
        <v>8575</v>
      </c>
      <c r="J67" s="4" t="s">
        <v>8576</v>
      </c>
      <c r="K67" s="4" t="s">
        <v>8577</v>
      </c>
      <c r="L67" s="4" t="s">
        <v>8578</v>
      </c>
      <c r="M67" s="4" t="s">
        <v>8579</v>
      </c>
      <c r="Q67" s="8"/>
      <c r="R67" s="8"/>
      <c r="S67" s="8"/>
      <c r="T67" s="8"/>
      <c r="U67" s="8"/>
      <c r="V67" s="8"/>
      <c r="W67" s="8"/>
      <c r="X67" s="8"/>
      <c r="Y67" s="8"/>
    </row>
    <row r="68">
      <c r="D68" s="107" t="s">
        <v>8580</v>
      </c>
      <c r="Q68" s="8"/>
      <c r="R68" s="8"/>
      <c r="S68" s="8"/>
      <c r="T68" s="8"/>
      <c r="U68" s="8"/>
      <c r="V68" s="8"/>
      <c r="W68" s="8"/>
      <c r="X68" s="8"/>
      <c r="Y68" s="8"/>
    </row>
    <row r="69">
      <c r="D69" s="149" t="s">
        <v>7777</v>
      </c>
      <c r="Q69" s="8"/>
      <c r="R69" s="8"/>
      <c r="S69" s="8"/>
      <c r="T69" s="8"/>
      <c r="U69" s="8"/>
      <c r="V69" s="8"/>
      <c r="W69" s="8"/>
      <c r="X69" s="8"/>
      <c r="Y69" s="8"/>
    </row>
    <row r="70">
      <c r="D70" s="379" t="s">
        <v>4319</v>
      </c>
      <c r="E70" s="379" t="s">
        <v>4702</v>
      </c>
      <c r="F70" s="256" t="s">
        <v>4703</v>
      </c>
      <c r="G70" s="379" t="s">
        <v>4320</v>
      </c>
      <c r="H70" s="379" t="s">
        <v>436</v>
      </c>
      <c r="I70" s="379" t="s">
        <v>4704</v>
      </c>
      <c r="J70" s="379" t="s">
        <v>135</v>
      </c>
      <c r="K70" s="379" t="s">
        <v>128</v>
      </c>
      <c r="L70" s="256" t="s">
        <v>124</v>
      </c>
      <c r="M70" s="256" t="s">
        <v>138</v>
      </c>
      <c r="Q70" s="8"/>
      <c r="R70" s="8"/>
      <c r="S70" s="8"/>
      <c r="T70" s="8"/>
      <c r="U70" s="8"/>
      <c r="V70" s="8"/>
      <c r="W70" s="8"/>
      <c r="X70" s="8"/>
      <c r="Y70" s="8"/>
    </row>
    <row r="71">
      <c r="D71" s="4" t="s">
        <v>4389</v>
      </c>
      <c r="E71" s="4" t="s">
        <v>8581</v>
      </c>
      <c r="F71" s="4" t="s">
        <v>5426</v>
      </c>
      <c r="G71" s="4" t="s">
        <v>13</v>
      </c>
      <c r="H71" s="4" t="s">
        <v>5147</v>
      </c>
      <c r="I71" s="4" t="s">
        <v>8569</v>
      </c>
      <c r="J71" s="4" t="s">
        <v>8582</v>
      </c>
      <c r="K71" s="4" t="s">
        <v>8583</v>
      </c>
      <c r="L71" s="4" t="s">
        <v>8584</v>
      </c>
      <c r="M71" s="4" t="s">
        <v>8585</v>
      </c>
      <c r="Q71" s="8"/>
      <c r="R71" s="8"/>
      <c r="S71" s="8"/>
      <c r="T71" s="8"/>
      <c r="U71" s="8"/>
      <c r="V71" s="8"/>
      <c r="W71" s="8"/>
      <c r="X71" s="8"/>
      <c r="Y71" s="8"/>
    </row>
    <row r="72">
      <c r="D72" s="8"/>
      <c r="E72" s="8"/>
      <c r="F72" s="8"/>
      <c r="G72" s="8"/>
      <c r="H72" s="8"/>
      <c r="I72" s="8"/>
      <c r="J72" s="8"/>
      <c r="K72" s="8"/>
      <c r="L72" s="8"/>
      <c r="M72" s="8"/>
      <c r="Q72" s="8"/>
      <c r="R72" s="8"/>
      <c r="S72" s="8"/>
      <c r="T72" s="8"/>
      <c r="U72" s="8"/>
      <c r="V72" s="8"/>
      <c r="W72" s="8"/>
      <c r="X72" s="8"/>
      <c r="Y72" s="8"/>
    </row>
    <row r="73">
      <c r="D73" s="8"/>
      <c r="E73" s="8"/>
      <c r="F73" s="8"/>
      <c r="G73" s="8"/>
      <c r="H73" s="8"/>
      <c r="I73" s="8"/>
      <c r="J73" s="8"/>
      <c r="K73" s="8"/>
      <c r="L73" s="8"/>
      <c r="M73" s="8"/>
      <c r="Q73" s="8"/>
      <c r="R73" s="8"/>
      <c r="S73" s="8"/>
      <c r="T73" s="8"/>
      <c r="U73" s="8"/>
      <c r="V73" s="8"/>
      <c r="W73" s="8"/>
      <c r="X73" s="8"/>
      <c r="Y73" s="8"/>
    </row>
    <row r="74">
      <c r="D74" s="8"/>
      <c r="E74" s="8"/>
      <c r="F74" s="8"/>
      <c r="G74" s="8"/>
      <c r="H74" s="8"/>
      <c r="I74" s="8"/>
      <c r="J74" s="8"/>
      <c r="K74" s="8"/>
      <c r="L74" s="8"/>
      <c r="M74" s="8"/>
      <c r="Q74" s="8"/>
      <c r="R74" s="8"/>
      <c r="S74" s="8"/>
      <c r="T74" s="8"/>
      <c r="U74" s="8"/>
      <c r="V74" s="8"/>
      <c r="W74" s="8"/>
      <c r="X74" s="8"/>
      <c r="Y74" s="8"/>
    </row>
    <row r="75">
      <c r="D75" s="8"/>
      <c r="E75" s="8"/>
      <c r="F75" s="8"/>
      <c r="G75" s="8"/>
      <c r="H75" s="8"/>
      <c r="I75" s="8"/>
      <c r="J75" s="8"/>
      <c r="K75" s="8"/>
      <c r="L75" s="8"/>
      <c r="M75" s="8"/>
      <c r="Q75" s="8"/>
      <c r="R75" s="8"/>
      <c r="S75" s="8"/>
      <c r="T75" s="8"/>
      <c r="U75" s="8"/>
      <c r="V75" s="8"/>
      <c r="W75" s="8"/>
      <c r="X75" s="8"/>
      <c r="Y75" s="8"/>
    </row>
    <row r="76">
      <c r="Q76" s="8"/>
      <c r="R76" s="8"/>
      <c r="S76" s="8"/>
      <c r="T76" s="8"/>
      <c r="U76" s="8"/>
      <c r="V76" s="8"/>
      <c r="W76" s="8"/>
      <c r="X76" s="8"/>
      <c r="Y76" s="8"/>
    </row>
    <row r="77">
      <c r="A77" s="375" t="s">
        <v>8586</v>
      </c>
      <c r="Q77" s="8"/>
      <c r="R77" s="8"/>
      <c r="S77" s="8"/>
      <c r="T77" s="8"/>
      <c r="U77" s="8"/>
      <c r="V77" s="8"/>
      <c r="W77" s="8"/>
      <c r="X77" s="8"/>
      <c r="Y77" s="8"/>
    </row>
    <row r="78">
      <c r="A78" s="251" t="s">
        <v>111</v>
      </c>
      <c r="B78" s="251" t="s">
        <v>112</v>
      </c>
      <c r="C78" s="251" t="s">
        <v>4405</v>
      </c>
      <c r="D78" s="251" t="s">
        <v>7835</v>
      </c>
      <c r="E78" s="251" t="s">
        <v>4406</v>
      </c>
      <c r="Q78" s="8"/>
      <c r="R78" s="8"/>
      <c r="S78" s="8"/>
      <c r="T78" s="8"/>
      <c r="U78" s="8"/>
      <c r="V78" s="8"/>
      <c r="W78" s="8"/>
      <c r="X78" s="8"/>
      <c r="Y78" s="8"/>
    </row>
    <row r="79">
      <c r="A79" s="4" t="s">
        <v>288</v>
      </c>
      <c r="B79" s="4" t="s">
        <v>289</v>
      </c>
      <c r="C79" s="4" t="s">
        <v>11</v>
      </c>
      <c r="D79" s="4" t="s">
        <v>7838</v>
      </c>
      <c r="E79" s="4">
        <v>100000.0</v>
      </c>
      <c r="Q79" s="8"/>
      <c r="R79" s="8"/>
      <c r="S79" s="8"/>
      <c r="T79" s="8"/>
      <c r="U79" s="8"/>
      <c r="V79" s="8"/>
      <c r="W79" s="8"/>
      <c r="X79" s="8"/>
      <c r="Y79" s="8"/>
    </row>
    <row r="80">
      <c r="A80" s="4" t="s">
        <v>290</v>
      </c>
      <c r="B80" s="4" t="s">
        <v>173</v>
      </c>
      <c r="C80" s="4" t="s">
        <v>11</v>
      </c>
      <c r="D80" s="4" t="s">
        <v>7838</v>
      </c>
      <c r="E80" s="4">
        <v>100000.0</v>
      </c>
      <c r="Q80" s="8"/>
      <c r="R80" s="8"/>
      <c r="S80" s="8"/>
      <c r="T80" s="8"/>
      <c r="U80" s="8"/>
      <c r="V80" s="8"/>
      <c r="W80" s="8"/>
      <c r="X80" s="8"/>
      <c r="Y80" s="8"/>
    </row>
    <row r="81">
      <c r="A81" s="4" t="s">
        <v>291</v>
      </c>
      <c r="B81" s="4" t="s">
        <v>292</v>
      </c>
      <c r="C81" s="4" t="s">
        <v>5</v>
      </c>
      <c r="D81" s="4" t="s">
        <v>8587</v>
      </c>
      <c r="E81" s="4">
        <v>200000.0</v>
      </c>
      <c r="Q81" s="8"/>
      <c r="R81" s="8"/>
      <c r="S81" s="8"/>
      <c r="T81" s="8"/>
      <c r="U81" s="8"/>
      <c r="V81" s="8"/>
      <c r="W81" s="8"/>
      <c r="X81" s="8"/>
      <c r="Y81" s="8"/>
    </row>
    <row r="82">
      <c r="A82" s="4" t="s">
        <v>293</v>
      </c>
      <c r="B82" s="4" t="s">
        <v>294</v>
      </c>
      <c r="C82" s="4" t="s">
        <v>14</v>
      </c>
      <c r="D82" s="4" t="s">
        <v>8588</v>
      </c>
      <c r="E82" s="4">
        <v>200000.0</v>
      </c>
      <c r="Q82" s="8"/>
      <c r="R82" s="8"/>
      <c r="S82" s="8"/>
      <c r="T82" s="8"/>
      <c r="U82" s="8"/>
      <c r="V82" s="8"/>
      <c r="W82" s="8"/>
      <c r="X82" s="8"/>
      <c r="Y82" s="8"/>
    </row>
    <row r="83">
      <c r="A83" s="4" t="s">
        <v>295</v>
      </c>
      <c r="B83" s="4" t="s">
        <v>296</v>
      </c>
      <c r="C83" s="4" t="s">
        <v>9</v>
      </c>
      <c r="D83" s="4" t="s">
        <v>8589</v>
      </c>
      <c r="E83" s="4">
        <v>200000.0</v>
      </c>
      <c r="Q83" s="8"/>
      <c r="R83" s="8"/>
      <c r="S83" s="8"/>
      <c r="T83" s="8"/>
      <c r="U83" s="8"/>
      <c r="V83" s="8"/>
      <c r="W83" s="8"/>
      <c r="X83" s="8"/>
      <c r="Y83" s="8"/>
    </row>
    <row r="84">
      <c r="A84" s="4" t="s">
        <v>297</v>
      </c>
      <c r="B84" s="4" t="s">
        <v>298</v>
      </c>
      <c r="C84" s="4" t="s">
        <v>13</v>
      </c>
      <c r="D84" s="4" t="s">
        <v>8590</v>
      </c>
      <c r="E84" s="4">
        <v>200000.0</v>
      </c>
      <c r="Q84" s="8"/>
      <c r="R84" s="8"/>
      <c r="S84" s="8"/>
      <c r="T84" s="8"/>
      <c r="U84" s="8"/>
      <c r="V84" s="8"/>
      <c r="W84" s="8"/>
      <c r="X84" s="8"/>
      <c r="Y84" s="8"/>
    </row>
    <row r="85">
      <c r="A85" s="4" t="s">
        <v>299</v>
      </c>
      <c r="B85" s="4" t="s">
        <v>300</v>
      </c>
      <c r="C85" s="4" t="s">
        <v>11</v>
      </c>
      <c r="D85" s="4" t="s">
        <v>8591</v>
      </c>
      <c r="E85" s="4">
        <v>200000.0</v>
      </c>
    </row>
    <row r="86">
      <c r="A86" s="4" t="s">
        <v>138</v>
      </c>
      <c r="B86" s="4" t="s">
        <v>141</v>
      </c>
      <c r="C86" s="4" t="s">
        <v>7</v>
      </c>
      <c r="D86" s="4" t="s">
        <v>8592</v>
      </c>
      <c r="E86" s="4">
        <v>300000.0</v>
      </c>
    </row>
    <row r="87">
      <c r="A87" s="4" t="s">
        <v>301</v>
      </c>
      <c r="B87" s="4" t="s">
        <v>181</v>
      </c>
      <c r="C87" s="4" t="s">
        <v>17</v>
      </c>
      <c r="D87" s="4" t="s">
        <v>8593</v>
      </c>
      <c r="E87" s="4">
        <v>300000.0</v>
      </c>
    </row>
    <row r="88">
      <c r="A88" s="4" t="s">
        <v>302</v>
      </c>
      <c r="B88" s="4" t="s">
        <v>303</v>
      </c>
      <c r="C88" s="4" t="s">
        <v>304</v>
      </c>
      <c r="D88" s="4" t="s">
        <v>8594</v>
      </c>
      <c r="E88" s="4">
        <v>300000.0</v>
      </c>
    </row>
    <row r="89">
      <c r="A89" s="4" t="s">
        <v>305</v>
      </c>
      <c r="B89" s="4" t="s">
        <v>262</v>
      </c>
      <c r="C89" s="4" t="s">
        <v>11</v>
      </c>
      <c r="D89" s="4" t="s">
        <v>8595</v>
      </c>
      <c r="E89" s="4">
        <v>300000.0</v>
      </c>
    </row>
    <row r="90">
      <c r="A90" s="4" t="s">
        <v>143</v>
      </c>
      <c r="B90" s="4" t="s">
        <v>298</v>
      </c>
      <c r="C90" s="4" t="s">
        <v>13</v>
      </c>
      <c r="D90" s="4" t="s">
        <v>8596</v>
      </c>
      <c r="E90" s="4">
        <v>500000.0</v>
      </c>
    </row>
    <row r="91">
      <c r="A91" s="4" t="s">
        <v>124</v>
      </c>
      <c r="B91" s="4" t="s">
        <v>306</v>
      </c>
      <c r="C91" s="4" t="s">
        <v>13</v>
      </c>
      <c r="D91" s="4" t="s">
        <v>8597</v>
      </c>
      <c r="E91" s="4">
        <v>500000.0</v>
      </c>
    </row>
    <row r="92">
      <c r="A92" s="4" t="s">
        <v>307</v>
      </c>
      <c r="B92" s="4" t="s">
        <v>268</v>
      </c>
      <c r="C92" s="4" t="s">
        <v>4</v>
      </c>
      <c r="D92" s="4" t="s">
        <v>8598</v>
      </c>
      <c r="E92" s="4">
        <v>800000.0</v>
      </c>
    </row>
    <row r="93">
      <c r="A93" s="4" t="s">
        <v>308</v>
      </c>
      <c r="B93" s="4" t="s">
        <v>306</v>
      </c>
      <c r="C93" s="4" t="s">
        <v>13</v>
      </c>
      <c r="D93" s="4" t="s">
        <v>8599</v>
      </c>
      <c r="E93" s="4">
        <v>800000.0</v>
      </c>
    </row>
    <row r="94">
      <c r="A94" s="4" t="s">
        <v>190</v>
      </c>
      <c r="B94" s="4" t="s">
        <v>306</v>
      </c>
      <c r="C94" s="4" t="s">
        <v>13</v>
      </c>
      <c r="D94" s="4" t="s">
        <v>8600</v>
      </c>
      <c r="E94" s="4">
        <v>1000000.0</v>
      </c>
    </row>
    <row r="95">
      <c r="A95" s="4" t="s">
        <v>145</v>
      </c>
      <c r="B95" s="4" t="s">
        <v>14</v>
      </c>
      <c r="E95" s="4">
        <v>1500000.0</v>
      </c>
    </row>
    <row r="96">
      <c r="A96" s="4" t="s">
        <v>148</v>
      </c>
      <c r="B96" s="4" t="s">
        <v>13</v>
      </c>
      <c r="E96" s="4">
        <v>3000000.0</v>
      </c>
    </row>
    <row r="99">
      <c r="A99" s="376" t="s">
        <v>4407</v>
      </c>
      <c r="D99" s="25"/>
    </row>
    <row r="100">
      <c r="A100" s="19" t="s">
        <v>111</v>
      </c>
      <c r="B100" s="19" t="s">
        <v>4405</v>
      </c>
      <c r="C100" s="19" t="s">
        <v>4406</v>
      </c>
    </row>
    <row r="101">
      <c r="A101" s="4" t="s">
        <v>4320</v>
      </c>
      <c r="B101" s="4" t="s">
        <v>15</v>
      </c>
      <c r="C101" s="4">
        <v>300000.0</v>
      </c>
    </row>
    <row r="102">
      <c r="A102" s="4" t="s">
        <v>4409</v>
      </c>
      <c r="B102" s="4" t="s">
        <v>11</v>
      </c>
      <c r="C102" s="4">
        <v>200000.0</v>
      </c>
    </row>
    <row r="103">
      <c r="A103" s="4" t="s">
        <v>4411</v>
      </c>
      <c r="B103" s="4" t="s">
        <v>4</v>
      </c>
      <c r="C103" s="4">
        <v>100000.0</v>
      </c>
    </row>
    <row r="104">
      <c r="A104" s="4" t="s">
        <v>4412</v>
      </c>
      <c r="B104" s="4" t="s">
        <v>103</v>
      </c>
      <c r="C104" s="4">
        <v>50000.0</v>
      </c>
    </row>
    <row r="105">
      <c r="A105" s="4" t="s">
        <v>4414</v>
      </c>
      <c r="B105" s="4" t="s">
        <v>5</v>
      </c>
      <c r="C105" s="4">
        <v>50000.0</v>
      </c>
    </row>
    <row r="107">
      <c r="A107" s="109" t="s">
        <v>4416</v>
      </c>
      <c r="D107" s="25"/>
    </row>
    <row r="108">
      <c r="A108" s="223" t="s">
        <v>111</v>
      </c>
      <c r="B108" s="223" t="s">
        <v>4405</v>
      </c>
      <c r="C108" s="223" t="s">
        <v>4406</v>
      </c>
    </row>
    <row r="109">
      <c r="A109" s="4" t="s">
        <v>4417</v>
      </c>
      <c r="B109" s="4" t="s">
        <v>8601</v>
      </c>
      <c r="C109" s="78">
        <v>500000.0</v>
      </c>
      <c r="D109" s="8"/>
    </row>
    <row r="110">
      <c r="A110" s="4" t="s">
        <v>4418</v>
      </c>
      <c r="B110" s="4" t="s">
        <v>11</v>
      </c>
      <c r="C110" s="78">
        <v>250000.0</v>
      </c>
      <c r="D110" s="8"/>
    </row>
    <row r="111">
      <c r="A111" s="4" t="s">
        <v>4419</v>
      </c>
      <c r="B111" s="4" t="s">
        <v>12</v>
      </c>
      <c r="C111" s="78">
        <v>100000.0</v>
      </c>
      <c r="D111" s="8"/>
    </row>
    <row r="112">
      <c r="A112" s="4" t="s">
        <v>4420</v>
      </c>
      <c r="B112" s="4" t="s">
        <v>13</v>
      </c>
      <c r="C112" s="78">
        <v>100000.0</v>
      </c>
      <c r="D112" s="8"/>
    </row>
    <row r="113">
      <c r="A113" s="8"/>
      <c r="B113" s="8"/>
      <c r="C113" s="8"/>
      <c r="D113" s="8"/>
    </row>
    <row r="114">
      <c r="A114" s="109" t="s">
        <v>4421</v>
      </c>
      <c r="D114" s="8"/>
    </row>
    <row r="115">
      <c r="A115" s="223" t="s">
        <v>437</v>
      </c>
      <c r="B115" s="223" t="s">
        <v>4405</v>
      </c>
      <c r="C115" s="223" t="s">
        <v>4422</v>
      </c>
      <c r="D115" s="8"/>
    </row>
    <row r="116">
      <c r="A116" s="4" t="s">
        <v>2737</v>
      </c>
      <c r="B116" s="4" t="s">
        <v>11</v>
      </c>
      <c r="C116" s="78">
        <v>1000000.0</v>
      </c>
      <c r="D116" s="8"/>
    </row>
    <row r="117">
      <c r="A117" s="71" t="s">
        <v>217</v>
      </c>
      <c r="B117" s="4" t="s">
        <v>6</v>
      </c>
      <c r="C117" s="78">
        <v>1000000.0</v>
      </c>
      <c r="D117" s="8"/>
    </row>
    <row r="118">
      <c r="B118" s="4" t="s">
        <v>5</v>
      </c>
      <c r="C118" s="78">
        <v>1000000.0</v>
      </c>
      <c r="D118" s="8"/>
    </row>
    <row r="119">
      <c r="A119" s="71" t="s">
        <v>1720</v>
      </c>
      <c r="B119" s="4" t="s">
        <v>7</v>
      </c>
      <c r="C119" s="78">
        <v>500000.0</v>
      </c>
      <c r="D119" s="8"/>
    </row>
    <row r="120">
      <c r="B120" s="4" t="s">
        <v>17</v>
      </c>
      <c r="C120" s="78">
        <v>500000.0</v>
      </c>
      <c r="D120" s="8"/>
    </row>
    <row r="121">
      <c r="B121" s="4" t="s">
        <v>8</v>
      </c>
      <c r="C121" s="78">
        <v>500000.0</v>
      </c>
      <c r="D121" s="8"/>
    </row>
    <row r="122">
      <c r="B122" s="4" t="s">
        <v>11</v>
      </c>
      <c r="C122" s="78">
        <v>500000.0</v>
      </c>
      <c r="D122" s="8"/>
    </row>
    <row r="123">
      <c r="A123" s="71" t="s">
        <v>578</v>
      </c>
      <c r="B123" s="4" t="s">
        <v>16</v>
      </c>
      <c r="C123" s="78">
        <v>200000.0</v>
      </c>
      <c r="D123" s="8"/>
    </row>
    <row r="124">
      <c r="B124" s="4" t="s">
        <v>4</v>
      </c>
      <c r="C124" s="78">
        <v>200000.0</v>
      </c>
      <c r="D124" s="8"/>
    </row>
    <row r="125">
      <c r="B125" s="4" t="s">
        <v>15</v>
      </c>
      <c r="C125" s="78">
        <v>200000.0</v>
      </c>
    </row>
    <row r="126">
      <c r="B126" s="4" t="s">
        <v>10</v>
      </c>
      <c r="C126" s="78">
        <v>200000.0</v>
      </c>
    </row>
    <row r="127">
      <c r="B127" s="4" t="s">
        <v>12</v>
      </c>
      <c r="C127" s="78">
        <v>200000.0</v>
      </c>
    </row>
    <row r="128">
      <c r="B128" s="4" t="s">
        <v>9</v>
      </c>
      <c r="C128" s="78">
        <v>200000.0</v>
      </c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B136" s="4"/>
      <c r="C136" s="4"/>
    </row>
  </sheetData>
  <mergeCells count="23">
    <mergeCell ref="A1:N1"/>
    <mergeCell ref="A2:N2"/>
    <mergeCell ref="A29:B29"/>
    <mergeCell ref="D29:M29"/>
    <mergeCell ref="O29:X29"/>
    <mergeCell ref="D30:M30"/>
    <mergeCell ref="O30:X30"/>
    <mergeCell ref="D56:M56"/>
    <mergeCell ref="D57:M57"/>
    <mergeCell ref="D63:M63"/>
    <mergeCell ref="D64:M64"/>
    <mergeCell ref="D68:M68"/>
    <mergeCell ref="D69:M69"/>
    <mergeCell ref="A77:E77"/>
    <mergeCell ref="A123:A128"/>
    <mergeCell ref="A135:A136"/>
    <mergeCell ref="B95:D95"/>
    <mergeCell ref="B96:D96"/>
    <mergeCell ref="A99:C99"/>
    <mergeCell ref="A107:C107"/>
    <mergeCell ref="A114:C114"/>
    <mergeCell ref="A117:A118"/>
    <mergeCell ref="A119:A122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3" max="3" width="17.5"/>
    <col customWidth="1" min="4" max="4" width="18.0"/>
    <col customWidth="1" min="7" max="7" width="22.38"/>
    <col customWidth="1" min="8" max="8" width="20.63"/>
    <col customWidth="1" min="9" max="9" width="19.38"/>
  </cols>
  <sheetData>
    <row r="1">
      <c r="A1" s="33" t="s">
        <v>8602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3" t="s">
        <v>8603</v>
      </c>
      <c r="B2" s="33" t="s">
        <v>2737</v>
      </c>
      <c r="C2" s="33" t="s">
        <v>8604</v>
      </c>
      <c r="D2" s="33" t="s">
        <v>8605</v>
      </c>
      <c r="E2" s="33" t="s">
        <v>8606</v>
      </c>
      <c r="F2" s="33" t="s">
        <v>8607</v>
      </c>
      <c r="G2" s="33" t="s">
        <v>4704</v>
      </c>
      <c r="H2" s="33" t="s">
        <v>135</v>
      </c>
      <c r="I2" s="33" t="s">
        <v>128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8608</v>
      </c>
      <c r="B3" s="4" t="s">
        <v>17</v>
      </c>
      <c r="C3" s="4" t="s">
        <v>5</v>
      </c>
      <c r="D3" s="4" t="s">
        <v>8609</v>
      </c>
      <c r="E3" s="4" t="s">
        <v>17</v>
      </c>
      <c r="F3" s="4">
        <v>6000.0</v>
      </c>
      <c r="G3" s="4" t="s">
        <v>8610</v>
      </c>
      <c r="H3" s="4" t="s">
        <v>8611</v>
      </c>
      <c r="I3" s="4" t="s">
        <v>8612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8613</v>
      </c>
      <c r="B4" s="4" t="s">
        <v>5</v>
      </c>
      <c r="C4" s="4" t="s">
        <v>17</v>
      </c>
      <c r="D4" s="4" t="s">
        <v>8614</v>
      </c>
      <c r="E4" s="4" t="s">
        <v>17</v>
      </c>
      <c r="F4" s="4">
        <v>6000.0</v>
      </c>
      <c r="G4" s="4" t="s">
        <v>8615</v>
      </c>
      <c r="H4" s="4" t="s">
        <v>8610</v>
      </c>
      <c r="I4" s="4" t="s">
        <v>8616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8617</v>
      </c>
      <c r="B5" s="4" t="s">
        <v>13</v>
      </c>
      <c r="C5" s="4" t="s">
        <v>17</v>
      </c>
      <c r="D5" s="4" t="s">
        <v>8618</v>
      </c>
      <c r="E5" s="4" t="s">
        <v>17</v>
      </c>
      <c r="F5" s="4">
        <v>5000.0</v>
      </c>
      <c r="G5" s="4" t="s">
        <v>8619</v>
      </c>
      <c r="H5" s="4" t="s">
        <v>8620</v>
      </c>
      <c r="I5" s="4" t="s">
        <v>8621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8622</v>
      </c>
      <c r="B6" s="4" t="s">
        <v>17</v>
      </c>
      <c r="C6" s="4" t="s">
        <v>13</v>
      </c>
      <c r="D6" s="4" t="s">
        <v>8623</v>
      </c>
      <c r="E6" s="4" t="s">
        <v>13</v>
      </c>
      <c r="F6" s="4">
        <v>5000.0</v>
      </c>
      <c r="G6" s="4" t="s">
        <v>8624</v>
      </c>
      <c r="H6" s="4" t="s">
        <v>8625</v>
      </c>
      <c r="I6" s="4" t="s">
        <v>8624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 t="s">
        <v>8626</v>
      </c>
      <c r="B7" s="4" t="s">
        <v>8</v>
      </c>
      <c r="C7" s="4" t="s">
        <v>13</v>
      </c>
      <c r="D7" s="4" t="s">
        <v>8627</v>
      </c>
      <c r="E7" s="4" t="s">
        <v>13</v>
      </c>
      <c r="F7" s="4">
        <v>5000.0</v>
      </c>
      <c r="G7" s="4" t="s">
        <v>8620</v>
      </c>
      <c r="H7" s="4" t="s">
        <v>8628</v>
      </c>
      <c r="I7" s="4" t="s">
        <v>8620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 t="s">
        <v>8629</v>
      </c>
      <c r="B8" s="4" t="s">
        <v>123</v>
      </c>
      <c r="C8" s="4" t="s">
        <v>7</v>
      </c>
      <c r="D8" s="4" t="s">
        <v>8630</v>
      </c>
      <c r="E8" s="4" t="s">
        <v>123</v>
      </c>
      <c r="F8" s="4">
        <v>7000.0</v>
      </c>
      <c r="G8" s="4" t="s">
        <v>8631</v>
      </c>
      <c r="H8" s="4" t="s">
        <v>8632</v>
      </c>
      <c r="I8" s="4" t="s">
        <v>8633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 t="s">
        <v>8634</v>
      </c>
      <c r="B9" s="4" t="s">
        <v>6</v>
      </c>
      <c r="C9" s="4" t="s">
        <v>17</v>
      </c>
      <c r="D9" s="4" t="s">
        <v>8635</v>
      </c>
      <c r="E9" s="4" t="s">
        <v>17</v>
      </c>
      <c r="F9" s="4">
        <v>6000.0</v>
      </c>
      <c r="G9" s="4" t="s">
        <v>8636</v>
      </c>
      <c r="H9" s="4" t="s">
        <v>8637</v>
      </c>
      <c r="I9" s="4" t="s">
        <v>8636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 t="s">
        <v>8638</v>
      </c>
      <c r="B10" s="4" t="s">
        <v>6</v>
      </c>
      <c r="C10" s="4" t="s">
        <v>8</v>
      </c>
      <c r="D10" s="4" t="s">
        <v>8639</v>
      </c>
      <c r="E10" s="4" t="s">
        <v>6</v>
      </c>
      <c r="F10" s="4">
        <v>5000.0</v>
      </c>
      <c r="G10" s="4" t="s">
        <v>8640</v>
      </c>
      <c r="H10" s="4" t="s">
        <v>8641</v>
      </c>
      <c r="I10" s="4" t="s">
        <v>8640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 t="s">
        <v>8642</v>
      </c>
      <c r="B11" s="4" t="s">
        <v>4</v>
      </c>
      <c r="C11" s="4" t="s">
        <v>11</v>
      </c>
      <c r="D11" s="4" t="s">
        <v>8643</v>
      </c>
      <c r="E11" s="4" t="s">
        <v>4</v>
      </c>
      <c r="F11" s="4">
        <v>5000.0</v>
      </c>
      <c r="G11" s="4" t="s">
        <v>8644</v>
      </c>
      <c r="H11" s="4" t="s">
        <v>8645</v>
      </c>
      <c r="I11" s="4" t="s">
        <v>8644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 t="s">
        <v>8646</v>
      </c>
      <c r="B12" s="4" t="s">
        <v>10</v>
      </c>
      <c r="C12" s="4" t="s">
        <v>13</v>
      </c>
      <c r="D12" s="4" t="s">
        <v>8643</v>
      </c>
      <c r="E12" s="4" t="s">
        <v>13</v>
      </c>
      <c r="F12" s="4">
        <v>5000.0</v>
      </c>
      <c r="G12" s="4" t="s">
        <v>8647</v>
      </c>
      <c r="H12" s="4" t="s">
        <v>8628</v>
      </c>
      <c r="I12" s="4" t="s">
        <v>8648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 t="s">
        <v>8649</v>
      </c>
      <c r="B13" s="4" t="s">
        <v>9</v>
      </c>
      <c r="C13" s="4" t="s">
        <v>7</v>
      </c>
      <c r="D13" s="4" t="s">
        <v>8643</v>
      </c>
      <c r="E13" s="4" t="s">
        <v>7</v>
      </c>
      <c r="F13" s="4">
        <v>2500.0</v>
      </c>
      <c r="G13" s="4" t="s">
        <v>8650</v>
      </c>
      <c r="H13" s="4" t="s">
        <v>8650</v>
      </c>
      <c r="I13" s="4" t="s">
        <v>8651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 t="s">
        <v>8652</v>
      </c>
      <c r="B14" s="4" t="s">
        <v>6</v>
      </c>
      <c r="C14" s="4" t="s">
        <v>5</v>
      </c>
      <c r="D14" s="4" t="s">
        <v>8653</v>
      </c>
      <c r="E14" s="4" t="s">
        <v>5</v>
      </c>
      <c r="F14" s="4">
        <v>10000.0</v>
      </c>
      <c r="G14" s="4" t="s">
        <v>8654</v>
      </c>
      <c r="H14" s="4" t="s">
        <v>8655</v>
      </c>
      <c r="I14" s="4" t="s">
        <v>8654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 t="s">
        <v>8656</v>
      </c>
      <c r="B15" s="4" t="s">
        <v>15</v>
      </c>
      <c r="C15" s="4" t="s">
        <v>123</v>
      </c>
      <c r="D15" s="4" t="s">
        <v>8653</v>
      </c>
      <c r="E15" s="4" t="s">
        <v>123</v>
      </c>
      <c r="F15" s="4">
        <v>10000.0</v>
      </c>
      <c r="G15" s="4" t="s">
        <v>8657</v>
      </c>
      <c r="H15" s="4" t="s">
        <v>8658</v>
      </c>
      <c r="I15" s="4" t="s">
        <v>8657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 t="s">
        <v>8659</v>
      </c>
      <c r="B16" s="4" t="s">
        <v>13</v>
      </c>
      <c r="C16" s="4" t="s">
        <v>10</v>
      </c>
      <c r="D16" s="4" t="s">
        <v>8660</v>
      </c>
      <c r="E16" s="4" t="s">
        <v>13</v>
      </c>
      <c r="F16" s="4">
        <v>5000.0</v>
      </c>
      <c r="G16" s="4" t="s">
        <v>8620</v>
      </c>
      <c r="H16" s="4" t="s">
        <v>8661</v>
      </c>
      <c r="I16" s="4" t="s">
        <v>8662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 t="s">
        <v>8663</v>
      </c>
      <c r="B17" s="4" t="s">
        <v>7</v>
      </c>
      <c r="C17" s="4" t="s">
        <v>9</v>
      </c>
      <c r="D17" s="4" t="s">
        <v>8660</v>
      </c>
      <c r="E17" s="4" t="s">
        <v>9</v>
      </c>
      <c r="F17" s="4">
        <v>2500.0</v>
      </c>
      <c r="G17" s="4" t="s">
        <v>8664</v>
      </c>
      <c r="H17" s="4" t="s">
        <v>8665</v>
      </c>
      <c r="I17" s="4" t="s">
        <v>8664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 t="s">
        <v>8666</v>
      </c>
      <c r="B18" s="4" t="s">
        <v>11</v>
      </c>
      <c r="C18" s="4" t="s">
        <v>4</v>
      </c>
      <c r="D18" s="4" t="s">
        <v>8667</v>
      </c>
      <c r="E18" s="4" t="s">
        <v>4</v>
      </c>
      <c r="F18" s="4">
        <v>5000.0</v>
      </c>
      <c r="G18" s="4" t="s">
        <v>8668</v>
      </c>
      <c r="H18" s="4" t="s">
        <v>8669</v>
      </c>
      <c r="I18" s="4" t="s">
        <v>8668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 t="s">
        <v>8670</v>
      </c>
      <c r="B19" s="4" t="s">
        <v>5</v>
      </c>
      <c r="C19" s="4" t="s">
        <v>13</v>
      </c>
      <c r="D19" s="4" t="s">
        <v>8671</v>
      </c>
      <c r="E19" s="4" t="s">
        <v>5</v>
      </c>
      <c r="F19" s="4">
        <v>5000.0</v>
      </c>
      <c r="G19" s="4" t="s">
        <v>8672</v>
      </c>
      <c r="H19" s="4" t="s">
        <v>8673</v>
      </c>
      <c r="I19" s="4" t="s">
        <v>8672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 t="s">
        <v>8674</v>
      </c>
      <c r="B20" s="4" t="s">
        <v>123</v>
      </c>
      <c r="C20" s="4" t="s">
        <v>15</v>
      </c>
      <c r="D20" s="4" t="s">
        <v>8671</v>
      </c>
      <c r="E20" s="4" t="s">
        <v>123</v>
      </c>
      <c r="F20" s="4">
        <v>10000.0</v>
      </c>
      <c r="G20" s="4" t="s">
        <v>8675</v>
      </c>
      <c r="H20" s="4" t="s">
        <v>8675</v>
      </c>
      <c r="I20" s="4" t="s">
        <v>8676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" t="s">
        <v>8677</v>
      </c>
      <c r="B21" s="4" t="s">
        <v>6</v>
      </c>
      <c r="C21" s="4" t="s">
        <v>11</v>
      </c>
      <c r="D21" s="4" t="s">
        <v>8678</v>
      </c>
      <c r="E21" s="4" t="s">
        <v>6</v>
      </c>
      <c r="F21" s="4">
        <v>10000.0</v>
      </c>
      <c r="G21" s="4" t="s">
        <v>8679</v>
      </c>
      <c r="H21" s="4" t="s">
        <v>8680</v>
      </c>
      <c r="I21" s="4" t="s">
        <v>8679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" t="s">
        <v>8681</v>
      </c>
      <c r="B22" s="4" t="s">
        <v>13</v>
      </c>
      <c r="C22" s="4" t="s">
        <v>5</v>
      </c>
      <c r="D22" s="4" t="s">
        <v>8682</v>
      </c>
      <c r="E22" s="4" t="s">
        <v>13</v>
      </c>
      <c r="F22" s="4">
        <v>5000.0</v>
      </c>
      <c r="G22" s="4" t="s">
        <v>8620</v>
      </c>
      <c r="H22" s="4" t="s">
        <v>8683</v>
      </c>
      <c r="I22" s="4" t="s">
        <v>8616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" t="s">
        <v>8684</v>
      </c>
      <c r="B23" s="4" t="s">
        <v>9</v>
      </c>
      <c r="C23" s="4" t="s">
        <v>15</v>
      </c>
      <c r="D23" s="4" t="s">
        <v>8682</v>
      </c>
      <c r="E23" s="4" t="s">
        <v>15</v>
      </c>
      <c r="F23" s="4">
        <v>5000.0</v>
      </c>
      <c r="G23" s="4" t="s">
        <v>8685</v>
      </c>
      <c r="H23" s="4" t="s">
        <v>8686</v>
      </c>
      <c r="I23" s="4" t="s">
        <v>8685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" t="s">
        <v>8687</v>
      </c>
      <c r="B24" s="4" t="s">
        <v>6</v>
      </c>
      <c r="C24" s="4" t="s">
        <v>7</v>
      </c>
      <c r="D24" s="4" t="s">
        <v>8682</v>
      </c>
      <c r="E24" s="4" t="s">
        <v>6</v>
      </c>
      <c r="F24" s="4">
        <v>5000.0</v>
      </c>
      <c r="G24" s="4" t="s">
        <v>8640</v>
      </c>
      <c r="H24" s="4" t="s">
        <v>8680</v>
      </c>
      <c r="I24" s="4" t="s">
        <v>8640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" t="s">
        <v>8688</v>
      </c>
      <c r="B25" s="4" t="s">
        <v>123</v>
      </c>
      <c r="C25" s="4" t="s">
        <v>8</v>
      </c>
      <c r="D25" s="4" t="s">
        <v>8682</v>
      </c>
      <c r="E25" s="4" t="s">
        <v>123</v>
      </c>
      <c r="F25" s="4">
        <v>5000.0</v>
      </c>
      <c r="G25" s="4" t="s">
        <v>8689</v>
      </c>
      <c r="H25" s="4" t="s">
        <v>8689</v>
      </c>
      <c r="I25" s="4" t="s">
        <v>8658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" t="s">
        <v>8690</v>
      </c>
      <c r="B26" s="4" t="s">
        <v>17</v>
      </c>
      <c r="C26" s="4" t="s">
        <v>11</v>
      </c>
      <c r="D26" s="4" t="s">
        <v>8682</v>
      </c>
      <c r="E26" s="4" t="s">
        <v>11</v>
      </c>
      <c r="F26" s="4">
        <v>5000.0</v>
      </c>
      <c r="G26" s="4" t="s">
        <v>8691</v>
      </c>
      <c r="H26" s="4" t="s">
        <v>8692</v>
      </c>
      <c r="I26" s="4" t="s">
        <v>8691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" t="s">
        <v>8693</v>
      </c>
      <c r="B27" s="4" t="s">
        <v>9</v>
      </c>
      <c r="C27" s="4" t="s">
        <v>13</v>
      </c>
      <c r="D27" s="4" t="s">
        <v>8694</v>
      </c>
      <c r="E27" s="4" t="s">
        <v>9</v>
      </c>
      <c r="F27" s="4">
        <v>3000.0</v>
      </c>
      <c r="G27" s="4" t="s">
        <v>8695</v>
      </c>
      <c r="H27" s="4" t="s">
        <v>8695</v>
      </c>
      <c r="I27" s="4" t="s">
        <v>8695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" t="s">
        <v>8696</v>
      </c>
      <c r="B28" s="4" t="s">
        <v>15</v>
      </c>
      <c r="C28" s="4" t="s">
        <v>17</v>
      </c>
      <c r="D28" s="4" t="s">
        <v>8697</v>
      </c>
      <c r="E28" s="4" t="s">
        <v>15</v>
      </c>
      <c r="F28" s="4">
        <v>10000.0</v>
      </c>
      <c r="G28" s="4" t="s">
        <v>8698</v>
      </c>
      <c r="H28" s="4" t="s">
        <v>8698</v>
      </c>
      <c r="I28" s="4" t="s">
        <v>8699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 t="s">
        <v>8700</v>
      </c>
      <c r="B29" s="4" t="s">
        <v>10</v>
      </c>
      <c r="C29" s="4" t="s">
        <v>6</v>
      </c>
      <c r="D29" s="4" t="s">
        <v>8697</v>
      </c>
      <c r="E29" s="4" t="s">
        <v>10</v>
      </c>
      <c r="F29" s="4">
        <v>5000.0</v>
      </c>
      <c r="G29" s="4" t="s">
        <v>8701</v>
      </c>
      <c r="H29" s="4" t="s">
        <v>8702</v>
      </c>
      <c r="I29" s="4" t="s">
        <v>8679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4" t="s">
        <v>8703</v>
      </c>
      <c r="B30" s="4" t="s">
        <v>5</v>
      </c>
      <c r="C30" s="4" t="s">
        <v>11</v>
      </c>
      <c r="D30" s="4" t="s">
        <v>8697</v>
      </c>
      <c r="E30" s="4" t="s">
        <v>11</v>
      </c>
      <c r="F30" s="4">
        <v>5000.0</v>
      </c>
      <c r="G30" s="4" t="s">
        <v>8704</v>
      </c>
      <c r="H30" s="4" t="s">
        <v>8691</v>
      </c>
      <c r="I30" s="4" t="s">
        <v>8704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" t="s">
        <v>8705</v>
      </c>
      <c r="B31" s="4" t="s">
        <v>13</v>
      </c>
      <c r="C31" s="4" t="s">
        <v>8</v>
      </c>
      <c r="D31" s="4" t="s">
        <v>8706</v>
      </c>
      <c r="E31" s="4" t="s">
        <v>13</v>
      </c>
      <c r="F31" s="4">
        <v>5000.0</v>
      </c>
      <c r="G31" s="4" t="s">
        <v>8707</v>
      </c>
      <c r="H31" s="4" t="s">
        <v>8708</v>
      </c>
      <c r="I31" s="4" t="s">
        <v>8707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4" t="s">
        <v>8709</v>
      </c>
      <c r="B32" s="4" t="s">
        <v>123</v>
      </c>
      <c r="C32" s="4" t="s">
        <v>17</v>
      </c>
      <c r="D32" s="4" t="s">
        <v>8710</v>
      </c>
      <c r="E32" s="4" t="s">
        <v>17</v>
      </c>
      <c r="F32" s="4">
        <v>5000.0</v>
      </c>
      <c r="G32" s="4" t="s">
        <v>8636</v>
      </c>
      <c r="H32" s="4" t="s">
        <v>8699</v>
      </c>
      <c r="I32" s="4" t="s">
        <v>8636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4" t="s">
        <v>8711</v>
      </c>
      <c r="B33" s="4" t="s">
        <v>13</v>
      </c>
      <c r="C33" s="4" t="s">
        <v>4</v>
      </c>
      <c r="D33" s="4" t="s">
        <v>8710</v>
      </c>
      <c r="E33" s="4" t="s">
        <v>4</v>
      </c>
      <c r="F33" s="4">
        <v>5000.0</v>
      </c>
      <c r="G33" s="4" t="s">
        <v>8669</v>
      </c>
      <c r="H33" s="4" t="s">
        <v>8712</v>
      </c>
      <c r="I33" s="4" t="s">
        <v>8669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4" t="s">
        <v>8713</v>
      </c>
      <c r="B34" s="4" t="s">
        <v>5</v>
      </c>
      <c r="C34" s="4" t="s">
        <v>9</v>
      </c>
      <c r="D34" s="4" t="s">
        <v>8714</v>
      </c>
      <c r="E34" s="4" t="s">
        <v>5</v>
      </c>
      <c r="F34" s="4">
        <v>4000.0</v>
      </c>
      <c r="G34" s="4" t="s">
        <v>8715</v>
      </c>
      <c r="H34" s="4" t="s">
        <v>8655</v>
      </c>
      <c r="I34" s="4" t="s">
        <v>8715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4" t="s">
        <v>8716</v>
      </c>
      <c r="B35" s="4" t="s">
        <v>6</v>
      </c>
      <c r="C35" s="4" t="s">
        <v>15</v>
      </c>
      <c r="D35" s="4" t="s">
        <v>8714</v>
      </c>
      <c r="E35" s="4" t="s">
        <v>15</v>
      </c>
      <c r="F35" s="4">
        <v>5000.0</v>
      </c>
      <c r="G35" s="4" t="s">
        <v>8717</v>
      </c>
      <c r="H35" s="4" t="s">
        <v>8718</v>
      </c>
      <c r="I35" s="4" t="s">
        <v>8717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4" t="s">
        <v>8719</v>
      </c>
      <c r="B36" s="4" t="s">
        <v>10</v>
      </c>
      <c r="C36" s="4" t="s">
        <v>7</v>
      </c>
      <c r="D36" s="4" t="s">
        <v>8714</v>
      </c>
      <c r="E36" s="4" t="s">
        <v>10</v>
      </c>
      <c r="F36" s="4">
        <v>6000.0</v>
      </c>
      <c r="G36" s="4" t="s">
        <v>8720</v>
      </c>
      <c r="H36" s="4" t="s">
        <v>8721</v>
      </c>
      <c r="I36" s="4" t="s">
        <v>8720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4" t="s">
        <v>8722</v>
      </c>
      <c r="B37" s="4" t="s">
        <v>14</v>
      </c>
      <c r="C37" s="4" t="s">
        <v>8</v>
      </c>
      <c r="D37" s="4" t="s">
        <v>8714</v>
      </c>
      <c r="E37" s="4" t="s">
        <v>8</v>
      </c>
      <c r="F37" s="4">
        <v>5000.0</v>
      </c>
      <c r="G37" s="4" t="s">
        <v>8723</v>
      </c>
      <c r="H37" s="4" t="s">
        <v>8724</v>
      </c>
      <c r="I37" s="4" t="s">
        <v>8723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4" t="s">
        <v>8725</v>
      </c>
      <c r="B38" s="4" t="s">
        <v>4</v>
      </c>
      <c r="C38" s="4" t="s">
        <v>13</v>
      </c>
      <c r="D38" s="4" t="s">
        <v>8726</v>
      </c>
      <c r="E38" s="4" t="s">
        <v>4</v>
      </c>
      <c r="F38" s="4">
        <v>5000.0</v>
      </c>
      <c r="G38" s="4" t="s">
        <v>8644</v>
      </c>
      <c r="H38" s="4" t="s">
        <v>8727</v>
      </c>
      <c r="I38" s="4" t="s">
        <v>8707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4" t="s">
        <v>8728</v>
      </c>
      <c r="B39" s="4" t="s">
        <v>10</v>
      </c>
      <c r="C39" s="4" t="s">
        <v>5</v>
      </c>
      <c r="D39" s="4" t="s">
        <v>8729</v>
      </c>
      <c r="E39" s="4" t="s">
        <v>10</v>
      </c>
      <c r="F39" s="4">
        <v>6000.0</v>
      </c>
      <c r="G39" s="4" t="s">
        <v>8720</v>
      </c>
      <c r="H39" s="4" t="s">
        <v>8730</v>
      </c>
      <c r="I39" s="4" t="s">
        <v>8720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4" t="s">
        <v>8731</v>
      </c>
      <c r="B40" s="4" t="s">
        <v>4</v>
      </c>
      <c r="C40" s="4" t="s">
        <v>6</v>
      </c>
      <c r="D40" s="4" t="s">
        <v>8732</v>
      </c>
      <c r="E40" s="4" t="s">
        <v>6</v>
      </c>
      <c r="F40" s="4">
        <v>5000.0</v>
      </c>
      <c r="G40" s="4" t="s">
        <v>8640</v>
      </c>
      <c r="H40" s="4" t="s">
        <v>8733</v>
      </c>
      <c r="I40" s="4" t="s">
        <v>8640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" t="s">
        <v>8734</v>
      </c>
      <c r="B41" s="4" t="s">
        <v>12</v>
      </c>
      <c r="C41" s="4" t="s">
        <v>9</v>
      </c>
      <c r="D41" s="4" t="s">
        <v>8735</v>
      </c>
      <c r="E41" s="4" t="s">
        <v>12</v>
      </c>
      <c r="F41" s="4">
        <v>5000.0</v>
      </c>
      <c r="G41" s="4" t="s">
        <v>8736</v>
      </c>
      <c r="H41" s="4" t="s">
        <v>8686</v>
      </c>
      <c r="I41" s="4" t="s">
        <v>8736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" t="s">
        <v>8737</v>
      </c>
      <c r="B42" s="4" t="s">
        <v>5</v>
      </c>
      <c r="C42" s="4" t="s">
        <v>10</v>
      </c>
      <c r="D42" s="4" t="s">
        <v>8735</v>
      </c>
      <c r="E42" s="4" t="s">
        <v>10</v>
      </c>
      <c r="F42" s="4">
        <v>5000.0</v>
      </c>
      <c r="G42" s="4" t="s">
        <v>8661</v>
      </c>
      <c r="H42" s="4" t="s">
        <v>8661</v>
      </c>
      <c r="I42" s="4" t="s">
        <v>8654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" t="s">
        <v>8738</v>
      </c>
      <c r="B43" s="4" t="s">
        <v>14</v>
      </c>
      <c r="C43" s="4" t="s">
        <v>17</v>
      </c>
      <c r="D43" s="4" t="s">
        <v>8735</v>
      </c>
      <c r="E43" s="4" t="s">
        <v>14</v>
      </c>
      <c r="F43" s="4">
        <v>5000.0</v>
      </c>
      <c r="G43" s="4" t="s">
        <v>8739</v>
      </c>
      <c r="H43" s="4" t="s">
        <v>8740</v>
      </c>
      <c r="I43" s="4" t="s">
        <v>8739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4" t="s">
        <v>8741</v>
      </c>
      <c r="B44" s="4" t="s">
        <v>7</v>
      </c>
      <c r="C44" s="4" t="s">
        <v>11</v>
      </c>
      <c r="D44" s="4" t="s">
        <v>8735</v>
      </c>
      <c r="E44" s="4" t="s">
        <v>7</v>
      </c>
      <c r="F44" s="4">
        <v>5000.0</v>
      </c>
      <c r="G44" s="4" t="s">
        <v>8742</v>
      </c>
      <c r="H44" s="4" t="s">
        <v>8743</v>
      </c>
      <c r="I44" s="4" t="s">
        <v>8742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4" t="s">
        <v>8744</v>
      </c>
      <c r="B45" s="4" t="s">
        <v>6</v>
      </c>
      <c r="C45" s="4" t="s">
        <v>4</v>
      </c>
      <c r="D45" s="4" t="s">
        <v>8745</v>
      </c>
      <c r="E45" s="4" t="s">
        <v>6</v>
      </c>
      <c r="F45" s="4">
        <v>5000.0</v>
      </c>
      <c r="G45" s="4" t="s">
        <v>8640</v>
      </c>
      <c r="H45" s="4" t="s">
        <v>8746</v>
      </c>
      <c r="I45" s="4" t="s">
        <v>8640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4" t="s">
        <v>8747</v>
      </c>
      <c r="B46" s="4" t="s">
        <v>15</v>
      </c>
      <c r="C46" s="4" t="s">
        <v>13</v>
      </c>
      <c r="D46" s="4" t="s">
        <v>8748</v>
      </c>
      <c r="E46" s="4" t="s">
        <v>13</v>
      </c>
      <c r="F46" s="4">
        <v>6000.0</v>
      </c>
      <c r="G46" s="4" t="s">
        <v>8749</v>
      </c>
      <c r="H46" s="4" t="s">
        <v>8750</v>
      </c>
      <c r="I46" s="4" t="s">
        <v>8749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" t="s">
        <v>8751</v>
      </c>
      <c r="B47" s="4" t="s">
        <v>8</v>
      </c>
      <c r="C47" s="4" t="s">
        <v>10</v>
      </c>
      <c r="D47" s="4" t="s">
        <v>8748</v>
      </c>
      <c r="E47" s="4" t="s">
        <v>10</v>
      </c>
      <c r="F47" s="4">
        <v>5000.0</v>
      </c>
      <c r="G47" s="4" t="s">
        <v>8752</v>
      </c>
      <c r="H47" s="4" t="s">
        <v>8661</v>
      </c>
      <c r="I47" s="4" t="s">
        <v>8753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4" t="s">
        <v>8754</v>
      </c>
      <c r="B48" s="4" t="s">
        <v>17</v>
      </c>
      <c r="C48" s="4" t="s">
        <v>14</v>
      </c>
      <c r="D48" s="4" t="s">
        <v>8748</v>
      </c>
      <c r="E48" s="4" t="s">
        <v>14</v>
      </c>
      <c r="F48" s="4">
        <v>5000.0</v>
      </c>
      <c r="G48" s="4" t="s">
        <v>8739</v>
      </c>
      <c r="H48" s="4" t="s">
        <v>8755</v>
      </c>
      <c r="I48" s="4" t="s">
        <v>8756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4" t="s">
        <v>8757</v>
      </c>
      <c r="B49" s="4" t="s">
        <v>11</v>
      </c>
      <c r="C49" s="4" t="s">
        <v>5</v>
      </c>
      <c r="D49" s="4" t="s">
        <v>8758</v>
      </c>
      <c r="E49" s="4" t="s">
        <v>5</v>
      </c>
      <c r="F49" s="4">
        <v>5000.0</v>
      </c>
      <c r="G49" s="4" t="s">
        <v>8654</v>
      </c>
      <c r="H49" s="4" t="s">
        <v>8759</v>
      </c>
      <c r="I49" s="4" t="s">
        <v>8654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4" t="s">
        <v>8760</v>
      </c>
      <c r="B50" s="4" t="s">
        <v>9</v>
      </c>
      <c r="C50" s="4" t="s">
        <v>12</v>
      </c>
      <c r="D50" s="4" t="s">
        <v>8758</v>
      </c>
      <c r="E50" s="4" t="s">
        <v>9</v>
      </c>
      <c r="F50" s="4">
        <v>5000.0</v>
      </c>
      <c r="G50" s="4" t="s">
        <v>8761</v>
      </c>
      <c r="H50" s="4" t="s">
        <v>8762</v>
      </c>
      <c r="I50" s="4" t="s">
        <v>7814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4" t="s">
        <v>8763</v>
      </c>
      <c r="B51" s="4" t="s">
        <v>16</v>
      </c>
      <c r="C51" s="4" t="s">
        <v>13</v>
      </c>
      <c r="D51" s="4" t="s">
        <v>8764</v>
      </c>
      <c r="E51" s="4" t="s">
        <v>13</v>
      </c>
      <c r="F51" s="4">
        <v>5000.0</v>
      </c>
      <c r="G51" s="4" t="s">
        <v>8707</v>
      </c>
      <c r="H51" s="4" t="s">
        <v>8765</v>
      </c>
      <c r="I51" s="4" t="s">
        <v>8707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4" t="s">
        <v>8766</v>
      </c>
      <c r="B52" s="4" t="s">
        <v>14</v>
      </c>
      <c r="C52" s="4" t="s">
        <v>7</v>
      </c>
      <c r="D52" s="4" t="s">
        <v>8767</v>
      </c>
      <c r="E52" s="4" t="s">
        <v>14</v>
      </c>
      <c r="F52" s="4">
        <v>5000.0</v>
      </c>
      <c r="G52" s="4" t="s">
        <v>8739</v>
      </c>
      <c r="H52" s="4" t="s">
        <v>8768</v>
      </c>
      <c r="I52" s="4" t="s">
        <v>8769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4" t="s">
        <v>497</v>
      </c>
      <c r="B53" s="4" t="s">
        <v>4</v>
      </c>
      <c r="C53" s="4" t="s">
        <v>5</v>
      </c>
      <c r="D53" s="4" t="s">
        <v>8767</v>
      </c>
      <c r="E53" s="4" t="s">
        <v>4</v>
      </c>
      <c r="F53" s="4">
        <v>5000.0</v>
      </c>
      <c r="G53" s="4" t="s">
        <v>8770</v>
      </c>
      <c r="H53" s="4" t="s">
        <v>8770</v>
      </c>
      <c r="I53" s="4" t="s">
        <v>8770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4" t="s">
        <v>8771</v>
      </c>
      <c r="B54" s="4" t="s">
        <v>11</v>
      </c>
      <c r="C54" s="4" t="s">
        <v>10</v>
      </c>
      <c r="D54" s="4" t="s">
        <v>8767</v>
      </c>
      <c r="E54" s="4" t="s">
        <v>10</v>
      </c>
      <c r="F54" s="4">
        <v>5000.0</v>
      </c>
      <c r="G54" s="4" t="s">
        <v>8752</v>
      </c>
      <c r="H54" s="4" t="s">
        <v>8772</v>
      </c>
      <c r="I54" s="4" t="s">
        <v>8773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4" t="s">
        <v>8774</v>
      </c>
      <c r="B55" s="4" t="s">
        <v>12</v>
      </c>
      <c r="C55" s="4" t="s">
        <v>6</v>
      </c>
      <c r="D55" s="4" t="s">
        <v>8767</v>
      </c>
      <c r="E55" s="4" t="s">
        <v>12</v>
      </c>
      <c r="F55" s="4">
        <v>5000.0</v>
      </c>
      <c r="G55" s="4" t="s">
        <v>8775</v>
      </c>
      <c r="H55" s="4" t="s">
        <v>8776</v>
      </c>
      <c r="I55" s="4" t="s">
        <v>8775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4" t="s">
        <v>8777</v>
      </c>
      <c r="B56" s="4" t="s">
        <v>13</v>
      </c>
      <c r="C56" s="4" t="s">
        <v>16</v>
      </c>
      <c r="D56" s="4" t="s">
        <v>8778</v>
      </c>
      <c r="E56" s="4" t="s">
        <v>13</v>
      </c>
      <c r="F56" s="4">
        <v>5000.0</v>
      </c>
      <c r="G56" s="4" t="s">
        <v>8620</v>
      </c>
      <c r="H56" s="4" t="s">
        <v>7815</v>
      </c>
      <c r="I56" s="4" t="s">
        <v>8779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507</v>
      </c>
      <c r="B57" s="4" t="s">
        <v>5</v>
      </c>
      <c r="C57" s="4" t="s">
        <v>4</v>
      </c>
      <c r="D57" s="4" t="s">
        <v>8780</v>
      </c>
      <c r="E57" s="4" t="s">
        <v>4</v>
      </c>
      <c r="F57" s="4">
        <v>5000.0</v>
      </c>
      <c r="G57" s="4" t="s">
        <v>8669</v>
      </c>
      <c r="H57" s="4" t="s">
        <v>8781</v>
      </c>
      <c r="I57" s="4" t="s">
        <v>8669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" t="s">
        <v>8782</v>
      </c>
      <c r="B58" s="4" t="s">
        <v>17</v>
      </c>
      <c r="C58" s="4" t="s">
        <v>15</v>
      </c>
      <c r="D58" s="4" t="s">
        <v>8780</v>
      </c>
      <c r="E58" s="4" t="s">
        <v>17</v>
      </c>
      <c r="F58" s="4">
        <v>6000.0</v>
      </c>
      <c r="G58" s="4" t="s">
        <v>8783</v>
      </c>
      <c r="H58" s="4" t="s">
        <v>4872</v>
      </c>
      <c r="I58" s="4" t="s">
        <v>8783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4" t="s">
        <v>8784</v>
      </c>
      <c r="B59" s="4" t="s">
        <v>12</v>
      </c>
      <c r="C59" s="4" t="s">
        <v>10</v>
      </c>
      <c r="D59" s="4" t="s">
        <v>8780</v>
      </c>
      <c r="E59" s="4" t="s">
        <v>10</v>
      </c>
      <c r="F59" s="4">
        <v>5000.0</v>
      </c>
      <c r="G59" s="4" t="s">
        <v>8720</v>
      </c>
      <c r="H59" s="4" t="s">
        <v>8701</v>
      </c>
      <c r="I59" s="4" t="s">
        <v>7814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4" t="s">
        <v>8785</v>
      </c>
      <c r="B60" s="4" t="s">
        <v>6</v>
      </c>
      <c r="C60" s="4" t="s">
        <v>9</v>
      </c>
      <c r="D60" s="4" t="s">
        <v>8780</v>
      </c>
      <c r="E60" s="4" t="s">
        <v>6</v>
      </c>
      <c r="F60" s="4">
        <v>5000.0</v>
      </c>
      <c r="G60" s="4" t="s">
        <v>8786</v>
      </c>
      <c r="H60" s="4" t="s">
        <v>8787</v>
      </c>
      <c r="I60" s="4" t="s">
        <v>8786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 t="s">
        <v>8788</v>
      </c>
      <c r="B61" s="4" t="s">
        <v>7</v>
      </c>
      <c r="C61" s="4" t="s">
        <v>14</v>
      </c>
      <c r="D61" s="4" t="s">
        <v>8780</v>
      </c>
      <c r="E61" s="4" t="s">
        <v>14</v>
      </c>
      <c r="F61" s="4">
        <v>5000.0</v>
      </c>
      <c r="G61" s="4" t="s">
        <v>8739</v>
      </c>
      <c r="H61" s="4" t="s">
        <v>8789</v>
      </c>
      <c r="I61" s="4" t="s">
        <v>8739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" t="s">
        <v>8790</v>
      </c>
      <c r="B62" s="4" t="s">
        <v>4</v>
      </c>
      <c r="C62" s="4" t="s">
        <v>9</v>
      </c>
      <c r="D62" s="4" t="s">
        <v>8791</v>
      </c>
      <c r="E62" s="4" t="s">
        <v>9</v>
      </c>
      <c r="F62" s="4">
        <v>5000.0</v>
      </c>
      <c r="G62" s="4" t="s">
        <v>8761</v>
      </c>
      <c r="H62" s="4" t="s">
        <v>8792</v>
      </c>
      <c r="I62" s="4" t="s">
        <v>8761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4" t="s">
        <v>8793</v>
      </c>
      <c r="B63" s="4" t="s">
        <v>5</v>
      </c>
      <c r="C63" s="4" t="s">
        <v>6</v>
      </c>
      <c r="D63" s="4" t="s">
        <v>8794</v>
      </c>
      <c r="E63" s="4" t="s">
        <v>6</v>
      </c>
      <c r="F63" s="4">
        <v>5000.0</v>
      </c>
      <c r="G63" s="4" t="s">
        <v>8786</v>
      </c>
      <c r="H63" s="4" t="s">
        <v>8787</v>
      </c>
      <c r="I63" s="4" t="s">
        <v>8654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520</v>
      </c>
      <c r="B64" s="4" t="s">
        <v>9</v>
      </c>
      <c r="C64" s="4" t="s">
        <v>4</v>
      </c>
      <c r="D64" s="4" t="s">
        <v>8795</v>
      </c>
      <c r="E64" s="4" t="s">
        <v>4</v>
      </c>
      <c r="F64" s="4">
        <v>5000.0</v>
      </c>
      <c r="G64" s="4" t="s">
        <v>8669</v>
      </c>
      <c r="H64" s="4" t="s">
        <v>8686</v>
      </c>
      <c r="I64" s="4" t="s">
        <v>8796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530</v>
      </c>
      <c r="B65" s="4" t="s">
        <v>4</v>
      </c>
      <c r="C65" s="4" t="s">
        <v>15</v>
      </c>
      <c r="D65" s="4" t="s">
        <v>8797</v>
      </c>
      <c r="E65" s="4" t="s">
        <v>4</v>
      </c>
      <c r="F65" s="4">
        <v>5000.0</v>
      </c>
      <c r="G65" s="4" t="s">
        <v>8669</v>
      </c>
      <c r="H65" s="4" t="s">
        <v>8798</v>
      </c>
      <c r="I65" s="4" t="s">
        <v>8669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" t="s">
        <v>540</v>
      </c>
      <c r="B66" s="4" t="s">
        <v>4</v>
      </c>
      <c r="C66" s="4" t="s">
        <v>10</v>
      </c>
      <c r="D66" s="4" t="s">
        <v>8799</v>
      </c>
      <c r="E66" s="4" t="s">
        <v>4</v>
      </c>
      <c r="F66" s="4">
        <v>5000.0</v>
      </c>
      <c r="G66" s="4" t="s">
        <v>8770</v>
      </c>
      <c r="H66" s="4" t="s">
        <v>8800</v>
      </c>
      <c r="I66" s="4" t="s">
        <v>8770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4" t="s">
        <v>8801</v>
      </c>
      <c r="B67" s="4" t="s">
        <v>11</v>
      </c>
      <c r="C67" s="4" t="s">
        <v>9</v>
      </c>
      <c r="D67" s="4" t="s">
        <v>8799</v>
      </c>
      <c r="E67" s="4" t="s">
        <v>11</v>
      </c>
      <c r="F67" s="4">
        <v>5000.0</v>
      </c>
      <c r="G67" s="4" t="s">
        <v>8802</v>
      </c>
      <c r="H67" s="4" t="s">
        <v>8803</v>
      </c>
      <c r="I67" s="4" t="s">
        <v>8804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8805</v>
      </c>
      <c r="B68" s="4" t="s">
        <v>12</v>
      </c>
      <c r="C68" s="4" t="s">
        <v>5</v>
      </c>
      <c r="D68" s="4" t="s">
        <v>8799</v>
      </c>
      <c r="E68" s="4" t="s">
        <v>5</v>
      </c>
      <c r="F68" s="4">
        <v>5000.0</v>
      </c>
      <c r="G68" s="4" t="s">
        <v>8654</v>
      </c>
      <c r="H68" s="4" t="s">
        <v>8781</v>
      </c>
      <c r="I68" s="4" t="s">
        <v>8654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" t="s">
        <v>8806</v>
      </c>
      <c r="B69" s="4" t="s">
        <v>16</v>
      </c>
      <c r="C69" s="4" t="s">
        <v>6</v>
      </c>
      <c r="D69" s="4" t="s">
        <v>8799</v>
      </c>
      <c r="E69" s="4" t="s">
        <v>16</v>
      </c>
      <c r="F69" s="4">
        <v>5000.0</v>
      </c>
      <c r="G69" s="4" t="s">
        <v>7816</v>
      </c>
      <c r="H69" s="4" t="s">
        <v>7821</v>
      </c>
      <c r="I69" s="4" t="s">
        <v>7816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8807</v>
      </c>
      <c r="B70" s="4" t="s">
        <v>15</v>
      </c>
      <c r="C70" s="4" t="s">
        <v>14</v>
      </c>
      <c r="D70" s="4" t="s">
        <v>8799</v>
      </c>
      <c r="E70" s="4" t="s">
        <v>14</v>
      </c>
      <c r="F70" s="4">
        <v>5000.0</v>
      </c>
      <c r="G70" s="4" t="s">
        <v>8808</v>
      </c>
      <c r="H70" s="4" t="s">
        <v>8809</v>
      </c>
      <c r="I70" s="4" t="s">
        <v>8810</v>
      </c>
    </row>
    <row r="71">
      <c r="A71" s="4" t="s">
        <v>550</v>
      </c>
      <c r="B71" s="4" t="s">
        <v>16</v>
      </c>
      <c r="C71" s="4" t="s">
        <v>4</v>
      </c>
      <c r="D71" s="4" t="s">
        <v>8811</v>
      </c>
      <c r="E71" s="4" t="s">
        <v>4</v>
      </c>
      <c r="F71" s="4">
        <v>10000.0</v>
      </c>
      <c r="G71" s="4" t="s">
        <v>8770</v>
      </c>
      <c r="H71" s="4" t="s">
        <v>8812</v>
      </c>
      <c r="I71" s="4" t="s">
        <v>8770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4" t="s">
        <v>8813</v>
      </c>
      <c r="B72" s="4" t="s">
        <v>15</v>
      </c>
      <c r="C72" s="4" t="s">
        <v>4</v>
      </c>
      <c r="D72" s="4" t="s">
        <v>8814</v>
      </c>
      <c r="E72" s="4" t="s">
        <v>15</v>
      </c>
      <c r="F72" s="4">
        <v>10000.0</v>
      </c>
      <c r="G72" s="4" t="s">
        <v>8685</v>
      </c>
      <c r="H72" s="4" t="s">
        <v>8798</v>
      </c>
      <c r="I72" s="4" t="s">
        <v>8676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4" t="s">
        <v>557</v>
      </c>
      <c r="B73" s="4" t="s">
        <v>10</v>
      </c>
      <c r="C73" s="4" t="s">
        <v>4</v>
      </c>
      <c r="D73" s="4" t="s">
        <v>8815</v>
      </c>
      <c r="E73" s="4" t="s">
        <v>4</v>
      </c>
      <c r="F73" s="4">
        <v>10000.0</v>
      </c>
      <c r="G73" s="4" t="s">
        <v>8669</v>
      </c>
      <c r="H73" s="4" t="s">
        <v>8798</v>
      </c>
      <c r="I73" s="4" t="s">
        <v>8669</v>
      </c>
    </row>
    <row r="74">
      <c r="A74" s="4" t="s">
        <v>8816</v>
      </c>
      <c r="B74" s="4" t="s">
        <v>7</v>
      </c>
      <c r="C74" s="4" t="s">
        <v>8</v>
      </c>
      <c r="D74" s="4" t="s">
        <v>8815</v>
      </c>
      <c r="E74" s="4" t="s">
        <v>8</v>
      </c>
      <c r="F74" s="4">
        <v>10000.0</v>
      </c>
      <c r="G74" s="4" t="s">
        <v>8817</v>
      </c>
      <c r="H74" s="4" t="s">
        <v>8818</v>
      </c>
      <c r="I74" s="4" t="s">
        <v>8817</v>
      </c>
    </row>
    <row r="75">
      <c r="A75" s="4" t="s">
        <v>8819</v>
      </c>
      <c r="B75" s="4" t="s">
        <v>10</v>
      </c>
      <c r="C75" s="4" t="s">
        <v>8</v>
      </c>
      <c r="D75" s="4" t="s">
        <v>8820</v>
      </c>
      <c r="E75" s="4" t="s">
        <v>10</v>
      </c>
      <c r="F75" s="4">
        <v>10000.0</v>
      </c>
      <c r="G75" s="4" t="s">
        <v>8821</v>
      </c>
      <c r="H75" s="4" t="s">
        <v>8821</v>
      </c>
      <c r="I75" s="4" t="s">
        <v>8723</v>
      </c>
    </row>
    <row r="76">
      <c r="A76" s="4" t="s">
        <v>8822</v>
      </c>
      <c r="B76" s="4" t="s">
        <v>16</v>
      </c>
      <c r="C76" s="4" t="s">
        <v>17</v>
      </c>
      <c r="D76" s="4" t="s">
        <v>8823</v>
      </c>
      <c r="E76" s="4" t="s">
        <v>17</v>
      </c>
      <c r="F76" s="4">
        <v>10000.0</v>
      </c>
      <c r="G76" s="4" t="s">
        <v>8824</v>
      </c>
      <c r="H76" s="4" t="s">
        <v>8825</v>
      </c>
      <c r="I76" s="4" t="s">
        <v>8826</v>
      </c>
    </row>
    <row r="77">
      <c r="A77" s="4" t="s">
        <v>8827</v>
      </c>
      <c r="B77" s="4" t="s">
        <v>4</v>
      </c>
      <c r="C77" s="4" t="s">
        <v>7</v>
      </c>
      <c r="D77" s="4" t="s">
        <v>8823</v>
      </c>
      <c r="E77" s="4" t="s">
        <v>7</v>
      </c>
      <c r="F77" s="4">
        <v>10000.0</v>
      </c>
      <c r="G77" s="4" t="s">
        <v>8828</v>
      </c>
      <c r="H77" s="4" t="s">
        <v>8829</v>
      </c>
      <c r="I77" s="4" t="s">
        <v>8830</v>
      </c>
    </row>
    <row r="78">
      <c r="A78" s="4" t="s">
        <v>8831</v>
      </c>
      <c r="B78" s="4" t="s">
        <v>9</v>
      </c>
      <c r="C78" s="4" t="s">
        <v>6</v>
      </c>
      <c r="D78" s="4" t="s">
        <v>8823</v>
      </c>
      <c r="E78" s="4" t="s">
        <v>9</v>
      </c>
      <c r="F78" s="4">
        <v>10000.0</v>
      </c>
      <c r="G78" s="4" t="s">
        <v>8695</v>
      </c>
      <c r="H78" s="4" t="s">
        <v>8762</v>
      </c>
      <c r="I78" s="4" t="s">
        <v>8832</v>
      </c>
    </row>
    <row r="79">
      <c r="A79" s="4" t="s">
        <v>8833</v>
      </c>
      <c r="B79" s="4" t="s">
        <v>10</v>
      </c>
      <c r="C79" s="4" t="s">
        <v>11</v>
      </c>
      <c r="D79" s="4" t="s">
        <v>8823</v>
      </c>
      <c r="E79" s="4" t="s">
        <v>10</v>
      </c>
      <c r="F79" s="4">
        <v>10000.0</v>
      </c>
      <c r="G79" s="4" t="s">
        <v>8834</v>
      </c>
      <c r="H79" s="4" t="s">
        <v>8835</v>
      </c>
      <c r="I79" s="4" t="s">
        <v>8802</v>
      </c>
    </row>
    <row r="80">
      <c r="A80" s="4" t="s">
        <v>8836</v>
      </c>
      <c r="B80" s="4" t="s">
        <v>12</v>
      </c>
      <c r="C80" s="4" t="s">
        <v>13</v>
      </c>
      <c r="D80" s="4" t="s">
        <v>8823</v>
      </c>
      <c r="E80" s="4" t="s">
        <v>13</v>
      </c>
      <c r="F80" s="4">
        <v>10000.0</v>
      </c>
      <c r="G80" s="4" t="s">
        <v>8837</v>
      </c>
      <c r="H80" s="4" t="s">
        <v>8673</v>
      </c>
      <c r="I80" s="4" t="s">
        <v>7793</v>
      </c>
    </row>
    <row r="81">
      <c r="A81" s="4" t="s">
        <v>8838</v>
      </c>
      <c r="B81" s="4" t="s">
        <v>14</v>
      </c>
      <c r="C81" s="4" t="s">
        <v>15</v>
      </c>
      <c r="D81" s="4" t="s">
        <v>8823</v>
      </c>
      <c r="E81" s="4" t="s">
        <v>14</v>
      </c>
      <c r="F81" s="4">
        <v>10000.0</v>
      </c>
      <c r="G81" s="4" t="s">
        <v>8739</v>
      </c>
      <c r="H81" s="4" t="s">
        <v>8739</v>
      </c>
      <c r="I81" s="4" t="s">
        <v>8839</v>
      </c>
    </row>
    <row r="82">
      <c r="A82" s="4" t="s">
        <v>8840</v>
      </c>
      <c r="B82" s="4" t="s">
        <v>5</v>
      </c>
      <c r="C82" s="4" t="s">
        <v>8</v>
      </c>
      <c r="D82" s="4" t="s">
        <v>8823</v>
      </c>
      <c r="E82" s="4" t="s">
        <v>8</v>
      </c>
      <c r="F82" s="4">
        <v>10000.0</v>
      </c>
      <c r="G82" s="4" t="s">
        <v>8818</v>
      </c>
      <c r="H82" s="4" t="s">
        <v>8841</v>
      </c>
      <c r="I82" s="4" t="s">
        <v>8818</v>
      </c>
    </row>
    <row r="83">
      <c r="A83" s="4" t="s">
        <v>8842</v>
      </c>
      <c r="B83" s="4" t="s">
        <v>14</v>
      </c>
      <c r="C83" s="4" t="s">
        <v>16</v>
      </c>
      <c r="D83" s="4" t="s">
        <v>8843</v>
      </c>
      <c r="E83" s="4" t="s">
        <v>14</v>
      </c>
      <c r="F83" s="4">
        <v>10000.0</v>
      </c>
      <c r="G83" s="4" t="s">
        <v>8844</v>
      </c>
      <c r="H83" s="4" t="s">
        <v>8845</v>
      </c>
      <c r="I83" s="4" t="s">
        <v>8844</v>
      </c>
    </row>
    <row r="84">
      <c r="A84" s="4" t="s">
        <v>8846</v>
      </c>
      <c r="B84" s="4" t="s">
        <v>9</v>
      </c>
      <c r="C84" s="4" t="s">
        <v>17</v>
      </c>
      <c r="D84" s="4" t="s">
        <v>8843</v>
      </c>
      <c r="E84" s="4" t="s">
        <v>9</v>
      </c>
      <c r="F84" s="4">
        <v>10000.0</v>
      </c>
      <c r="G84" s="4" t="s">
        <v>8761</v>
      </c>
      <c r="H84" s="4" t="s">
        <v>8847</v>
      </c>
      <c r="I84" s="4" t="s">
        <v>8761</v>
      </c>
    </row>
    <row r="85">
      <c r="A85" s="4" t="s">
        <v>8848</v>
      </c>
      <c r="B85" s="4" t="s">
        <v>10</v>
      </c>
      <c r="C85" s="4" t="s">
        <v>12</v>
      </c>
      <c r="D85" s="4" t="s">
        <v>8843</v>
      </c>
      <c r="E85" s="4" t="s">
        <v>10</v>
      </c>
      <c r="F85" s="4">
        <v>10000.0</v>
      </c>
      <c r="G85" s="4" t="s">
        <v>8648</v>
      </c>
      <c r="H85" s="4" t="s">
        <v>8661</v>
      </c>
      <c r="I85" s="4" t="s">
        <v>8648</v>
      </c>
    </row>
    <row r="86">
      <c r="A86" s="4" t="s">
        <v>8849</v>
      </c>
      <c r="B86" s="4" t="s">
        <v>15</v>
      </c>
      <c r="C86" s="4" t="s">
        <v>11</v>
      </c>
      <c r="D86" s="4" t="s">
        <v>8843</v>
      </c>
      <c r="E86" s="4" t="s">
        <v>15</v>
      </c>
      <c r="F86" s="4">
        <v>10000.0</v>
      </c>
      <c r="G86" s="4" t="s">
        <v>8717</v>
      </c>
      <c r="H86" s="4" t="s">
        <v>8850</v>
      </c>
      <c r="I86" s="4" t="s">
        <v>8717</v>
      </c>
    </row>
    <row r="87">
      <c r="A87" s="4" t="s">
        <v>8851</v>
      </c>
      <c r="B87" s="4" t="s">
        <v>6</v>
      </c>
      <c r="C87" s="4" t="s">
        <v>13</v>
      </c>
      <c r="D87" s="4" t="s">
        <v>8852</v>
      </c>
      <c r="E87" s="4" t="s">
        <v>13</v>
      </c>
      <c r="F87" s="4">
        <v>10000.0</v>
      </c>
      <c r="G87" s="4" t="s">
        <v>8853</v>
      </c>
      <c r="H87" s="4" t="s">
        <v>8708</v>
      </c>
      <c r="I87" s="4" t="s">
        <v>8854</v>
      </c>
    </row>
    <row r="88">
      <c r="A88" s="4" t="s">
        <v>8855</v>
      </c>
      <c r="B88" s="4" t="s">
        <v>8</v>
      </c>
      <c r="C88" s="4" t="s">
        <v>7</v>
      </c>
      <c r="D88" s="4" t="s">
        <v>8852</v>
      </c>
      <c r="E88" s="4" t="s">
        <v>7</v>
      </c>
      <c r="F88" s="4">
        <v>10000.0</v>
      </c>
      <c r="G88" s="4" t="s">
        <v>8742</v>
      </c>
      <c r="H88" s="4" t="s">
        <v>8721</v>
      </c>
      <c r="I88" s="4" t="s">
        <v>8742</v>
      </c>
    </row>
    <row r="89">
      <c r="A89" s="4" t="s">
        <v>8856</v>
      </c>
      <c r="B89" s="4" t="s">
        <v>5</v>
      </c>
      <c r="C89" s="4" t="s">
        <v>14</v>
      </c>
      <c r="D89" s="4" t="s">
        <v>8852</v>
      </c>
      <c r="E89" s="4" t="s">
        <v>14</v>
      </c>
      <c r="F89" s="4">
        <v>10000.0</v>
      </c>
      <c r="G89" s="4" t="s">
        <v>8857</v>
      </c>
      <c r="H89" s="4" t="s">
        <v>8857</v>
      </c>
      <c r="I89" s="4" t="s">
        <v>8858</v>
      </c>
    </row>
    <row r="90">
      <c r="G90" s="8"/>
      <c r="H90" s="8"/>
      <c r="I90" s="8"/>
    </row>
    <row r="91">
      <c r="G91" s="8"/>
      <c r="H91" s="8"/>
      <c r="I91" s="8"/>
    </row>
    <row r="92">
      <c r="G92" s="8"/>
      <c r="H92" s="8"/>
      <c r="I92" s="8"/>
    </row>
    <row r="93">
      <c r="G93" s="8"/>
      <c r="H93" s="8"/>
      <c r="I93" s="8"/>
    </row>
    <row r="94">
      <c r="G94" s="8"/>
      <c r="H94" s="8"/>
      <c r="I94" s="8"/>
    </row>
    <row r="95">
      <c r="G95" s="8"/>
      <c r="H95" s="8"/>
      <c r="I95" s="8"/>
    </row>
    <row r="96">
      <c r="G96" s="8"/>
      <c r="H96" s="8"/>
      <c r="I96" s="8"/>
    </row>
    <row r="97">
      <c r="G97" s="8"/>
      <c r="H97" s="8"/>
      <c r="I97" s="8"/>
    </row>
    <row r="98">
      <c r="G98" s="8"/>
      <c r="H98" s="8"/>
      <c r="I98" s="8"/>
    </row>
    <row r="100">
      <c r="A100" s="33" t="s">
        <v>8859</v>
      </c>
    </row>
    <row r="101">
      <c r="A101" s="33" t="s">
        <v>8603</v>
      </c>
      <c r="B101" s="33" t="s">
        <v>2737</v>
      </c>
      <c r="C101" s="33" t="s">
        <v>8604</v>
      </c>
      <c r="D101" s="33" t="s">
        <v>8605</v>
      </c>
      <c r="E101" s="33" t="s">
        <v>8606</v>
      </c>
      <c r="F101" s="33" t="s">
        <v>8607</v>
      </c>
    </row>
    <row r="102">
      <c r="A102" s="4" t="s">
        <v>8860</v>
      </c>
      <c r="B102" s="4" t="s">
        <v>9</v>
      </c>
      <c r="C102" s="4" t="s">
        <v>10</v>
      </c>
      <c r="D102" s="4" t="s">
        <v>8861</v>
      </c>
      <c r="E102" s="4" t="s">
        <v>7838</v>
      </c>
      <c r="F102" s="4">
        <v>10000.0</v>
      </c>
      <c r="G102" s="8"/>
      <c r="H102" s="8"/>
      <c r="I102" s="8"/>
    </row>
    <row r="103">
      <c r="A103" s="4" t="s">
        <v>8862</v>
      </c>
      <c r="B103" s="4" t="s">
        <v>12</v>
      </c>
      <c r="C103" s="4" t="s">
        <v>16</v>
      </c>
      <c r="D103" s="4" t="s">
        <v>8861</v>
      </c>
      <c r="E103" s="4" t="s">
        <v>7838</v>
      </c>
      <c r="F103" s="4">
        <v>10000.0</v>
      </c>
      <c r="G103" s="8"/>
      <c r="H103" s="8"/>
      <c r="I103" s="8"/>
      <c r="J103" s="8"/>
    </row>
    <row r="104">
      <c r="A104" s="4" t="s">
        <v>8863</v>
      </c>
      <c r="B104" s="4" t="s">
        <v>11</v>
      </c>
      <c r="C104" s="4" t="s">
        <v>15</v>
      </c>
      <c r="D104" s="4" t="s">
        <v>8861</v>
      </c>
      <c r="E104" s="4" t="s">
        <v>7838</v>
      </c>
      <c r="F104" s="4">
        <v>10000.0</v>
      </c>
      <c r="G104" s="8"/>
      <c r="H104" s="8"/>
      <c r="I104" s="8"/>
      <c r="J104" s="8"/>
    </row>
    <row r="105">
      <c r="A105" s="4" t="s">
        <v>8864</v>
      </c>
      <c r="B105" s="4" t="s">
        <v>7</v>
      </c>
      <c r="C105" s="4" t="s">
        <v>15</v>
      </c>
      <c r="D105" s="4" t="s">
        <v>8865</v>
      </c>
      <c r="E105" s="4" t="s">
        <v>7838</v>
      </c>
      <c r="F105" s="4">
        <v>10000.0</v>
      </c>
      <c r="G105" s="8"/>
      <c r="H105" s="8"/>
      <c r="I105" s="8"/>
    </row>
    <row r="106">
      <c r="A106" s="4" t="s">
        <v>8866</v>
      </c>
      <c r="B106" s="4" t="s">
        <v>8</v>
      </c>
      <c r="C106" s="4" t="s">
        <v>11</v>
      </c>
      <c r="D106" s="4" t="s">
        <v>8865</v>
      </c>
      <c r="E106" s="4" t="s">
        <v>7838</v>
      </c>
      <c r="F106" s="4">
        <v>10000.0</v>
      </c>
    </row>
    <row r="107">
      <c r="A107" s="4" t="s">
        <v>8867</v>
      </c>
      <c r="B107" s="4" t="s">
        <v>13</v>
      </c>
      <c r="C107" s="4" t="s">
        <v>6</v>
      </c>
      <c r="D107" s="4" t="s">
        <v>8865</v>
      </c>
      <c r="E107" s="4" t="s">
        <v>7838</v>
      </c>
      <c r="F107" s="4">
        <v>10000.0</v>
      </c>
      <c r="G107" s="8"/>
      <c r="H107" s="8"/>
      <c r="I107" s="8"/>
    </row>
    <row r="108">
      <c r="A108" s="4" t="s">
        <v>8868</v>
      </c>
      <c r="B108" s="4" t="s">
        <v>16</v>
      </c>
      <c r="C108" s="4" t="s">
        <v>14</v>
      </c>
      <c r="D108" s="4" t="s">
        <v>8865</v>
      </c>
      <c r="E108" s="4" t="s">
        <v>7838</v>
      </c>
      <c r="F108" s="4">
        <v>10000.0</v>
      </c>
      <c r="G108" s="8"/>
      <c r="H108" s="8"/>
      <c r="I108" s="8"/>
    </row>
    <row r="109">
      <c r="A109" s="4" t="s">
        <v>8869</v>
      </c>
      <c r="B109" s="4" t="s">
        <v>17</v>
      </c>
      <c r="C109" s="4" t="s">
        <v>12</v>
      </c>
      <c r="D109" s="4" t="s">
        <v>8865</v>
      </c>
      <c r="E109" s="4" t="s">
        <v>7838</v>
      </c>
      <c r="F109" s="4">
        <v>10000.0</v>
      </c>
      <c r="G109" s="8"/>
      <c r="H109" s="8"/>
      <c r="I109" s="8"/>
    </row>
    <row r="110">
      <c r="A110" s="4" t="s">
        <v>8870</v>
      </c>
      <c r="B110" s="4" t="s">
        <v>7</v>
      </c>
      <c r="C110" s="4" t="s">
        <v>12</v>
      </c>
      <c r="D110" s="4" t="s">
        <v>8871</v>
      </c>
      <c r="E110" s="4" t="s">
        <v>7838</v>
      </c>
      <c r="F110" s="4">
        <v>10000.0</v>
      </c>
      <c r="G110" s="8"/>
      <c r="H110" s="8"/>
      <c r="I110" s="8"/>
    </row>
    <row r="111">
      <c r="A111" s="4" t="s">
        <v>8872</v>
      </c>
      <c r="B111" s="4" t="s">
        <v>14</v>
      </c>
      <c r="C111" s="4" t="s">
        <v>11</v>
      </c>
      <c r="D111" s="4" t="s">
        <v>8871</v>
      </c>
      <c r="E111" s="4" t="s">
        <v>7838</v>
      </c>
      <c r="F111" s="4">
        <v>10000.0</v>
      </c>
      <c r="G111" s="8"/>
      <c r="H111" s="8"/>
      <c r="I111" s="8"/>
    </row>
    <row r="112">
      <c r="A112" s="4" t="s">
        <v>8873</v>
      </c>
      <c r="B112" s="4" t="s">
        <v>15</v>
      </c>
      <c r="C112" s="4" t="s">
        <v>10</v>
      </c>
      <c r="D112" s="4" t="s">
        <v>8871</v>
      </c>
      <c r="E112" s="4" t="s">
        <v>7838</v>
      </c>
      <c r="F112" s="4">
        <v>10000.0</v>
      </c>
      <c r="G112" s="8"/>
      <c r="H112" s="8"/>
      <c r="I112" s="8"/>
    </row>
    <row r="113">
      <c r="A113" s="4" t="s">
        <v>8874</v>
      </c>
      <c r="B113" s="4" t="s">
        <v>16</v>
      </c>
      <c r="C113" s="4" t="s">
        <v>8</v>
      </c>
      <c r="D113" s="4" t="s">
        <v>8871</v>
      </c>
      <c r="E113" s="4" t="s">
        <v>7838</v>
      </c>
      <c r="F113" s="4">
        <v>10000.0</v>
      </c>
      <c r="G113" s="8"/>
      <c r="H113" s="8"/>
      <c r="I113" s="8"/>
    </row>
    <row r="114">
      <c r="A114" s="4" t="s">
        <v>8875</v>
      </c>
      <c r="B114" s="4" t="s">
        <v>17</v>
      </c>
      <c r="C114" s="4" t="s">
        <v>9</v>
      </c>
      <c r="D114" s="4" t="s">
        <v>8871</v>
      </c>
      <c r="E114" s="4" t="s">
        <v>7838</v>
      </c>
      <c r="F114" s="4">
        <v>10000.0</v>
      </c>
      <c r="G114" s="8"/>
      <c r="H114" s="8"/>
      <c r="I114" s="8"/>
    </row>
    <row r="115">
      <c r="A115" s="4" t="s">
        <v>8876</v>
      </c>
      <c r="B115" s="4" t="s">
        <v>5</v>
      </c>
      <c r="C115" s="4" t="s">
        <v>12</v>
      </c>
      <c r="D115" s="4" t="s">
        <v>8877</v>
      </c>
      <c r="E115" s="4" t="s">
        <v>7838</v>
      </c>
      <c r="F115" s="4">
        <v>10000.0</v>
      </c>
      <c r="G115" s="8"/>
      <c r="H115" s="8"/>
      <c r="I115" s="8"/>
    </row>
    <row r="116">
      <c r="A116" s="4" t="s">
        <v>8878</v>
      </c>
      <c r="B116" s="4" t="s">
        <v>8</v>
      </c>
      <c r="C116" s="4" t="s">
        <v>16</v>
      </c>
      <c r="D116" s="4" t="s">
        <v>8877</v>
      </c>
      <c r="E116" s="4" t="s">
        <v>7838</v>
      </c>
      <c r="F116" s="4">
        <v>10000.0</v>
      </c>
      <c r="G116" s="8"/>
      <c r="H116" s="8"/>
      <c r="I116" s="8"/>
    </row>
    <row r="117">
      <c r="A117" s="4" t="s">
        <v>8879</v>
      </c>
      <c r="B117" s="4" t="s">
        <v>10</v>
      </c>
      <c r="C117" s="4" t="s">
        <v>17</v>
      </c>
      <c r="D117" s="4" t="s">
        <v>8877</v>
      </c>
      <c r="E117" s="4" t="s">
        <v>7838</v>
      </c>
      <c r="F117" s="4">
        <v>10000.0</v>
      </c>
      <c r="G117" s="8"/>
      <c r="H117" s="8"/>
      <c r="I117" s="8"/>
    </row>
    <row r="118">
      <c r="A118" s="4" t="s">
        <v>8880</v>
      </c>
      <c r="B118" s="4" t="s">
        <v>11</v>
      </c>
      <c r="C118" s="4" t="s">
        <v>14</v>
      </c>
      <c r="D118" s="4" t="s">
        <v>8877</v>
      </c>
      <c r="E118" s="4" t="s">
        <v>7838</v>
      </c>
      <c r="F118" s="4">
        <v>10000.0</v>
      </c>
      <c r="G118" s="8"/>
      <c r="H118" s="8"/>
      <c r="I118" s="8"/>
    </row>
    <row r="119">
      <c r="A119" s="4" t="s">
        <v>8881</v>
      </c>
      <c r="B119" s="4" t="s">
        <v>13</v>
      </c>
      <c r="C119" s="4" t="s">
        <v>9</v>
      </c>
      <c r="D119" s="4" t="s">
        <v>8877</v>
      </c>
      <c r="E119" s="4" t="s">
        <v>7838</v>
      </c>
      <c r="F119" s="4">
        <v>10000.0</v>
      </c>
      <c r="G119" s="8"/>
      <c r="H119" s="8"/>
      <c r="I119" s="8"/>
    </row>
    <row r="120">
      <c r="A120" s="4" t="s">
        <v>8882</v>
      </c>
      <c r="B120" s="4" t="s">
        <v>15</v>
      </c>
      <c r="C120" s="4" t="s">
        <v>7</v>
      </c>
      <c r="D120" s="4" t="s">
        <v>8877</v>
      </c>
      <c r="E120" s="4" t="s">
        <v>7838</v>
      </c>
      <c r="F120" s="4">
        <v>10000.0</v>
      </c>
      <c r="G120" s="8"/>
      <c r="H120" s="8"/>
      <c r="I120" s="8"/>
    </row>
    <row r="121">
      <c r="A121" s="4" t="s">
        <v>8883</v>
      </c>
      <c r="B121" s="4" t="s">
        <v>4</v>
      </c>
      <c r="C121" s="4" t="s">
        <v>17</v>
      </c>
      <c r="D121" s="4" t="s">
        <v>8884</v>
      </c>
      <c r="E121" s="4" t="s">
        <v>7838</v>
      </c>
      <c r="F121" s="4">
        <v>10000.0</v>
      </c>
      <c r="G121" s="8"/>
      <c r="H121" s="8"/>
      <c r="I121" s="8"/>
    </row>
    <row r="122">
      <c r="A122" s="4" t="s">
        <v>8885</v>
      </c>
      <c r="B122" s="4" t="s">
        <v>6</v>
      </c>
      <c r="C122" s="4" t="s">
        <v>10</v>
      </c>
      <c r="D122" s="4" t="s">
        <v>8884</v>
      </c>
      <c r="E122" s="4" t="s">
        <v>7838</v>
      </c>
      <c r="F122" s="4">
        <v>10000.0</v>
      </c>
      <c r="G122" s="8"/>
      <c r="H122" s="8"/>
      <c r="I122" s="8"/>
    </row>
    <row r="123">
      <c r="A123" s="4" t="s">
        <v>8886</v>
      </c>
      <c r="B123" s="4" t="s">
        <v>7</v>
      </c>
      <c r="C123" s="4" t="s">
        <v>16</v>
      </c>
      <c r="D123" s="4" t="s">
        <v>8884</v>
      </c>
      <c r="E123" s="4" t="s">
        <v>7838</v>
      </c>
      <c r="F123" s="4">
        <v>10000.0</v>
      </c>
      <c r="G123" s="8"/>
      <c r="H123" s="8"/>
      <c r="I123" s="8"/>
    </row>
    <row r="124">
      <c r="A124" s="4" t="s">
        <v>8887</v>
      </c>
      <c r="B124" s="4" t="s">
        <v>8</v>
      </c>
      <c r="C124" s="4" t="s">
        <v>14</v>
      </c>
      <c r="D124" s="4" t="s">
        <v>8884</v>
      </c>
      <c r="E124" s="4" t="s">
        <v>7838</v>
      </c>
      <c r="F124" s="4">
        <v>10000.0</v>
      </c>
      <c r="G124" s="8"/>
      <c r="H124" s="8"/>
      <c r="I124" s="8"/>
    </row>
    <row r="125">
      <c r="A125" s="4" t="s">
        <v>8888</v>
      </c>
      <c r="B125" s="4" t="s">
        <v>11</v>
      </c>
      <c r="C125" s="4" t="s">
        <v>12</v>
      </c>
      <c r="D125" s="4" t="s">
        <v>8884</v>
      </c>
      <c r="E125" s="4" t="s">
        <v>7838</v>
      </c>
      <c r="F125" s="4">
        <v>10000.0</v>
      </c>
      <c r="G125" s="8"/>
      <c r="H125" s="8"/>
      <c r="I125" s="8"/>
    </row>
    <row r="126">
      <c r="A126" s="4" t="s">
        <v>8889</v>
      </c>
      <c r="B126" s="4" t="s">
        <v>15</v>
      </c>
      <c r="C126" s="4" t="s">
        <v>5</v>
      </c>
      <c r="D126" s="4" t="s">
        <v>8884</v>
      </c>
      <c r="E126" s="4" t="s">
        <v>7838</v>
      </c>
      <c r="F126" s="4">
        <v>10000.0</v>
      </c>
      <c r="G126" s="8"/>
      <c r="H126" s="8"/>
      <c r="I126" s="8"/>
    </row>
    <row r="127">
      <c r="A127" s="4" t="s">
        <v>8890</v>
      </c>
      <c r="B127" s="4" t="s">
        <v>7</v>
      </c>
      <c r="C127" s="4" t="s">
        <v>5</v>
      </c>
      <c r="D127" s="4" t="s">
        <v>8891</v>
      </c>
      <c r="E127" s="4" t="s">
        <v>7838</v>
      </c>
      <c r="F127" s="4">
        <v>10000.0</v>
      </c>
      <c r="G127" s="8"/>
      <c r="H127" s="8"/>
      <c r="I127" s="8"/>
    </row>
    <row r="128">
      <c r="A128" s="4" t="s">
        <v>8892</v>
      </c>
      <c r="B128" s="4" t="s">
        <v>8</v>
      </c>
      <c r="C128" s="4" t="s">
        <v>15</v>
      </c>
      <c r="D128" s="4" t="s">
        <v>8891</v>
      </c>
      <c r="E128" s="4" t="s">
        <v>7838</v>
      </c>
      <c r="F128" s="4">
        <v>10000.0</v>
      </c>
      <c r="G128" s="8"/>
      <c r="H128" s="8"/>
      <c r="I128" s="8"/>
    </row>
    <row r="129">
      <c r="A129" s="4" t="s">
        <v>8893</v>
      </c>
      <c r="B129" s="4" t="s">
        <v>10</v>
      </c>
      <c r="C129" s="4" t="s">
        <v>9</v>
      </c>
      <c r="D129" s="4" t="s">
        <v>8891</v>
      </c>
      <c r="E129" s="4" t="s">
        <v>7838</v>
      </c>
      <c r="F129" s="4">
        <v>10000.0</v>
      </c>
      <c r="G129" s="8"/>
      <c r="H129" s="8"/>
      <c r="I129" s="8"/>
    </row>
    <row r="130">
      <c r="A130" s="4" t="s">
        <v>8894</v>
      </c>
      <c r="B130" s="4" t="s">
        <v>12</v>
      </c>
      <c r="C130" s="4" t="s">
        <v>14</v>
      </c>
      <c r="D130" s="4" t="s">
        <v>8891</v>
      </c>
      <c r="E130" s="4" t="s">
        <v>7838</v>
      </c>
      <c r="F130" s="4">
        <v>10000.0</v>
      </c>
      <c r="G130" s="8"/>
      <c r="H130" s="8"/>
      <c r="I130" s="8"/>
    </row>
    <row r="131">
      <c r="A131" s="4" t="s">
        <v>8895</v>
      </c>
      <c r="B131" s="4" t="s">
        <v>16</v>
      </c>
      <c r="C131" s="4" t="s">
        <v>11</v>
      </c>
      <c r="D131" s="4" t="s">
        <v>8891</v>
      </c>
      <c r="E131" s="4" t="s">
        <v>7838</v>
      </c>
      <c r="F131" s="4">
        <v>10000.0</v>
      </c>
      <c r="G131" s="8"/>
      <c r="H131" s="8"/>
      <c r="I131" s="8"/>
    </row>
    <row r="132">
      <c r="A132" s="4" t="s">
        <v>8896</v>
      </c>
      <c r="B132" s="4" t="s">
        <v>17</v>
      </c>
      <c r="C132" s="4" t="s">
        <v>6</v>
      </c>
      <c r="D132" s="4" t="s">
        <v>8891</v>
      </c>
      <c r="E132" s="4" t="s">
        <v>7838</v>
      </c>
      <c r="F132" s="4">
        <v>10000.0</v>
      </c>
      <c r="G132" s="8"/>
      <c r="H132" s="8"/>
      <c r="I132" s="8"/>
    </row>
    <row r="133">
      <c r="A133" s="4" t="s">
        <v>8897</v>
      </c>
      <c r="B133" s="4" t="s">
        <v>4</v>
      </c>
      <c r="C133" s="4" t="s">
        <v>8</v>
      </c>
      <c r="D133" s="4" t="s">
        <v>8898</v>
      </c>
      <c r="E133" s="4" t="s">
        <v>7838</v>
      </c>
      <c r="F133" s="4">
        <v>10000.0</v>
      </c>
      <c r="G133" s="8"/>
      <c r="H133" s="8"/>
      <c r="I133" s="8"/>
    </row>
    <row r="134">
      <c r="A134" s="4" t="s">
        <v>8899</v>
      </c>
      <c r="B134" s="4" t="s">
        <v>7</v>
      </c>
      <c r="C134" s="4" t="s">
        <v>17</v>
      </c>
      <c r="D134" s="4" t="s">
        <v>8898</v>
      </c>
      <c r="E134" s="4" t="s">
        <v>7838</v>
      </c>
      <c r="F134" s="4">
        <v>10000.0</v>
      </c>
      <c r="G134" s="8"/>
      <c r="H134" s="8"/>
      <c r="I134" s="8"/>
    </row>
    <row r="135">
      <c r="A135" s="4" t="s">
        <v>8900</v>
      </c>
      <c r="B135" s="4" t="s">
        <v>11</v>
      </c>
      <c r="C135" s="4" t="s">
        <v>16</v>
      </c>
      <c r="D135" s="4" t="s">
        <v>8898</v>
      </c>
      <c r="E135" s="4" t="s">
        <v>7838</v>
      </c>
      <c r="F135" s="4">
        <v>10000.0</v>
      </c>
      <c r="G135" s="8"/>
      <c r="H135" s="8"/>
      <c r="I135" s="8"/>
    </row>
    <row r="136">
      <c r="A136" s="4" t="s">
        <v>8901</v>
      </c>
      <c r="B136" s="4" t="s">
        <v>13</v>
      </c>
      <c r="C136" s="4" t="s">
        <v>12</v>
      </c>
      <c r="D136" s="4" t="s">
        <v>8898</v>
      </c>
      <c r="E136" s="4" t="s">
        <v>7838</v>
      </c>
      <c r="F136" s="4">
        <v>10000.0</v>
      </c>
      <c r="G136" s="8"/>
      <c r="H136" s="8"/>
      <c r="I136" s="8"/>
    </row>
    <row r="137">
      <c r="A137" s="4" t="s">
        <v>8902</v>
      </c>
      <c r="B137" s="4" t="s">
        <v>14</v>
      </c>
      <c r="C137" s="4" t="s">
        <v>9</v>
      </c>
      <c r="D137" s="4" t="s">
        <v>8898</v>
      </c>
      <c r="E137" s="4" t="s">
        <v>7838</v>
      </c>
      <c r="F137" s="4">
        <v>10000.0</v>
      </c>
      <c r="G137" s="8"/>
      <c r="H137" s="8"/>
      <c r="I137" s="8"/>
    </row>
    <row r="138">
      <c r="A138" s="4" t="s">
        <v>8903</v>
      </c>
      <c r="B138" s="4" t="s">
        <v>15</v>
      </c>
      <c r="C138" s="4" t="s">
        <v>6</v>
      </c>
      <c r="D138" s="4" t="s">
        <v>8898</v>
      </c>
      <c r="E138" s="4" t="s">
        <v>7838</v>
      </c>
      <c r="F138" s="4">
        <v>10000.0</v>
      </c>
      <c r="G138" s="8"/>
      <c r="H138" s="8"/>
      <c r="I138" s="8"/>
    </row>
    <row r="139">
      <c r="A139" s="4" t="s">
        <v>8904</v>
      </c>
      <c r="B139" s="4" t="s">
        <v>5</v>
      </c>
      <c r="C139" s="4" t="s">
        <v>15</v>
      </c>
      <c r="D139" s="4" t="s">
        <v>8905</v>
      </c>
      <c r="E139" s="4" t="s">
        <v>7838</v>
      </c>
      <c r="F139" s="4">
        <v>10000.0</v>
      </c>
      <c r="G139" s="8"/>
      <c r="H139" s="8"/>
      <c r="I139" s="8"/>
    </row>
    <row r="140">
      <c r="A140" s="4" t="s">
        <v>8906</v>
      </c>
      <c r="B140" s="4" t="s">
        <v>11</v>
      </c>
      <c r="C140" s="4" t="s">
        <v>8</v>
      </c>
      <c r="D140" s="4" t="s">
        <v>8905</v>
      </c>
      <c r="E140" s="4" t="s">
        <v>7838</v>
      </c>
      <c r="F140" s="4">
        <v>10000.0</v>
      </c>
      <c r="G140" s="8"/>
      <c r="H140" s="8"/>
      <c r="I140" s="8"/>
    </row>
    <row r="141">
      <c r="A141" s="4" t="s">
        <v>8907</v>
      </c>
      <c r="B141" s="4" t="s">
        <v>14</v>
      </c>
      <c r="C141" s="4" t="s">
        <v>12</v>
      </c>
      <c r="D141" s="4" t="s">
        <v>8905</v>
      </c>
      <c r="E141" s="4" t="s">
        <v>7838</v>
      </c>
      <c r="F141" s="4">
        <v>10000.0</v>
      </c>
      <c r="G141" s="8"/>
      <c r="H141" s="8"/>
      <c r="I141" s="8"/>
    </row>
    <row r="142">
      <c r="A142" s="4" t="s">
        <v>8908</v>
      </c>
      <c r="B142" s="4" t="s">
        <v>16</v>
      </c>
      <c r="C142" s="4" t="s">
        <v>7</v>
      </c>
      <c r="D142" s="4" t="s">
        <v>8905</v>
      </c>
      <c r="E142" s="4" t="s">
        <v>7838</v>
      </c>
      <c r="F142" s="4">
        <v>10000.0</v>
      </c>
      <c r="G142" s="8"/>
      <c r="H142" s="8"/>
      <c r="I142" s="8"/>
    </row>
    <row r="143">
      <c r="A143" s="4" t="s">
        <v>8909</v>
      </c>
      <c r="B143" s="4" t="s">
        <v>17</v>
      </c>
      <c r="C143" s="4" t="s">
        <v>4</v>
      </c>
      <c r="D143" s="4" t="s">
        <v>8905</v>
      </c>
      <c r="E143" s="4" t="s">
        <v>7838</v>
      </c>
      <c r="F143" s="4">
        <v>10000.0</v>
      </c>
      <c r="G143" s="8"/>
      <c r="H143" s="8"/>
      <c r="I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</row>
    <row r="151">
      <c r="A151" s="33" t="s">
        <v>8910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33" t="s">
        <v>2737</v>
      </c>
      <c r="B152" s="33" t="s">
        <v>8604</v>
      </c>
      <c r="C152" s="33" t="s">
        <v>8911</v>
      </c>
      <c r="D152" s="33" t="s">
        <v>8912</v>
      </c>
      <c r="E152" s="8"/>
      <c r="F152" s="33" t="s">
        <v>2737</v>
      </c>
      <c r="G152" s="33" t="s">
        <v>8604</v>
      </c>
      <c r="H152" s="33" t="s">
        <v>8911</v>
      </c>
      <c r="I152" s="33" t="s">
        <v>8912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4" t="s">
        <v>12</v>
      </c>
      <c r="B153" s="4" t="s">
        <v>6</v>
      </c>
      <c r="C153" s="4" t="s">
        <v>8913</v>
      </c>
      <c r="D153" s="8"/>
      <c r="E153" s="8"/>
      <c r="F153" s="4" t="s">
        <v>10</v>
      </c>
      <c r="G153" s="4" t="s">
        <v>12</v>
      </c>
      <c r="H153" s="4" t="s">
        <v>8913</v>
      </c>
      <c r="I153" s="4" t="s">
        <v>8914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4" t="s">
        <v>12</v>
      </c>
      <c r="B154" s="4" t="s">
        <v>4</v>
      </c>
      <c r="C154" s="4" t="s">
        <v>8915</v>
      </c>
      <c r="D154" s="8"/>
      <c r="E154" s="8"/>
      <c r="F154" s="4" t="s">
        <v>10</v>
      </c>
      <c r="G154" s="4" t="s">
        <v>6</v>
      </c>
      <c r="H154" s="4" t="s">
        <v>8913</v>
      </c>
      <c r="I154" s="4" t="s">
        <v>4898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4" t="s">
        <v>12</v>
      </c>
      <c r="B155" s="4" t="s">
        <v>15</v>
      </c>
      <c r="C155" s="4" t="s">
        <v>8913</v>
      </c>
      <c r="D155" s="4" t="s">
        <v>8916</v>
      </c>
      <c r="E155" s="8"/>
      <c r="F155" s="4" t="s">
        <v>10</v>
      </c>
      <c r="G155" s="4" t="s">
        <v>4</v>
      </c>
      <c r="H155" s="4" t="s">
        <v>8913</v>
      </c>
      <c r="I155" s="4" t="s">
        <v>8917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4" t="s">
        <v>12</v>
      </c>
      <c r="B156" s="4" t="s">
        <v>11</v>
      </c>
      <c r="C156" s="4" t="s">
        <v>8918</v>
      </c>
      <c r="D156" s="4" t="s">
        <v>8919</v>
      </c>
      <c r="E156" s="8"/>
      <c r="F156" s="4" t="s">
        <v>10</v>
      </c>
      <c r="G156" s="4" t="s">
        <v>15</v>
      </c>
      <c r="H156" s="4" t="s">
        <v>8915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4" t="s">
        <v>12</v>
      </c>
      <c r="B157" s="4" t="s">
        <v>17</v>
      </c>
      <c r="C157" s="4" t="s">
        <v>8913</v>
      </c>
      <c r="D157" s="4" t="s">
        <v>8920</v>
      </c>
      <c r="E157" s="8"/>
      <c r="F157" s="4" t="s">
        <v>10</v>
      </c>
      <c r="G157" s="4" t="s">
        <v>11</v>
      </c>
      <c r="H157" s="4" t="s">
        <v>8913</v>
      </c>
      <c r="I157" s="4" t="s">
        <v>8921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4" t="s">
        <v>12</v>
      </c>
      <c r="B158" s="4" t="s">
        <v>7</v>
      </c>
      <c r="C158" s="4" t="s">
        <v>8913</v>
      </c>
      <c r="D158" s="4" t="s">
        <v>8922</v>
      </c>
      <c r="E158" s="8"/>
      <c r="F158" s="4" t="s">
        <v>10</v>
      </c>
      <c r="G158" s="4" t="s">
        <v>17</v>
      </c>
      <c r="H158" s="4" t="s">
        <v>8918</v>
      </c>
      <c r="I158" s="4" t="s">
        <v>8923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4" t="s">
        <v>12</v>
      </c>
      <c r="B159" s="4" t="s">
        <v>10</v>
      </c>
      <c r="C159" s="4" t="s">
        <v>8913</v>
      </c>
      <c r="D159" s="8"/>
      <c r="E159" s="8"/>
      <c r="F159" s="4" t="s">
        <v>10</v>
      </c>
      <c r="G159" s="4" t="s">
        <v>7</v>
      </c>
      <c r="H159" s="4" t="s">
        <v>8913</v>
      </c>
      <c r="I159" s="4" t="s">
        <v>8924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4" t="s">
        <v>12</v>
      </c>
      <c r="B160" s="4" t="s">
        <v>13</v>
      </c>
      <c r="C160" s="4" t="s">
        <v>8913</v>
      </c>
      <c r="D160" s="4" t="s">
        <v>8921</v>
      </c>
      <c r="E160" s="8"/>
      <c r="F160" s="4" t="s">
        <v>10</v>
      </c>
      <c r="G160" s="4" t="s">
        <v>13</v>
      </c>
      <c r="H160" s="4" t="s">
        <v>8913</v>
      </c>
      <c r="I160" s="4" t="s">
        <v>8925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4" t="s">
        <v>12</v>
      </c>
      <c r="B161" s="4" t="s">
        <v>9</v>
      </c>
      <c r="C161" s="4" t="s">
        <v>8913</v>
      </c>
      <c r="D161" s="4" t="s">
        <v>4871</v>
      </c>
      <c r="E161" s="8"/>
      <c r="F161" s="4" t="s">
        <v>10</v>
      </c>
      <c r="G161" s="4" t="s">
        <v>9</v>
      </c>
      <c r="H161" s="4" t="s">
        <v>8918</v>
      </c>
      <c r="I161" s="4" t="s">
        <v>8926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4" t="s">
        <v>12</v>
      </c>
      <c r="B162" s="4" t="s">
        <v>8</v>
      </c>
      <c r="C162" s="4" t="s">
        <v>8913</v>
      </c>
      <c r="D162" s="4" t="s">
        <v>8927</v>
      </c>
      <c r="E162" s="8"/>
      <c r="F162" s="4" t="s">
        <v>10</v>
      </c>
      <c r="G162" s="4" t="s">
        <v>8</v>
      </c>
      <c r="H162" s="4" t="s">
        <v>8913</v>
      </c>
      <c r="I162" s="4" t="s">
        <v>8928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4" t="s">
        <v>12</v>
      </c>
      <c r="B163" s="4" t="s">
        <v>5</v>
      </c>
      <c r="C163" s="4" t="s">
        <v>8913</v>
      </c>
      <c r="D163" s="4" t="s">
        <v>8929</v>
      </c>
      <c r="E163" s="8"/>
      <c r="F163" s="4" t="s">
        <v>10</v>
      </c>
      <c r="G163" s="4" t="s">
        <v>5</v>
      </c>
      <c r="H163" s="4" t="s">
        <v>8913</v>
      </c>
      <c r="I163" s="4" t="s">
        <v>8930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4" t="s">
        <v>12</v>
      </c>
      <c r="B164" s="4" t="s">
        <v>16</v>
      </c>
      <c r="C164" s="4" t="s">
        <v>8918</v>
      </c>
      <c r="D164" s="4" t="s">
        <v>8931</v>
      </c>
      <c r="E164" s="8"/>
      <c r="F164" s="4" t="s">
        <v>10</v>
      </c>
      <c r="G164" s="4" t="s">
        <v>16</v>
      </c>
      <c r="H164" s="4" t="s">
        <v>8915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4" t="s">
        <v>12</v>
      </c>
      <c r="B165" s="4" t="s">
        <v>14</v>
      </c>
      <c r="C165" s="4" t="s">
        <v>8918</v>
      </c>
      <c r="D165" s="4" t="s">
        <v>8926</v>
      </c>
      <c r="E165" s="8"/>
      <c r="F165" s="4" t="s">
        <v>10</v>
      </c>
      <c r="G165" s="4" t="s">
        <v>14</v>
      </c>
      <c r="H165" s="4" t="s">
        <v>8915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4" t="s">
        <v>6</v>
      </c>
      <c r="B166" s="4" t="s">
        <v>12</v>
      </c>
      <c r="C166" s="4" t="s">
        <v>8918</v>
      </c>
      <c r="D166" s="4" t="s">
        <v>8932</v>
      </c>
      <c r="E166" s="8"/>
      <c r="F166" s="4" t="s">
        <v>13</v>
      </c>
      <c r="G166" s="4" t="s">
        <v>12</v>
      </c>
      <c r="H166" s="4" t="s">
        <v>8918</v>
      </c>
      <c r="I166" s="4" t="s">
        <v>8933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4" t="s">
        <v>6</v>
      </c>
      <c r="B167" s="4" t="s">
        <v>4</v>
      </c>
      <c r="C167" s="4" t="s">
        <v>8913</v>
      </c>
      <c r="D167" s="4" t="s">
        <v>4877</v>
      </c>
      <c r="E167" s="8"/>
      <c r="F167" s="4" t="s">
        <v>13</v>
      </c>
      <c r="G167" s="4" t="s">
        <v>6</v>
      </c>
      <c r="H167" s="4" t="s">
        <v>8918</v>
      </c>
      <c r="I167" s="4" t="s">
        <v>8934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4" t="s">
        <v>6</v>
      </c>
      <c r="B168" s="4" t="s">
        <v>15</v>
      </c>
      <c r="C168" s="4" t="s">
        <v>8913</v>
      </c>
      <c r="D168" s="4" t="s">
        <v>8935</v>
      </c>
      <c r="E168" s="8"/>
      <c r="F168" s="4" t="s">
        <v>13</v>
      </c>
      <c r="G168" s="4" t="s">
        <v>4</v>
      </c>
      <c r="H168" s="4" t="s">
        <v>8913</v>
      </c>
      <c r="I168" s="4" t="s">
        <v>8920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4" t="s">
        <v>6</v>
      </c>
      <c r="B169" s="4" t="s">
        <v>11</v>
      </c>
      <c r="C169" s="4" t="s">
        <v>8913</v>
      </c>
      <c r="D169" s="4" t="s">
        <v>8936</v>
      </c>
      <c r="E169" s="8"/>
      <c r="F169" s="4" t="s">
        <v>13</v>
      </c>
      <c r="G169" s="4" t="s">
        <v>15</v>
      </c>
      <c r="H169" s="4" t="s">
        <v>8915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4" t="s">
        <v>6</v>
      </c>
      <c r="B170" s="4" t="s">
        <v>17</v>
      </c>
      <c r="C170" s="4" t="s">
        <v>8913</v>
      </c>
      <c r="D170" s="4" t="s">
        <v>5460</v>
      </c>
      <c r="E170" s="8"/>
      <c r="F170" s="4" t="s">
        <v>13</v>
      </c>
      <c r="G170" s="4" t="s">
        <v>11</v>
      </c>
      <c r="H170" s="4" t="s">
        <v>8915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4" t="s">
        <v>6</v>
      </c>
      <c r="B171" s="4" t="s">
        <v>7</v>
      </c>
      <c r="C171" s="4" t="s">
        <v>8913</v>
      </c>
      <c r="D171" s="4" t="s">
        <v>8927</v>
      </c>
      <c r="E171" s="8"/>
      <c r="F171" s="4" t="s">
        <v>13</v>
      </c>
      <c r="G171" s="4" t="s">
        <v>17</v>
      </c>
      <c r="H171" s="4" t="s">
        <v>8913</v>
      </c>
      <c r="I171" s="4" t="s">
        <v>5170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4" t="s">
        <v>6</v>
      </c>
      <c r="B172" s="4" t="s">
        <v>10</v>
      </c>
      <c r="C172" s="4" t="s">
        <v>8918</v>
      </c>
      <c r="D172" s="4" t="s">
        <v>8937</v>
      </c>
      <c r="E172" s="8"/>
      <c r="F172" s="4" t="s">
        <v>13</v>
      </c>
      <c r="G172" s="4" t="s">
        <v>7</v>
      </c>
      <c r="H172" s="4" t="s">
        <v>8915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4" t="s">
        <v>6</v>
      </c>
      <c r="B173" s="4" t="s">
        <v>13</v>
      </c>
      <c r="C173" s="4" t="s">
        <v>8913</v>
      </c>
      <c r="D173" s="4" t="s">
        <v>8938</v>
      </c>
      <c r="E173" s="8"/>
      <c r="F173" s="4" t="s">
        <v>13</v>
      </c>
      <c r="G173" s="4" t="s">
        <v>10</v>
      </c>
      <c r="H173" s="4" t="s">
        <v>8913</v>
      </c>
      <c r="I173" s="4" t="s">
        <v>8939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4" t="s">
        <v>6</v>
      </c>
      <c r="B174" s="4" t="s">
        <v>9</v>
      </c>
      <c r="C174" s="4" t="s">
        <v>8913</v>
      </c>
      <c r="D174" s="8"/>
      <c r="E174" s="8"/>
      <c r="F174" s="4" t="s">
        <v>13</v>
      </c>
      <c r="G174" s="4" t="s">
        <v>9</v>
      </c>
      <c r="H174" s="4" t="s">
        <v>8918</v>
      </c>
      <c r="I174" s="4" t="s">
        <v>8923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4" t="s">
        <v>6</v>
      </c>
      <c r="B175" s="4" t="s">
        <v>8</v>
      </c>
      <c r="C175" s="4" t="s">
        <v>8913</v>
      </c>
      <c r="D175" s="4" t="s">
        <v>5501</v>
      </c>
      <c r="E175" s="8"/>
      <c r="F175" s="4" t="s">
        <v>13</v>
      </c>
      <c r="G175" s="4" t="s">
        <v>8</v>
      </c>
      <c r="H175" s="4" t="s">
        <v>8913</v>
      </c>
      <c r="I175" s="4" t="s">
        <v>4927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4" t="s">
        <v>6</v>
      </c>
      <c r="B176" s="4" t="s">
        <v>5</v>
      </c>
      <c r="C176" s="4" t="s">
        <v>8913</v>
      </c>
      <c r="D176" s="4" t="s">
        <v>8940</v>
      </c>
      <c r="E176" s="8"/>
      <c r="F176" s="4" t="s">
        <v>13</v>
      </c>
      <c r="G176" s="4" t="s">
        <v>5</v>
      </c>
      <c r="H176" s="4" t="s">
        <v>8913</v>
      </c>
      <c r="I176" s="4" t="s">
        <v>8927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4" t="s">
        <v>6</v>
      </c>
      <c r="B177" s="4" t="s">
        <v>16</v>
      </c>
      <c r="C177" s="4" t="s">
        <v>8915</v>
      </c>
      <c r="D177" s="8"/>
      <c r="E177" s="8"/>
      <c r="F177" s="4" t="s">
        <v>13</v>
      </c>
      <c r="G177" s="4" t="s">
        <v>16</v>
      </c>
      <c r="H177" s="4" t="s">
        <v>8913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4" t="s">
        <v>6</v>
      </c>
      <c r="B178" s="4" t="s">
        <v>14</v>
      </c>
      <c r="C178" s="4" t="s">
        <v>8915</v>
      </c>
      <c r="D178" s="8"/>
      <c r="E178" s="8"/>
      <c r="F178" s="4" t="s">
        <v>13</v>
      </c>
      <c r="G178" s="4" t="s">
        <v>14</v>
      </c>
      <c r="H178" s="4" t="s">
        <v>8918</v>
      </c>
      <c r="I178" s="4" t="s">
        <v>8932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4" t="s">
        <v>4</v>
      </c>
      <c r="B179" s="4" t="s">
        <v>12</v>
      </c>
      <c r="C179" s="4" t="s">
        <v>8915</v>
      </c>
      <c r="D179" s="8"/>
      <c r="E179" s="8"/>
      <c r="F179" s="4" t="s">
        <v>9</v>
      </c>
      <c r="G179" s="4" t="s">
        <v>12</v>
      </c>
      <c r="H179" s="4" t="s">
        <v>8913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4" t="s">
        <v>4</v>
      </c>
      <c r="B180" s="4" t="s">
        <v>6</v>
      </c>
      <c r="C180" s="4" t="s">
        <v>8913</v>
      </c>
      <c r="D180" s="4" t="s">
        <v>4859</v>
      </c>
      <c r="E180" s="8"/>
      <c r="F180" s="4" t="s">
        <v>9</v>
      </c>
      <c r="G180" s="4" t="s">
        <v>6</v>
      </c>
      <c r="H180" s="4" t="s">
        <v>8913</v>
      </c>
      <c r="I180" s="4" t="s">
        <v>8921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4" t="s">
        <v>4</v>
      </c>
      <c r="B181" s="4" t="s">
        <v>15</v>
      </c>
      <c r="C181" s="4" t="s">
        <v>8913</v>
      </c>
      <c r="D181" s="4" t="s">
        <v>7747</v>
      </c>
      <c r="E181" s="8"/>
      <c r="F181" s="4" t="s">
        <v>9</v>
      </c>
      <c r="G181" s="4" t="s">
        <v>4</v>
      </c>
      <c r="H181" s="4" t="s">
        <v>8913</v>
      </c>
      <c r="I181" s="4" t="s">
        <v>7177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4" t="s">
        <v>4</v>
      </c>
      <c r="B182" s="4" t="s">
        <v>11</v>
      </c>
      <c r="C182" s="4" t="s">
        <v>8913</v>
      </c>
      <c r="D182" s="4" t="s">
        <v>8925</v>
      </c>
      <c r="E182" s="8"/>
      <c r="F182" s="4" t="s">
        <v>9</v>
      </c>
      <c r="G182" s="4" t="s">
        <v>15</v>
      </c>
      <c r="H182" s="4" t="s">
        <v>8913</v>
      </c>
      <c r="I182" s="4" t="s">
        <v>8927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4" t="s">
        <v>4</v>
      </c>
      <c r="B183" s="4" t="s">
        <v>17</v>
      </c>
      <c r="C183" s="4" t="s">
        <v>8918</v>
      </c>
      <c r="D183" s="4" t="s">
        <v>8937</v>
      </c>
      <c r="E183" s="8"/>
      <c r="F183" s="4" t="s">
        <v>9</v>
      </c>
      <c r="G183" s="4" t="s">
        <v>11</v>
      </c>
      <c r="H183" s="4" t="s">
        <v>8915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4" t="s">
        <v>4</v>
      </c>
      <c r="B184" s="4" t="s">
        <v>7</v>
      </c>
      <c r="C184" s="4" t="s">
        <v>8913</v>
      </c>
      <c r="D184" s="4" t="s">
        <v>8921</v>
      </c>
      <c r="E184" s="8"/>
      <c r="F184" s="4" t="s">
        <v>9</v>
      </c>
      <c r="G184" s="4" t="s">
        <v>17</v>
      </c>
      <c r="H184" s="4" t="s">
        <v>8913</v>
      </c>
      <c r="I184" s="4" t="s">
        <v>8914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4" t="s">
        <v>4</v>
      </c>
      <c r="B185" s="4" t="s">
        <v>10</v>
      </c>
      <c r="C185" s="4" t="s">
        <v>8913</v>
      </c>
      <c r="D185" s="4" t="s">
        <v>8929</v>
      </c>
      <c r="E185" s="8"/>
      <c r="F185" s="4" t="s">
        <v>9</v>
      </c>
      <c r="G185" s="4" t="s">
        <v>7</v>
      </c>
      <c r="H185" s="4" t="s">
        <v>8913</v>
      </c>
      <c r="I185" s="4" t="s">
        <v>8925</v>
      </c>
      <c r="J185" s="8"/>
      <c r="K185" s="4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4" t="s">
        <v>4</v>
      </c>
      <c r="B186" s="4" t="s">
        <v>13</v>
      </c>
      <c r="C186" s="4" t="s">
        <v>8913</v>
      </c>
      <c r="D186" s="4" t="s">
        <v>8941</v>
      </c>
      <c r="E186" s="8"/>
      <c r="F186" s="4" t="s">
        <v>9</v>
      </c>
      <c r="G186" s="4" t="s">
        <v>13</v>
      </c>
      <c r="H186" s="4" t="s">
        <v>8913</v>
      </c>
      <c r="I186" s="4" t="s">
        <v>5895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4" t="s">
        <v>4</v>
      </c>
      <c r="B187" s="4" t="s">
        <v>9</v>
      </c>
      <c r="C187" s="4" t="s">
        <v>8913</v>
      </c>
      <c r="D187" s="4" t="s">
        <v>7153</v>
      </c>
      <c r="E187" s="8"/>
      <c r="F187" s="4" t="s">
        <v>9</v>
      </c>
      <c r="G187" s="4" t="s">
        <v>10</v>
      </c>
      <c r="H187" s="4" t="s">
        <v>8918</v>
      </c>
      <c r="I187" s="4" t="s">
        <v>8934</v>
      </c>
      <c r="J187" s="8"/>
      <c r="K187" s="33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4" t="s">
        <v>4</v>
      </c>
      <c r="B188" s="4" t="s">
        <v>8</v>
      </c>
      <c r="C188" s="4" t="s">
        <v>8918</v>
      </c>
      <c r="D188" s="4" t="s">
        <v>8933</v>
      </c>
      <c r="E188" s="8"/>
      <c r="F188" s="4" t="s">
        <v>9</v>
      </c>
      <c r="G188" s="4" t="s">
        <v>8</v>
      </c>
      <c r="H188" s="4" t="s">
        <v>8915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4" t="s">
        <v>4</v>
      </c>
      <c r="B189" s="4" t="s">
        <v>5</v>
      </c>
      <c r="C189" s="4" t="s">
        <v>8913</v>
      </c>
      <c r="D189" s="8"/>
      <c r="E189" s="8"/>
      <c r="F189" s="4" t="s">
        <v>9</v>
      </c>
      <c r="G189" s="4" t="s">
        <v>5</v>
      </c>
      <c r="H189" s="4" t="s">
        <v>8918</v>
      </c>
      <c r="I189" s="4" t="s">
        <v>8932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4" t="s">
        <v>4</v>
      </c>
      <c r="B190" s="4" t="s">
        <v>16</v>
      </c>
      <c r="C190" s="4" t="s">
        <v>8915</v>
      </c>
      <c r="D190" s="8"/>
      <c r="E190" s="8"/>
      <c r="F190" s="4" t="s">
        <v>9</v>
      </c>
      <c r="G190" s="4" t="s">
        <v>16</v>
      </c>
      <c r="H190" s="4" t="s">
        <v>8915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4" t="s">
        <v>4</v>
      </c>
      <c r="B191" s="4" t="s">
        <v>14</v>
      </c>
      <c r="C191" s="4" t="s">
        <v>8918</v>
      </c>
      <c r="D191" s="4" t="s">
        <v>8919</v>
      </c>
      <c r="E191" s="8"/>
      <c r="F191" s="4" t="s">
        <v>9</v>
      </c>
      <c r="G191" s="4" t="s">
        <v>14</v>
      </c>
      <c r="H191" s="4" t="s">
        <v>8915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4" t="s">
        <v>15</v>
      </c>
      <c r="B192" s="4" t="s">
        <v>12</v>
      </c>
      <c r="C192" s="4" t="s">
        <v>8913</v>
      </c>
      <c r="D192" s="4" t="s">
        <v>8940</v>
      </c>
      <c r="E192" s="8"/>
      <c r="F192" s="4" t="s">
        <v>8</v>
      </c>
      <c r="G192" s="4" t="s">
        <v>12</v>
      </c>
      <c r="H192" s="4" t="s">
        <v>8915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4" t="s">
        <v>15</v>
      </c>
      <c r="B193" s="4" t="s">
        <v>6</v>
      </c>
      <c r="C193" s="4" t="s">
        <v>8918</v>
      </c>
      <c r="D193" s="4" t="s">
        <v>8933</v>
      </c>
      <c r="E193" s="8"/>
      <c r="F193" s="4" t="s">
        <v>8</v>
      </c>
      <c r="G193" s="4" t="s">
        <v>6</v>
      </c>
      <c r="H193" s="4" t="s">
        <v>8918</v>
      </c>
      <c r="I193" s="4" t="s">
        <v>8919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4" t="s">
        <v>15</v>
      </c>
      <c r="B194" s="4" t="s">
        <v>4</v>
      </c>
      <c r="C194" s="4" t="s">
        <v>8913</v>
      </c>
      <c r="D194" s="4" t="s">
        <v>7659</v>
      </c>
      <c r="E194" s="8"/>
      <c r="F194" s="4" t="s">
        <v>8</v>
      </c>
      <c r="G194" s="4" t="s">
        <v>4</v>
      </c>
      <c r="H194" s="4" t="s">
        <v>8918</v>
      </c>
      <c r="I194" s="4" t="s">
        <v>8932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4" t="s">
        <v>15</v>
      </c>
      <c r="B195" s="4" t="s">
        <v>11</v>
      </c>
      <c r="C195" s="4" t="s">
        <v>8913</v>
      </c>
      <c r="D195" s="4" t="s">
        <v>8914</v>
      </c>
      <c r="E195" s="8"/>
      <c r="F195" s="4" t="s">
        <v>8</v>
      </c>
      <c r="G195" s="4" t="s">
        <v>15</v>
      </c>
      <c r="H195" s="4" t="s">
        <v>8918</v>
      </c>
      <c r="I195" s="4" t="s">
        <v>8926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4" t="s">
        <v>15</v>
      </c>
      <c r="B196" s="4" t="s">
        <v>17</v>
      </c>
      <c r="C196" s="4" t="s">
        <v>8913</v>
      </c>
      <c r="D196" s="4" t="s">
        <v>4898</v>
      </c>
      <c r="E196" s="8"/>
      <c r="F196" s="4" t="s">
        <v>8</v>
      </c>
      <c r="G196" s="4" t="s">
        <v>11</v>
      </c>
      <c r="H196" s="4" t="s">
        <v>8918</v>
      </c>
      <c r="I196" s="4" t="s">
        <v>8934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4" t="s">
        <v>15</v>
      </c>
      <c r="B197" s="4" t="s">
        <v>7</v>
      </c>
      <c r="C197" s="4" t="s">
        <v>8918</v>
      </c>
      <c r="D197" s="4" t="s">
        <v>8923</v>
      </c>
      <c r="E197" s="8"/>
      <c r="F197" s="4" t="s">
        <v>8</v>
      </c>
      <c r="G197" s="4" t="s">
        <v>17</v>
      </c>
      <c r="H197" s="4" t="s">
        <v>8915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4" t="s">
        <v>15</v>
      </c>
      <c r="B198" s="4" t="s">
        <v>10</v>
      </c>
      <c r="C198" s="4" t="s">
        <v>8918</v>
      </c>
      <c r="D198" s="4" t="s">
        <v>8942</v>
      </c>
      <c r="E198" s="8"/>
      <c r="F198" s="4" t="s">
        <v>8</v>
      </c>
      <c r="G198" s="4" t="s">
        <v>7</v>
      </c>
      <c r="H198" s="4" t="s">
        <v>8913</v>
      </c>
      <c r="I198" s="4" t="s">
        <v>8938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4" t="s">
        <v>15</v>
      </c>
      <c r="B199" s="4" t="s">
        <v>13</v>
      </c>
      <c r="C199" s="4" t="s">
        <v>8913</v>
      </c>
      <c r="D199" s="4" t="s">
        <v>4706</v>
      </c>
      <c r="E199" s="8"/>
      <c r="F199" s="4" t="s">
        <v>8</v>
      </c>
      <c r="G199" s="4" t="s">
        <v>13</v>
      </c>
      <c r="H199" s="4" t="s">
        <v>8913</v>
      </c>
      <c r="I199" s="4" t="s">
        <v>5195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4" t="s">
        <v>15</v>
      </c>
      <c r="B200" s="4" t="s">
        <v>9</v>
      </c>
      <c r="C200" s="4" t="s">
        <v>8918</v>
      </c>
      <c r="D200" s="4" t="s">
        <v>8919</v>
      </c>
      <c r="E200" s="8"/>
      <c r="F200" s="4" t="s">
        <v>8</v>
      </c>
      <c r="G200" s="4" t="s">
        <v>9</v>
      </c>
      <c r="H200" s="4" t="s">
        <v>8915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4" t="s">
        <v>15</v>
      </c>
      <c r="B201" s="4" t="s">
        <v>8</v>
      </c>
      <c r="C201" s="4" t="s">
        <v>8915</v>
      </c>
      <c r="D201" s="8"/>
      <c r="E201" s="8"/>
      <c r="F201" s="4" t="s">
        <v>8</v>
      </c>
      <c r="G201" s="4" t="s">
        <v>10</v>
      </c>
      <c r="H201" s="4" t="s">
        <v>8913</v>
      </c>
      <c r="I201" s="4" t="s">
        <v>4706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4" t="s">
        <v>15</v>
      </c>
      <c r="B202" s="4" t="s">
        <v>5</v>
      </c>
      <c r="C202" s="4" t="s">
        <v>8918</v>
      </c>
      <c r="D202" s="4" t="s">
        <v>8937</v>
      </c>
      <c r="E202" s="8"/>
      <c r="F202" s="4" t="s">
        <v>8</v>
      </c>
      <c r="G202" s="4" t="s">
        <v>5</v>
      </c>
      <c r="H202" s="4" t="s">
        <v>8915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4" t="s">
        <v>15</v>
      </c>
      <c r="B203" s="4" t="s">
        <v>16</v>
      </c>
      <c r="C203" s="4" t="s">
        <v>8918</v>
      </c>
      <c r="D203" s="4" t="s">
        <v>8932</v>
      </c>
      <c r="E203" s="8"/>
      <c r="F203" s="4" t="s">
        <v>8</v>
      </c>
      <c r="G203" s="4" t="s">
        <v>16</v>
      </c>
      <c r="H203" s="4" t="s">
        <v>8918</v>
      </c>
      <c r="I203" s="4" t="s">
        <v>8923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4" t="s">
        <v>15</v>
      </c>
      <c r="B204" s="4" t="s">
        <v>14</v>
      </c>
      <c r="C204" s="4" t="s">
        <v>8913</v>
      </c>
      <c r="D204" s="4" t="s">
        <v>8943</v>
      </c>
      <c r="E204" s="8"/>
      <c r="F204" s="4" t="s">
        <v>8</v>
      </c>
      <c r="G204" s="4" t="s">
        <v>14</v>
      </c>
      <c r="H204" s="4" t="s">
        <v>8918</v>
      </c>
      <c r="I204" s="4" t="s">
        <v>8937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4" t="s">
        <v>11</v>
      </c>
      <c r="B205" s="4" t="s">
        <v>12</v>
      </c>
      <c r="C205" s="4" t="s">
        <v>8918</v>
      </c>
      <c r="D205" s="4" t="s">
        <v>8937</v>
      </c>
      <c r="E205" s="8"/>
      <c r="F205" s="4" t="s">
        <v>5</v>
      </c>
      <c r="G205" s="4" t="s">
        <v>12</v>
      </c>
      <c r="H205" s="4" t="s">
        <v>8918</v>
      </c>
      <c r="I205" s="4" t="s">
        <v>8923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4" t="s">
        <v>11</v>
      </c>
      <c r="B206" s="4" t="s">
        <v>6</v>
      </c>
      <c r="C206" s="4" t="s">
        <v>8915</v>
      </c>
      <c r="D206" s="8"/>
      <c r="E206" s="8"/>
      <c r="F206" s="4" t="s">
        <v>5</v>
      </c>
      <c r="G206" s="4" t="s">
        <v>6</v>
      </c>
      <c r="H206" s="4" t="s">
        <v>8913</v>
      </c>
      <c r="I206" s="4" t="s">
        <v>7162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4" t="s">
        <v>11</v>
      </c>
      <c r="B207" s="4" t="s">
        <v>4</v>
      </c>
      <c r="C207" s="4" t="s">
        <v>8913</v>
      </c>
      <c r="D207" s="4" t="s">
        <v>8944</v>
      </c>
      <c r="E207" s="8"/>
      <c r="F207" s="4" t="s">
        <v>5</v>
      </c>
      <c r="G207" s="4" t="s">
        <v>4</v>
      </c>
      <c r="H207" s="4" t="s">
        <v>8913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4" t="s">
        <v>11</v>
      </c>
      <c r="B208" s="4" t="s">
        <v>15</v>
      </c>
      <c r="C208" s="4" t="s">
        <v>8918</v>
      </c>
      <c r="D208" s="4" t="s">
        <v>8931</v>
      </c>
      <c r="E208" s="8"/>
      <c r="F208" s="4" t="s">
        <v>5</v>
      </c>
      <c r="G208" s="4" t="s">
        <v>15</v>
      </c>
      <c r="H208" s="4" t="s">
        <v>8918</v>
      </c>
      <c r="I208" s="4" t="s">
        <v>8945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4" t="s">
        <v>11</v>
      </c>
      <c r="B209" s="4" t="s">
        <v>17</v>
      </c>
      <c r="C209" s="4" t="s">
        <v>8918</v>
      </c>
      <c r="D209" s="4" t="s">
        <v>8932</v>
      </c>
      <c r="E209" s="8"/>
      <c r="F209" s="4" t="s">
        <v>5</v>
      </c>
      <c r="G209" s="4" t="s">
        <v>11</v>
      </c>
      <c r="H209" s="4" t="s">
        <v>8913</v>
      </c>
      <c r="I209" s="4" t="s">
        <v>4898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4" t="s">
        <v>11</v>
      </c>
      <c r="B210" s="4" t="s">
        <v>7</v>
      </c>
      <c r="C210" s="4" t="s">
        <v>8915</v>
      </c>
      <c r="D210" s="8"/>
      <c r="E210" s="8"/>
      <c r="F210" s="4" t="s">
        <v>5</v>
      </c>
      <c r="G210" s="4" t="s">
        <v>17</v>
      </c>
      <c r="H210" s="4" t="s">
        <v>8913</v>
      </c>
      <c r="I210" s="4" t="s">
        <v>5155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4" t="s">
        <v>11</v>
      </c>
      <c r="B211" s="4" t="s">
        <v>10</v>
      </c>
      <c r="C211" s="4" t="s">
        <v>8913</v>
      </c>
      <c r="D211" s="8"/>
      <c r="E211" s="8"/>
      <c r="F211" s="4" t="s">
        <v>5</v>
      </c>
      <c r="G211" s="4" t="s">
        <v>7</v>
      </c>
      <c r="H211" s="4" t="s">
        <v>8915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4" t="s">
        <v>11</v>
      </c>
      <c r="B212" s="4" t="s">
        <v>13</v>
      </c>
      <c r="C212" s="4" t="s">
        <v>8915</v>
      </c>
      <c r="D212" s="8"/>
      <c r="E212" s="8"/>
      <c r="F212" s="4" t="s">
        <v>5</v>
      </c>
      <c r="G212" s="4" t="s">
        <v>13</v>
      </c>
      <c r="H212" s="4" t="s">
        <v>8913</v>
      </c>
      <c r="I212" s="4" t="s">
        <v>8916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4" t="s">
        <v>11</v>
      </c>
      <c r="B213" s="4" t="s">
        <v>9</v>
      </c>
      <c r="C213" s="4" t="s">
        <v>8913</v>
      </c>
      <c r="D213" s="4" t="s">
        <v>8929</v>
      </c>
      <c r="E213" s="8"/>
      <c r="F213" s="4" t="s">
        <v>5</v>
      </c>
      <c r="G213" s="4" t="s">
        <v>9</v>
      </c>
      <c r="H213" s="4" t="s">
        <v>8913</v>
      </c>
      <c r="I213" s="4" t="s">
        <v>8924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4" t="s">
        <v>11</v>
      </c>
      <c r="B214" s="4" t="s">
        <v>8</v>
      </c>
      <c r="C214" s="4" t="s">
        <v>8918</v>
      </c>
      <c r="D214" s="4" t="s">
        <v>8945</v>
      </c>
      <c r="E214" s="8"/>
      <c r="F214" s="4" t="s">
        <v>5</v>
      </c>
      <c r="G214" s="4" t="s">
        <v>10</v>
      </c>
      <c r="H214" s="4" t="s">
        <v>8913</v>
      </c>
      <c r="I214" s="4" t="s">
        <v>4871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4" t="s">
        <v>11</v>
      </c>
      <c r="B215" s="4" t="s">
        <v>5</v>
      </c>
      <c r="C215" s="4" t="s">
        <v>8913</v>
      </c>
      <c r="D215" s="8"/>
      <c r="E215" s="8"/>
      <c r="F215" s="4" t="s">
        <v>5</v>
      </c>
      <c r="G215" s="4" t="s">
        <v>8</v>
      </c>
      <c r="H215" s="4" t="s">
        <v>8913</v>
      </c>
      <c r="I215" s="4" t="s">
        <v>8921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4" t="s">
        <v>11</v>
      </c>
      <c r="B216" s="4" t="s">
        <v>16</v>
      </c>
      <c r="C216" s="4" t="s">
        <v>8918</v>
      </c>
      <c r="D216" s="4" t="s">
        <v>8933</v>
      </c>
      <c r="E216" s="8"/>
      <c r="F216" s="4" t="s">
        <v>5</v>
      </c>
      <c r="G216" s="4" t="s">
        <v>16</v>
      </c>
      <c r="H216" s="4" t="s">
        <v>8918</v>
      </c>
      <c r="I216" s="4" t="s">
        <v>8919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4" t="s">
        <v>11</v>
      </c>
      <c r="B217" s="4" t="s">
        <v>14</v>
      </c>
      <c r="C217" s="4" t="s">
        <v>8918</v>
      </c>
      <c r="D217" s="4" t="s">
        <v>8923</v>
      </c>
      <c r="E217" s="8"/>
      <c r="F217" s="4" t="s">
        <v>5</v>
      </c>
      <c r="G217" s="4" t="s">
        <v>14</v>
      </c>
      <c r="H217" s="4" t="s">
        <v>8913</v>
      </c>
      <c r="I217" s="4" t="s">
        <v>8938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4" t="s">
        <v>17</v>
      </c>
      <c r="B218" s="4" t="s">
        <v>12</v>
      </c>
      <c r="C218" s="4" t="s">
        <v>8918</v>
      </c>
      <c r="D218" s="4" t="s">
        <v>8934</v>
      </c>
      <c r="E218" s="8"/>
      <c r="F218" s="4" t="s">
        <v>7</v>
      </c>
      <c r="G218" s="4" t="s">
        <v>12</v>
      </c>
      <c r="H218" s="4" t="s">
        <v>8918</v>
      </c>
      <c r="I218" s="4" t="s">
        <v>8942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4" t="s">
        <v>17</v>
      </c>
      <c r="B219" s="4" t="s">
        <v>6</v>
      </c>
      <c r="C219" s="4" t="s">
        <v>8918</v>
      </c>
      <c r="D219" s="4" t="s">
        <v>8926</v>
      </c>
      <c r="E219" s="8"/>
      <c r="F219" s="4" t="s">
        <v>7</v>
      </c>
      <c r="G219" s="4" t="s">
        <v>6</v>
      </c>
      <c r="H219" s="4" t="s">
        <v>8915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4" t="s">
        <v>17</v>
      </c>
      <c r="B220" s="4" t="s">
        <v>4</v>
      </c>
      <c r="C220" s="4" t="s">
        <v>8918</v>
      </c>
      <c r="D220" s="4" t="s">
        <v>8945</v>
      </c>
      <c r="E220" s="8"/>
      <c r="F220" s="4" t="s">
        <v>7</v>
      </c>
      <c r="G220" s="4" t="s">
        <v>4</v>
      </c>
      <c r="H220" s="4" t="s">
        <v>8915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4" t="s">
        <v>17</v>
      </c>
      <c r="B221" s="4" t="s">
        <v>15</v>
      </c>
      <c r="C221" s="4" t="s">
        <v>8913</v>
      </c>
      <c r="D221" s="4" t="s">
        <v>8946</v>
      </c>
      <c r="E221" s="8"/>
      <c r="F221" s="4" t="s">
        <v>7</v>
      </c>
      <c r="G221" s="4" t="s">
        <v>15</v>
      </c>
      <c r="H221" s="4" t="s">
        <v>8918</v>
      </c>
      <c r="I221" s="4" t="s">
        <v>8934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4" t="s">
        <v>17</v>
      </c>
      <c r="B222" s="4" t="s">
        <v>11</v>
      </c>
      <c r="C222" s="4" t="s">
        <v>8913</v>
      </c>
      <c r="D222" s="4" t="s">
        <v>8927</v>
      </c>
      <c r="E222" s="8"/>
      <c r="F222" s="4" t="s">
        <v>7</v>
      </c>
      <c r="G222" s="4" t="s">
        <v>11</v>
      </c>
      <c r="H222" s="4" t="s">
        <v>8913</v>
      </c>
      <c r="I222" s="4" t="s">
        <v>4871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4" t="s">
        <v>17</v>
      </c>
      <c r="B223" s="4" t="s">
        <v>7</v>
      </c>
      <c r="C223" s="4" t="s">
        <v>8915</v>
      </c>
      <c r="D223" s="8"/>
      <c r="E223" s="8"/>
      <c r="F223" s="4" t="s">
        <v>7</v>
      </c>
      <c r="G223" s="4" t="s">
        <v>17</v>
      </c>
      <c r="H223" s="4" t="s">
        <v>8918</v>
      </c>
      <c r="I223" s="4" t="s">
        <v>8933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4" t="s">
        <v>17</v>
      </c>
      <c r="B224" s="4" t="s">
        <v>10</v>
      </c>
      <c r="C224" s="4" t="s">
        <v>8918</v>
      </c>
      <c r="D224" s="4" t="s">
        <v>8919</v>
      </c>
      <c r="E224" s="8"/>
      <c r="F224" s="4" t="s">
        <v>7</v>
      </c>
      <c r="G224" s="4" t="s">
        <v>10</v>
      </c>
      <c r="H224" s="4" t="s">
        <v>8918</v>
      </c>
      <c r="I224" s="4" t="s">
        <v>8932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4" t="s">
        <v>17</v>
      </c>
      <c r="B225" s="4" t="s">
        <v>13</v>
      </c>
      <c r="C225" s="4" t="s">
        <v>8913</v>
      </c>
      <c r="D225" s="4" t="s">
        <v>5185</v>
      </c>
      <c r="E225" s="8"/>
      <c r="F225" s="4" t="s">
        <v>7</v>
      </c>
      <c r="G225" s="4" t="s">
        <v>13</v>
      </c>
      <c r="H225" s="4" t="s">
        <v>8918</v>
      </c>
      <c r="I225" s="4" t="s">
        <v>8919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4" t="s">
        <v>17</v>
      </c>
      <c r="B226" s="4" t="s">
        <v>9</v>
      </c>
      <c r="C226" s="4" t="s">
        <v>8918</v>
      </c>
      <c r="D226" s="4" t="s">
        <v>8942</v>
      </c>
      <c r="E226" s="8"/>
      <c r="F226" s="4" t="s">
        <v>7</v>
      </c>
      <c r="G226" s="4" t="s">
        <v>9</v>
      </c>
      <c r="H226" s="4" t="s">
        <v>8913</v>
      </c>
      <c r="I226" s="4" t="s">
        <v>8939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4" t="s">
        <v>17</v>
      </c>
      <c r="B227" s="4" t="s">
        <v>8</v>
      </c>
      <c r="C227" s="4" t="s">
        <v>8915</v>
      </c>
      <c r="D227" s="8"/>
      <c r="E227" s="8"/>
      <c r="F227" s="4" t="s">
        <v>7</v>
      </c>
      <c r="G227" s="4" t="s">
        <v>8</v>
      </c>
      <c r="H227" s="4" t="s">
        <v>8913</v>
      </c>
      <c r="I227" s="4" t="s">
        <v>8947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4" t="s">
        <v>17</v>
      </c>
      <c r="B228" s="4" t="s">
        <v>5</v>
      </c>
      <c r="C228" s="4" t="s">
        <v>8913</v>
      </c>
      <c r="D228" s="4" t="s">
        <v>5135</v>
      </c>
      <c r="E228" s="8"/>
      <c r="F228" s="4" t="s">
        <v>7</v>
      </c>
      <c r="G228" s="4" t="s">
        <v>5</v>
      </c>
      <c r="H228" s="4" t="s">
        <v>8918</v>
      </c>
      <c r="I228" s="4" t="s">
        <v>8926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4" t="s">
        <v>17</v>
      </c>
      <c r="B229" s="4" t="s">
        <v>16</v>
      </c>
      <c r="C229" s="4" t="s">
        <v>8915</v>
      </c>
      <c r="D229" s="8"/>
      <c r="E229" s="8"/>
      <c r="F229" s="4" t="s">
        <v>7</v>
      </c>
      <c r="G229" s="4" t="s">
        <v>16</v>
      </c>
      <c r="H229" s="4" t="s">
        <v>8918</v>
      </c>
      <c r="I229" s="4" t="s">
        <v>8937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4" t="s">
        <v>17</v>
      </c>
      <c r="B230" s="4" t="s">
        <v>14</v>
      </c>
      <c r="C230" s="4" t="s">
        <v>8913</v>
      </c>
      <c r="D230" s="4" t="s">
        <v>4706</v>
      </c>
      <c r="E230" s="8"/>
      <c r="F230" s="4" t="s">
        <v>7</v>
      </c>
      <c r="G230" s="4" t="s">
        <v>14</v>
      </c>
      <c r="H230" s="4" t="s">
        <v>8913</v>
      </c>
      <c r="I230" s="4" t="s">
        <v>8946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4" t="s">
        <v>16</v>
      </c>
      <c r="B231" s="4" t="s">
        <v>12</v>
      </c>
      <c r="C231" s="4" t="s">
        <v>8915</v>
      </c>
      <c r="D231" s="8"/>
      <c r="E231" s="8"/>
      <c r="F231" s="4" t="s">
        <v>14</v>
      </c>
      <c r="G231" s="4" t="s">
        <v>12</v>
      </c>
      <c r="H231" s="4" t="s">
        <v>8918</v>
      </c>
      <c r="I231" s="4" t="s">
        <v>8945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4" t="s">
        <v>16</v>
      </c>
      <c r="B232" s="4" t="s">
        <v>6</v>
      </c>
      <c r="C232" s="4" t="s">
        <v>8913</v>
      </c>
      <c r="D232" s="4" t="s">
        <v>8929</v>
      </c>
      <c r="E232" s="8"/>
      <c r="F232" s="4" t="s">
        <v>14</v>
      </c>
      <c r="G232" s="4" t="s">
        <v>6</v>
      </c>
      <c r="H232" s="4" t="s">
        <v>8915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4" t="s">
        <v>16</v>
      </c>
      <c r="B233" s="4" t="s">
        <v>4</v>
      </c>
      <c r="C233" s="4" t="s">
        <v>8913</v>
      </c>
      <c r="D233" s="4" t="s">
        <v>7640</v>
      </c>
      <c r="E233" s="8"/>
      <c r="F233" s="4" t="s">
        <v>14</v>
      </c>
      <c r="G233" s="4" t="s">
        <v>4</v>
      </c>
      <c r="H233" s="4" t="s">
        <v>8915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4" t="s">
        <v>16</v>
      </c>
      <c r="B234" s="4" t="s">
        <v>15</v>
      </c>
      <c r="C234" s="4" t="s">
        <v>8915</v>
      </c>
      <c r="D234" s="8"/>
      <c r="E234" s="8"/>
      <c r="F234" s="4" t="s">
        <v>14</v>
      </c>
      <c r="G234" s="4" t="s">
        <v>15</v>
      </c>
      <c r="H234" s="4" t="s">
        <v>8913</v>
      </c>
      <c r="I234" s="4" t="s">
        <v>8921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4" t="s">
        <v>16</v>
      </c>
      <c r="B235" s="4" t="s">
        <v>11</v>
      </c>
      <c r="C235" s="4" t="s">
        <v>8918</v>
      </c>
      <c r="D235" s="4" t="s">
        <v>8926</v>
      </c>
      <c r="E235" s="8"/>
      <c r="F235" s="4" t="s">
        <v>14</v>
      </c>
      <c r="G235" s="4" t="s">
        <v>11</v>
      </c>
      <c r="H235" s="4" t="s">
        <v>8918</v>
      </c>
      <c r="I235" s="4" t="s">
        <v>8942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4" t="s">
        <v>16</v>
      </c>
      <c r="B236" s="4" t="s">
        <v>7</v>
      </c>
      <c r="C236" s="4" t="s">
        <v>8918</v>
      </c>
      <c r="D236" s="4" t="s">
        <v>8945</v>
      </c>
      <c r="E236" s="8"/>
      <c r="F236" s="4" t="s">
        <v>14</v>
      </c>
      <c r="G236" s="4" t="s">
        <v>7</v>
      </c>
      <c r="H236" s="4" t="s">
        <v>8913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4" t="s">
        <v>16</v>
      </c>
      <c r="B237" s="4" t="s">
        <v>10</v>
      </c>
      <c r="C237" s="4" t="s">
        <v>8915</v>
      </c>
      <c r="D237" s="8"/>
      <c r="E237" s="8"/>
      <c r="F237" s="4" t="s">
        <v>14</v>
      </c>
      <c r="G237" s="4" t="s">
        <v>10</v>
      </c>
      <c r="H237" s="4" t="s">
        <v>8915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4" t="s">
        <v>16</v>
      </c>
      <c r="B238" s="4" t="s">
        <v>13</v>
      </c>
      <c r="C238" s="4" t="s">
        <v>8913</v>
      </c>
      <c r="D238" s="8"/>
      <c r="E238" s="8"/>
      <c r="F238" s="4" t="s">
        <v>14</v>
      </c>
      <c r="G238" s="4" t="s">
        <v>13</v>
      </c>
      <c r="H238" s="4" t="s">
        <v>8915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4" t="s">
        <v>16</v>
      </c>
      <c r="B239" s="4" t="s">
        <v>9</v>
      </c>
      <c r="C239" s="4" t="s">
        <v>8915</v>
      </c>
      <c r="D239" s="8"/>
      <c r="E239" s="8"/>
      <c r="F239" s="4" t="s">
        <v>14</v>
      </c>
      <c r="G239" s="4" t="s">
        <v>9</v>
      </c>
      <c r="H239" s="4" t="s">
        <v>8918</v>
      </c>
      <c r="I239" s="4" t="s">
        <v>8933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4" t="s">
        <v>16</v>
      </c>
      <c r="B240" s="4" t="s">
        <v>8</v>
      </c>
      <c r="C240" s="4" t="s">
        <v>8918</v>
      </c>
      <c r="D240" s="4" t="s">
        <v>8942</v>
      </c>
      <c r="E240" s="8"/>
      <c r="F240" s="4" t="s">
        <v>14</v>
      </c>
      <c r="G240" s="4" t="s">
        <v>8</v>
      </c>
      <c r="H240" s="4" t="s">
        <v>8913</v>
      </c>
      <c r="I240" s="4" t="s">
        <v>8924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4" t="s">
        <v>16</v>
      </c>
      <c r="B241" s="4" t="s">
        <v>5</v>
      </c>
      <c r="C241" s="4" t="s">
        <v>8915</v>
      </c>
      <c r="D241" s="8"/>
      <c r="E241" s="8"/>
      <c r="F241" s="4" t="s">
        <v>14</v>
      </c>
      <c r="G241" s="4" t="s">
        <v>5</v>
      </c>
      <c r="H241" s="4" t="s">
        <v>8915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4" t="s">
        <v>16</v>
      </c>
      <c r="B242" s="4" t="s">
        <v>17</v>
      </c>
      <c r="C242" s="4" t="s">
        <v>8913</v>
      </c>
      <c r="D242" s="4" t="s">
        <v>8921</v>
      </c>
      <c r="E242" s="8"/>
      <c r="F242" s="4" t="s">
        <v>14</v>
      </c>
      <c r="G242" s="4" t="s">
        <v>17</v>
      </c>
      <c r="H242" s="4" t="s">
        <v>8913</v>
      </c>
      <c r="I242" s="4" t="s">
        <v>4871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4" t="s">
        <v>16</v>
      </c>
      <c r="B243" s="4" t="s">
        <v>14</v>
      </c>
      <c r="C243" s="4" t="s">
        <v>8918</v>
      </c>
      <c r="D243" s="4" t="s">
        <v>8934</v>
      </c>
      <c r="E243" s="8"/>
      <c r="F243" s="4" t="s">
        <v>14</v>
      </c>
      <c r="G243" s="4" t="s">
        <v>16</v>
      </c>
      <c r="H243" s="4" t="s">
        <v>8913</v>
      </c>
      <c r="I243" s="4" t="s">
        <v>8914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4"/>
      <c r="B248" s="4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4"/>
      <c r="B249" s="4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4"/>
      <c r="B250" s="4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</sheetData>
  <mergeCells count="3">
    <mergeCell ref="A1:I1"/>
    <mergeCell ref="A100:F100"/>
    <mergeCell ref="A151:I151"/>
  </mergeCells>
  <dataValidations>
    <dataValidation type="list" allowBlank="1" showErrorMessage="1" sqref="C153:C243 H153:H243">
      <formula1>"Pending,Scheduled,Completed"</formula1>
    </dataValidation>
  </dataValidation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19.0"/>
    <col customWidth="1" min="3" max="3" width="35.63"/>
    <col customWidth="1" min="4" max="4" width="33.63"/>
    <col customWidth="1" min="5" max="5" width="16.0"/>
    <col customWidth="1" min="6" max="6" width="16.25"/>
    <col customWidth="1" min="7" max="7" width="19.0"/>
    <col customWidth="1" min="8" max="8" width="15.25"/>
    <col customWidth="1" min="9" max="9" width="9.38"/>
    <col customWidth="1" min="10" max="10" width="20.5"/>
  </cols>
  <sheetData>
    <row r="1">
      <c r="A1" s="33" t="s">
        <v>8948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6" t="s">
        <v>8949</v>
      </c>
      <c r="B2" s="46" t="s">
        <v>2737</v>
      </c>
      <c r="C2" s="46" t="s">
        <v>8604</v>
      </c>
      <c r="D2" s="46" t="s">
        <v>8605</v>
      </c>
      <c r="E2" s="46" t="s">
        <v>4823</v>
      </c>
      <c r="F2" s="46" t="s">
        <v>8950</v>
      </c>
      <c r="G2" s="46" t="s">
        <v>8951</v>
      </c>
      <c r="H2" s="46" t="s">
        <v>8607</v>
      </c>
      <c r="I2" s="46" t="s">
        <v>8952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7" t="s">
        <v>8953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8954</v>
      </c>
      <c r="B4" s="4" t="s">
        <v>4</v>
      </c>
      <c r="C4" s="4" t="s">
        <v>11</v>
      </c>
      <c r="D4" s="4" t="s">
        <v>8955</v>
      </c>
      <c r="E4" s="4" t="s">
        <v>11</v>
      </c>
      <c r="F4" s="4" t="s">
        <v>4</v>
      </c>
      <c r="G4" s="36">
        <v>46024.0</v>
      </c>
      <c r="H4" s="4">
        <v>5000.0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8956</v>
      </c>
      <c r="B5" s="4" t="s">
        <v>15</v>
      </c>
      <c r="C5" s="4" t="s">
        <v>11</v>
      </c>
      <c r="D5" s="4" t="s">
        <v>8957</v>
      </c>
      <c r="E5" s="4" t="s">
        <v>15</v>
      </c>
      <c r="F5" s="4" t="s">
        <v>11</v>
      </c>
      <c r="G5" s="36">
        <v>46054.0</v>
      </c>
      <c r="H5" s="4">
        <v>6000.0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8958</v>
      </c>
      <c r="B6" s="4" t="s">
        <v>4</v>
      </c>
      <c r="C6" s="4" t="s">
        <v>14</v>
      </c>
      <c r="D6" s="4" t="s">
        <v>8959</v>
      </c>
      <c r="E6" s="4" t="s">
        <v>4</v>
      </c>
      <c r="F6" s="4" t="s">
        <v>14</v>
      </c>
      <c r="G6" s="4" t="s">
        <v>8960</v>
      </c>
      <c r="H6" s="4">
        <v>5000.0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 t="s">
        <v>8961</v>
      </c>
      <c r="B7" s="4" t="s">
        <v>10</v>
      </c>
      <c r="C7" s="4" t="s">
        <v>123</v>
      </c>
      <c r="D7" s="4" t="s">
        <v>8959</v>
      </c>
      <c r="E7" s="4" t="s">
        <v>10</v>
      </c>
      <c r="F7" s="4" t="s">
        <v>123</v>
      </c>
      <c r="G7" s="36">
        <v>46054.0</v>
      </c>
      <c r="H7" s="4">
        <v>3000.0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 t="s">
        <v>8962</v>
      </c>
      <c r="B8" s="4" t="s">
        <v>17</v>
      </c>
      <c r="C8" s="4" t="s">
        <v>6</v>
      </c>
      <c r="D8" s="4" t="s">
        <v>8959</v>
      </c>
      <c r="E8" s="4" t="s">
        <v>6</v>
      </c>
      <c r="F8" s="4" t="s">
        <v>17</v>
      </c>
      <c r="G8" s="36">
        <v>46024.0</v>
      </c>
      <c r="H8" s="4">
        <v>10000.0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 t="s">
        <v>8963</v>
      </c>
      <c r="B9" s="4" t="s">
        <v>10</v>
      </c>
      <c r="C9" s="4" t="s">
        <v>11</v>
      </c>
      <c r="D9" s="4" t="s">
        <v>8964</v>
      </c>
      <c r="E9" s="4" t="s">
        <v>10</v>
      </c>
      <c r="F9" s="4" t="s">
        <v>11</v>
      </c>
      <c r="G9" s="4" t="s">
        <v>8960</v>
      </c>
      <c r="H9" s="4">
        <v>3000.0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 t="s">
        <v>8965</v>
      </c>
      <c r="B10" s="4" t="s">
        <v>6</v>
      </c>
      <c r="C10" s="4" t="s">
        <v>7</v>
      </c>
      <c r="D10" s="4" t="s">
        <v>8966</v>
      </c>
      <c r="E10" s="4" t="s">
        <v>7</v>
      </c>
      <c r="F10" s="4" t="s">
        <v>6</v>
      </c>
      <c r="G10" s="4" t="s">
        <v>8967</v>
      </c>
      <c r="H10" s="4">
        <v>5000.0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 t="s">
        <v>8968</v>
      </c>
      <c r="B11" s="4" t="s">
        <v>17</v>
      </c>
      <c r="C11" s="4" t="s">
        <v>8969</v>
      </c>
      <c r="D11" s="4" t="s">
        <v>8970</v>
      </c>
      <c r="E11" s="4" t="s">
        <v>4</v>
      </c>
      <c r="F11" s="4" t="s">
        <v>17</v>
      </c>
      <c r="G11" s="4" t="s">
        <v>8971</v>
      </c>
      <c r="H11" s="4">
        <v>5000.0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 t="s">
        <v>8972</v>
      </c>
      <c r="B12" s="4" t="s">
        <v>10</v>
      </c>
      <c r="C12" s="4" t="s">
        <v>17</v>
      </c>
      <c r="D12" s="4" t="s">
        <v>8973</v>
      </c>
      <c r="E12" s="4" t="s">
        <v>10</v>
      </c>
      <c r="F12" s="4" t="s">
        <v>17</v>
      </c>
      <c r="G12" s="36">
        <v>46054.0</v>
      </c>
      <c r="H12" s="4">
        <v>5000.0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 t="s">
        <v>8974</v>
      </c>
      <c r="B13" s="4" t="s">
        <v>123</v>
      </c>
      <c r="C13" s="4" t="s">
        <v>15</v>
      </c>
      <c r="D13" s="4" t="s">
        <v>8975</v>
      </c>
      <c r="E13" s="4" t="s">
        <v>15</v>
      </c>
      <c r="F13" s="4" t="s">
        <v>123</v>
      </c>
      <c r="G13" s="36">
        <v>46024.0</v>
      </c>
      <c r="H13" s="4">
        <v>5000.0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 t="s">
        <v>8976</v>
      </c>
      <c r="B14" s="4" t="s">
        <v>4</v>
      </c>
      <c r="C14" s="4" t="s">
        <v>10</v>
      </c>
      <c r="D14" s="4" t="s">
        <v>8977</v>
      </c>
      <c r="E14" s="4" t="s">
        <v>10</v>
      </c>
      <c r="F14" s="4" t="s">
        <v>4</v>
      </c>
      <c r="G14" s="4" t="s">
        <v>8967</v>
      </c>
      <c r="H14" s="4">
        <v>5000.0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 t="s">
        <v>8978</v>
      </c>
      <c r="B15" s="4" t="s">
        <v>17</v>
      </c>
      <c r="C15" s="4" t="s">
        <v>14</v>
      </c>
      <c r="D15" s="4" t="s">
        <v>8977</v>
      </c>
      <c r="E15" s="4" t="s">
        <v>14</v>
      </c>
      <c r="F15" s="4" t="s">
        <v>17</v>
      </c>
      <c r="G15" s="36">
        <v>46024.0</v>
      </c>
      <c r="H15" s="4">
        <v>5000.0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 t="s">
        <v>8979</v>
      </c>
      <c r="B16" s="4" t="s">
        <v>15</v>
      </c>
      <c r="C16" s="4" t="s">
        <v>7</v>
      </c>
      <c r="D16" s="4" t="s">
        <v>8980</v>
      </c>
      <c r="E16" s="4" t="s">
        <v>15</v>
      </c>
      <c r="F16" s="4" t="s">
        <v>7</v>
      </c>
      <c r="G16" s="36">
        <v>46054.0</v>
      </c>
      <c r="H16" s="4">
        <v>6000.0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 t="s">
        <v>8981</v>
      </c>
      <c r="B17" s="4" t="s">
        <v>6</v>
      </c>
      <c r="C17" s="4" t="s">
        <v>13</v>
      </c>
      <c r="D17" s="4" t="s">
        <v>8980</v>
      </c>
      <c r="E17" s="4" t="s">
        <v>6</v>
      </c>
      <c r="F17" s="4" t="s">
        <v>13</v>
      </c>
      <c r="G17" s="36">
        <v>46054.0</v>
      </c>
      <c r="H17" s="4">
        <v>5000.0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 t="s">
        <v>8982</v>
      </c>
      <c r="B18" s="4" t="s">
        <v>123</v>
      </c>
      <c r="C18" s="4" t="s">
        <v>6</v>
      </c>
      <c r="D18" s="4" t="s">
        <v>8983</v>
      </c>
      <c r="E18" s="4" t="s">
        <v>123</v>
      </c>
      <c r="F18" s="4" t="s">
        <v>6</v>
      </c>
      <c r="G18" s="36">
        <v>46054.0</v>
      </c>
      <c r="H18" s="4">
        <v>3000.0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 t="s">
        <v>8984</v>
      </c>
      <c r="B19" s="4" t="s">
        <v>11</v>
      </c>
      <c r="C19" s="4" t="s">
        <v>17</v>
      </c>
      <c r="D19" s="4" t="s">
        <v>8985</v>
      </c>
      <c r="E19" s="4" t="s">
        <v>17</v>
      </c>
      <c r="F19" s="4" t="s">
        <v>11</v>
      </c>
      <c r="G19" s="36">
        <v>46024.0</v>
      </c>
      <c r="H19" s="4">
        <v>5000.0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 t="s">
        <v>8986</v>
      </c>
      <c r="B20" s="4" t="s">
        <v>10</v>
      </c>
      <c r="C20" s="4" t="s">
        <v>14</v>
      </c>
      <c r="D20" s="4" t="s">
        <v>8987</v>
      </c>
      <c r="E20" s="4" t="s">
        <v>14</v>
      </c>
      <c r="F20" s="4" t="s">
        <v>10</v>
      </c>
      <c r="G20" s="36">
        <v>46024.0</v>
      </c>
      <c r="H20" s="4">
        <v>5000.0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" t="s">
        <v>8988</v>
      </c>
      <c r="B21" s="4" t="s">
        <v>4</v>
      </c>
      <c r="C21" s="4" t="s">
        <v>17</v>
      </c>
      <c r="D21" s="4" t="s">
        <v>8989</v>
      </c>
      <c r="E21" s="4" t="s">
        <v>17</v>
      </c>
      <c r="F21" s="4" t="s">
        <v>4</v>
      </c>
      <c r="G21" s="36">
        <v>46024.0</v>
      </c>
      <c r="H21" s="4">
        <v>5000.0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" t="s">
        <v>8990</v>
      </c>
      <c r="B22" s="4" t="s">
        <v>10</v>
      </c>
      <c r="C22" s="4" t="s">
        <v>13</v>
      </c>
      <c r="D22" s="4" t="s">
        <v>8989</v>
      </c>
      <c r="E22" s="4" t="s">
        <v>13</v>
      </c>
      <c r="F22" s="4" t="s">
        <v>10</v>
      </c>
      <c r="G22" s="4" t="s">
        <v>8967</v>
      </c>
      <c r="H22" s="4">
        <v>5000.0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" t="s">
        <v>8991</v>
      </c>
      <c r="B23" s="4" t="s">
        <v>13</v>
      </c>
      <c r="C23" s="4" t="s">
        <v>11</v>
      </c>
      <c r="D23" s="4" t="s">
        <v>8989</v>
      </c>
      <c r="E23" s="4" t="s">
        <v>11</v>
      </c>
      <c r="F23" s="4" t="s">
        <v>13</v>
      </c>
      <c r="G23" s="4" t="s">
        <v>8967</v>
      </c>
      <c r="H23" s="4">
        <v>5000.0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" t="s">
        <v>8992</v>
      </c>
      <c r="B24" s="4" t="s">
        <v>6</v>
      </c>
      <c r="C24" s="4" t="s">
        <v>15</v>
      </c>
      <c r="D24" s="4" t="s">
        <v>8989</v>
      </c>
      <c r="E24" s="4" t="s">
        <v>15</v>
      </c>
      <c r="F24" s="4" t="s">
        <v>6</v>
      </c>
      <c r="G24" s="36">
        <v>46024.0</v>
      </c>
      <c r="H24" s="4">
        <v>5000.0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" t="s">
        <v>8993</v>
      </c>
      <c r="B25" s="4" t="s">
        <v>14</v>
      </c>
      <c r="C25" s="4" t="s">
        <v>123</v>
      </c>
      <c r="D25" s="4" t="s">
        <v>8994</v>
      </c>
      <c r="E25" s="4" t="s">
        <v>14</v>
      </c>
      <c r="F25" s="4" t="s">
        <v>123</v>
      </c>
      <c r="G25" s="36">
        <v>46054.0</v>
      </c>
      <c r="H25" s="4">
        <v>6000.0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" t="s">
        <v>8995</v>
      </c>
      <c r="B26" s="4" t="s">
        <v>13</v>
      </c>
      <c r="C26" s="4" t="s">
        <v>8996</v>
      </c>
      <c r="D26" s="4" t="s">
        <v>8997</v>
      </c>
      <c r="E26" s="4" t="s">
        <v>13</v>
      </c>
      <c r="F26" s="4" t="s">
        <v>4</v>
      </c>
      <c r="G26" s="4" t="s">
        <v>8960</v>
      </c>
      <c r="H26" s="4">
        <v>5000.0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" t="s">
        <v>8998</v>
      </c>
      <c r="B27" s="4" t="s">
        <v>6</v>
      </c>
      <c r="C27" s="4" t="s">
        <v>10</v>
      </c>
      <c r="D27" s="4" t="s">
        <v>8999</v>
      </c>
      <c r="E27" s="4" t="s">
        <v>6</v>
      </c>
      <c r="F27" s="4" t="s">
        <v>10</v>
      </c>
      <c r="G27" s="36">
        <v>46054.0</v>
      </c>
      <c r="H27" s="4">
        <v>5000.0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" t="s">
        <v>9000</v>
      </c>
      <c r="B28" s="4" t="s">
        <v>15</v>
      </c>
      <c r="C28" s="4" t="s">
        <v>9001</v>
      </c>
      <c r="D28" s="4" t="s">
        <v>9002</v>
      </c>
      <c r="E28" s="4" t="s">
        <v>13</v>
      </c>
      <c r="F28" s="4" t="s">
        <v>11</v>
      </c>
      <c r="G28" s="4" t="s">
        <v>9003</v>
      </c>
      <c r="H28" s="4">
        <v>6000.0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 t="s">
        <v>9004</v>
      </c>
      <c r="B29" s="4" t="s">
        <v>14</v>
      </c>
      <c r="C29" s="4" t="s">
        <v>17</v>
      </c>
      <c r="D29" s="4" t="s">
        <v>9005</v>
      </c>
      <c r="E29" s="4" t="s">
        <v>17</v>
      </c>
      <c r="F29" s="4" t="s">
        <v>14</v>
      </c>
      <c r="G29" s="36">
        <v>46056.0</v>
      </c>
      <c r="H29" s="4">
        <v>6000.0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4" t="s">
        <v>9006</v>
      </c>
      <c r="B30" s="4" t="s">
        <v>4</v>
      </c>
      <c r="C30" s="4" t="s">
        <v>123</v>
      </c>
      <c r="D30" s="4" t="s">
        <v>9007</v>
      </c>
      <c r="E30" s="4" t="s">
        <v>4</v>
      </c>
      <c r="F30" s="4" t="s">
        <v>123</v>
      </c>
      <c r="G30" s="4" t="s">
        <v>8960</v>
      </c>
      <c r="H30" s="4">
        <v>7000.0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" t="s">
        <v>9008</v>
      </c>
      <c r="B31" s="4" t="s">
        <v>6</v>
      </c>
      <c r="C31" s="4" t="s">
        <v>11</v>
      </c>
      <c r="D31" s="4" t="s">
        <v>9009</v>
      </c>
      <c r="E31" s="4" t="s">
        <v>6</v>
      </c>
      <c r="F31" s="4" t="s">
        <v>11</v>
      </c>
      <c r="G31" s="36">
        <v>46054.0</v>
      </c>
      <c r="H31" s="4">
        <v>5000.0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47" t="s">
        <v>9010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4" t="s">
        <v>9011</v>
      </c>
      <c r="B33" s="4" t="s">
        <v>9</v>
      </c>
      <c r="C33" s="4" t="s">
        <v>123</v>
      </c>
      <c r="D33" s="4" t="s">
        <v>9012</v>
      </c>
      <c r="E33" s="4" t="s">
        <v>123</v>
      </c>
      <c r="F33" s="4" t="s">
        <v>9</v>
      </c>
      <c r="G33" s="36">
        <v>46024.0</v>
      </c>
      <c r="H33" s="4">
        <v>5000.0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4" t="s">
        <v>9013</v>
      </c>
      <c r="B34" s="4" t="s">
        <v>17</v>
      </c>
      <c r="C34" s="4" t="s">
        <v>123</v>
      </c>
      <c r="D34" s="4" t="s">
        <v>9014</v>
      </c>
      <c r="E34" s="4" t="s">
        <v>17</v>
      </c>
      <c r="F34" s="4" t="s">
        <v>123</v>
      </c>
      <c r="G34" s="36">
        <v>46054.0</v>
      </c>
      <c r="H34" s="4">
        <v>3000.0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4" t="s">
        <v>9015</v>
      </c>
      <c r="B35" s="4" t="s">
        <v>9</v>
      </c>
      <c r="C35" s="4" t="s">
        <v>16</v>
      </c>
      <c r="D35" s="4" t="s">
        <v>9014</v>
      </c>
      <c r="E35" s="4" t="s">
        <v>16</v>
      </c>
      <c r="F35" s="4" t="s">
        <v>9</v>
      </c>
      <c r="G35" s="36">
        <v>46024.0</v>
      </c>
      <c r="H35" s="4">
        <v>5000.0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4" t="s">
        <v>9016</v>
      </c>
      <c r="B36" s="4" t="s">
        <v>15</v>
      </c>
      <c r="C36" s="4" t="s">
        <v>105</v>
      </c>
      <c r="D36" s="4" t="s">
        <v>9017</v>
      </c>
      <c r="E36" s="4" t="s">
        <v>15</v>
      </c>
      <c r="F36" s="4" t="s">
        <v>105</v>
      </c>
      <c r="G36" s="4" t="s">
        <v>8960</v>
      </c>
      <c r="H36" s="4">
        <v>5000.0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4" t="s">
        <v>9018</v>
      </c>
      <c r="B37" s="4" t="s">
        <v>6</v>
      </c>
      <c r="C37" s="4" t="s">
        <v>4</v>
      </c>
      <c r="D37" s="4" t="s">
        <v>9019</v>
      </c>
      <c r="E37" s="4" t="s">
        <v>4</v>
      </c>
      <c r="F37" s="4" t="s">
        <v>6</v>
      </c>
      <c r="G37" s="4" t="s">
        <v>8967</v>
      </c>
      <c r="H37" s="4">
        <v>10000.0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4" t="s">
        <v>9020</v>
      </c>
      <c r="B38" s="4" t="s">
        <v>17</v>
      </c>
      <c r="C38" s="4" t="s">
        <v>16</v>
      </c>
      <c r="D38" s="4" t="s">
        <v>9021</v>
      </c>
      <c r="E38" s="4" t="s">
        <v>16</v>
      </c>
      <c r="F38" s="4" t="s">
        <v>17</v>
      </c>
      <c r="G38" s="36">
        <v>46024.0</v>
      </c>
      <c r="H38" s="4">
        <v>5000.0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4" t="s">
        <v>9022</v>
      </c>
      <c r="B39" s="4" t="s">
        <v>13</v>
      </c>
      <c r="C39" s="4" t="s">
        <v>11</v>
      </c>
      <c r="D39" s="4" t="s">
        <v>9023</v>
      </c>
      <c r="E39" s="4" t="s">
        <v>11</v>
      </c>
      <c r="F39" s="4" t="s">
        <v>13</v>
      </c>
      <c r="G39" s="4" t="s">
        <v>9024</v>
      </c>
      <c r="H39" s="4">
        <v>10000.0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4" t="s">
        <v>9025</v>
      </c>
      <c r="B40" s="4" t="s">
        <v>9</v>
      </c>
      <c r="C40" s="4" t="s">
        <v>10</v>
      </c>
      <c r="D40" s="4" t="s">
        <v>9021</v>
      </c>
      <c r="E40" s="4" t="s">
        <v>10</v>
      </c>
      <c r="F40" s="4" t="s">
        <v>9</v>
      </c>
      <c r="G40" s="36">
        <v>46024.0</v>
      </c>
      <c r="H40" s="4">
        <v>5000.0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" t="s">
        <v>9026</v>
      </c>
      <c r="B41" s="4" t="s">
        <v>10</v>
      </c>
      <c r="C41" s="4" t="s">
        <v>15</v>
      </c>
      <c r="D41" s="4" t="s">
        <v>9027</v>
      </c>
      <c r="E41" s="4" t="s">
        <v>10</v>
      </c>
      <c r="F41" s="4" t="s">
        <v>15</v>
      </c>
      <c r="G41" s="36">
        <v>46054.0</v>
      </c>
      <c r="H41" s="4">
        <v>5000.0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" t="s">
        <v>9028</v>
      </c>
      <c r="B42" s="4" t="s">
        <v>105</v>
      </c>
      <c r="C42" s="4" t="s">
        <v>17</v>
      </c>
      <c r="D42" s="4" t="s">
        <v>9027</v>
      </c>
      <c r="E42" s="4" t="s">
        <v>17</v>
      </c>
      <c r="F42" s="4" t="s">
        <v>105</v>
      </c>
      <c r="G42" s="36">
        <v>46024.0</v>
      </c>
      <c r="H42" s="4">
        <v>5000.0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" t="s">
        <v>9029</v>
      </c>
      <c r="B43" s="4" t="s">
        <v>7</v>
      </c>
      <c r="C43" s="4" t="s">
        <v>6</v>
      </c>
      <c r="D43" s="4" t="s">
        <v>9030</v>
      </c>
      <c r="E43" s="4" t="s">
        <v>6</v>
      </c>
      <c r="F43" s="4" t="s">
        <v>7</v>
      </c>
      <c r="G43" s="36">
        <v>46024.0</v>
      </c>
      <c r="H43" s="4">
        <v>10000.0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4" t="s">
        <v>9031</v>
      </c>
      <c r="B44" s="4" t="s">
        <v>9</v>
      </c>
      <c r="C44" s="4" t="s">
        <v>17</v>
      </c>
      <c r="D44" s="4" t="s">
        <v>9030</v>
      </c>
      <c r="E44" s="4" t="s">
        <v>17</v>
      </c>
      <c r="F44" s="4" t="s">
        <v>9</v>
      </c>
      <c r="G44" s="4" t="s">
        <v>8967</v>
      </c>
      <c r="H44" s="4">
        <v>5000.0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4" t="s">
        <v>9032</v>
      </c>
      <c r="B45" s="4" t="s">
        <v>16</v>
      </c>
      <c r="C45" s="4" t="s">
        <v>11</v>
      </c>
      <c r="D45" s="4" t="s">
        <v>9033</v>
      </c>
      <c r="E45" s="4" t="s">
        <v>16</v>
      </c>
      <c r="F45" s="4" t="s">
        <v>11</v>
      </c>
      <c r="G45" s="36">
        <v>46113.0</v>
      </c>
      <c r="H45" s="4">
        <v>5000.0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4" t="s">
        <v>9034</v>
      </c>
      <c r="B46" s="4" t="s">
        <v>5</v>
      </c>
      <c r="C46" s="4" t="s">
        <v>123</v>
      </c>
      <c r="D46" s="4" t="s">
        <v>9035</v>
      </c>
      <c r="E46" s="4" t="s">
        <v>5</v>
      </c>
      <c r="F46" s="4" t="s">
        <v>123</v>
      </c>
      <c r="G46" s="36">
        <v>46083.0</v>
      </c>
      <c r="H46" s="4">
        <v>5000.0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" t="s">
        <v>9036</v>
      </c>
      <c r="B47" s="4" t="s">
        <v>13</v>
      </c>
      <c r="C47" s="4" t="s">
        <v>15</v>
      </c>
      <c r="D47" s="4" t="s">
        <v>9037</v>
      </c>
      <c r="E47" s="4" t="s">
        <v>15</v>
      </c>
      <c r="F47" s="4" t="s">
        <v>13</v>
      </c>
      <c r="G47" s="36">
        <v>46024.0</v>
      </c>
      <c r="H47" s="4">
        <v>5000.0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4" t="s">
        <v>9038</v>
      </c>
      <c r="B48" s="4" t="s">
        <v>9</v>
      </c>
      <c r="C48" s="4" t="s">
        <v>105</v>
      </c>
      <c r="D48" s="4" t="s">
        <v>9037</v>
      </c>
      <c r="E48" s="4" t="s">
        <v>9</v>
      </c>
      <c r="F48" s="4" t="s">
        <v>105</v>
      </c>
      <c r="G48" s="36">
        <v>46054.0</v>
      </c>
      <c r="H48" s="4">
        <v>5000.0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4" t="s">
        <v>9039</v>
      </c>
      <c r="B49" s="4" t="s">
        <v>6</v>
      </c>
      <c r="C49" s="4" t="s">
        <v>4</v>
      </c>
      <c r="D49" s="4" t="s">
        <v>9037</v>
      </c>
      <c r="E49" s="4" t="s">
        <v>6</v>
      </c>
      <c r="F49" s="4" t="s">
        <v>4</v>
      </c>
      <c r="G49" s="36">
        <v>46054.0</v>
      </c>
      <c r="H49" s="4">
        <v>5000.0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4" t="s">
        <v>9040</v>
      </c>
      <c r="B50" s="4" t="s">
        <v>8</v>
      </c>
      <c r="C50" s="4" t="s">
        <v>17</v>
      </c>
      <c r="D50" s="4" t="s">
        <v>9041</v>
      </c>
      <c r="E50" s="4" t="s">
        <v>7762</v>
      </c>
      <c r="F50" s="4" t="s">
        <v>17</v>
      </c>
      <c r="G50" s="36">
        <v>46113.0</v>
      </c>
      <c r="H50" s="4">
        <v>5000.0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4" t="s">
        <v>9042</v>
      </c>
      <c r="B51" s="4" t="s">
        <v>10</v>
      </c>
      <c r="C51" s="4" t="s">
        <v>105</v>
      </c>
      <c r="D51" s="4" t="s">
        <v>9043</v>
      </c>
      <c r="E51" s="4" t="s">
        <v>10</v>
      </c>
      <c r="F51" s="4" t="s">
        <v>105</v>
      </c>
      <c r="G51" s="36">
        <v>46054.0</v>
      </c>
      <c r="H51" s="4">
        <v>5000.0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4" t="s">
        <v>9044</v>
      </c>
      <c r="B52" s="4" t="s">
        <v>11</v>
      </c>
      <c r="C52" s="4" t="s">
        <v>123</v>
      </c>
      <c r="D52" s="4" t="s">
        <v>9045</v>
      </c>
      <c r="E52" s="4" t="s">
        <v>123</v>
      </c>
      <c r="F52" s="4" t="s">
        <v>11</v>
      </c>
      <c r="G52" s="36">
        <v>46024.0</v>
      </c>
      <c r="H52" s="4">
        <v>5000.0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4" t="s">
        <v>9046</v>
      </c>
      <c r="B53" s="4" t="s">
        <v>16</v>
      </c>
      <c r="C53" s="4" t="s">
        <v>4</v>
      </c>
      <c r="D53" s="4" t="s">
        <v>9047</v>
      </c>
      <c r="E53" s="4" t="s">
        <v>16</v>
      </c>
      <c r="F53" s="4" t="s">
        <v>4</v>
      </c>
      <c r="G53" s="36">
        <v>46083.0</v>
      </c>
      <c r="H53" s="4">
        <v>5000.0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4" t="s">
        <v>9048</v>
      </c>
      <c r="B54" s="4" t="s">
        <v>9</v>
      </c>
      <c r="C54" s="4" t="s">
        <v>13</v>
      </c>
      <c r="D54" s="4" t="s">
        <v>9049</v>
      </c>
      <c r="E54" s="4" t="s">
        <v>13</v>
      </c>
      <c r="F54" s="4" t="s">
        <v>9</v>
      </c>
      <c r="G54" s="36">
        <v>46026.0</v>
      </c>
      <c r="H54" s="4">
        <v>5000.0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4" t="s">
        <v>9050</v>
      </c>
      <c r="B55" s="4" t="s">
        <v>9</v>
      </c>
      <c r="C55" s="4" t="s">
        <v>11</v>
      </c>
      <c r="D55" s="4" t="s">
        <v>8618</v>
      </c>
      <c r="E55" s="4" t="s">
        <v>11</v>
      </c>
      <c r="F55" s="4" t="s">
        <v>9</v>
      </c>
      <c r="G55" s="36">
        <v>46024.0</v>
      </c>
      <c r="H55" s="4">
        <v>3000.0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4" t="s">
        <v>9051</v>
      </c>
      <c r="B56" s="4" t="s">
        <v>10</v>
      </c>
      <c r="C56" s="4" t="s">
        <v>5</v>
      </c>
      <c r="D56" s="4" t="s">
        <v>8618</v>
      </c>
      <c r="E56" s="4" t="s">
        <v>5</v>
      </c>
      <c r="F56" s="4" t="s">
        <v>10</v>
      </c>
      <c r="G56" s="36">
        <v>46024.0</v>
      </c>
      <c r="H56" s="4">
        <v>5000.0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9052</v>
      </c>
      <c r="B57" s="4" t="s">
        <v>10</v>
      </c>
      <c r="C57" s="4" t="s">
        <v>123</v>
      </c>
      <c r="D57" s="4" t="s">
        <v>8623</v>
      </c>
      <c r="E57" s="4" t="s">
        <v>10</v>
      </c>
      <c r="F57" s="4" t="s">
        <v>123</v>
      </c>
      <c r="G57" s="36">
        <v>46054.0</v>
      </c>
      <c r="H57" s="4">
        <v>5000.0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" t="s">
        <v>9053</v>
      </c>
      <c r="B58" s="4" t="s">
        <v>10</v>
      </c>
      <c r="C58" s="4" t="s">
        <v>4</v>
      </c>
      <c r="D58" s="4" t="s">
        <v>8623</v>
      </c>
      <c r="E58" s="4" t="s">
        <v>4</v>
      </c>
      <c r="F58" s="4" t="s">
        <v>10</v>
      </c>
      <c r="G58" s="4" t="s">
        <v>8967</v>
      </c>
      <c r="H58" s="4">
        <v>5000.0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47" t="s">
        <v>9054</v>
      </c>
      <c r="I59" s="4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4" t="s">
        <v>9055</v>
      </c>
      <c r="B60" s="4" t="s">
        <v>11</v>
      </c>
      <c r="C60" s="4" t="s">
        <v>4</v>
      </c>
      <c r="D60" s="4" t="s">
        <v>8630</v>
      </c>
      <c r="E60" s="4" t="s">
        <v>4</v>
      </c>
      <c r="F60" s="4" t="s">
        <v>11</v>
      </c>
      <c r="G60" s="36">
        <v>46024.0</v>
      </c>
      <c r="H60" s="4">
        <v>10000.0</v>
      </c>
      <c r="I60" s="4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 t="s">
        <v>9056</v>
      </c>
      <c r="B61" s="4" t="s">
        <v>5</v>
      </c>
      <c r="C61" s="4" t="s">
        <v>17</v>
      </c>
      <c r="D61" s="4" t="s">
        <v>8630</v>
      </c>
      <c r="E61" s="4" t="s">
        <v>17</v>
      </c>
      <c r="F61" s="4" t="s">
        <v>5</v>
      </c>
      <c r="G61" s="36">
        <v>46024.0</v>
      </c>
      <c r="H61" s="4">
        <v>7000.0</v>
      </c>
      <c r="I61" s="4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" t="s">
        <v>9057</v>
      </c>
      <c r="B62" s="4" t="s">
        <v>15</v>
      </c>
      <c r="C62" s="4" t="s">
        <v>7762</v>
      </c>
      <c r="D62" s="4" t="s">
        <v>9058</v>
      </c>
      <c r="E62" s="4" t="s">
        <v>7762</v>
      </c>
      <c r="F62" s="4" t="s">
        <v>15</v>
      </c>
      <c r="G62" s="36">
        <v>46024.0</v>
      </c>
      <c r="H62" s="4">
        <v>6000.0</v>
      </c>
      <c r="I62" s="4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4" t="s">
        <v>9059</v>
      </c>
      <c r="B63" s="4" t="s">
        <v>9</v>
      </c>
      <c r="C63" s="4" t="s">
        <v>6</v>
      </c>
      <c r="D63" s="4" t="s">
        <v>8630</v>
      </c>
      <c r="E63" s="4" t="s">
        <v>6</v>
      </c>
      <c r="F63" s="4" t="s">
        <v>9</v>
      </c>
      <c r="G63" s="36">
        <v>46024.0</v>
      </c>
      <c r="H63" s="4">
        <v>5000.0</v>
      </c>
      <c r="I63" s="4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 t="s">
        <v>9060</v>
      </c>
      <c r="B64" s="4" t="s">
        <v>6</v>
      </c>
      <c r="C64" s="4" t="s">
        <v>17</v>
      </c>
      <c r="D64" s="4" t="s">
        <v>9061</v>
      </c>
      <c r="E64" s="4" t="s">
        <v>17</v>
      </c>
      <c r="F64" s="4" t="s">
        <v>6</v>
      </c>
      <c r="G64" s="36">
        <v>46024.0</v>
      </c>
      <c r="H64" s="4">
        <v>6000.0</v>
      </c>
      <c r="I64" s="4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4" t="s">
        <v>9062</v>
      </c>
      <c r="B65" s="4" t="s">
        <v>6</v>
      </c>
      <c r="C65" s="4" t="s">
        <v>7762</v>
      </c>
      <c r="D65" s="4" t="s">
        <v>9063</v>
      </c>
      <c r="E65" s="4" t="s">
        <v>7762</v>
      </c>
      <c r="F65" s="4" t="s">
        <v>6</v>
      </c>
      <c r="G65" s="36">
        <v>46024.0</v>
      </c>
      <c r="H65" s="4">
        <v>5000.0</v>
      </c>
      <c r="I65" s="4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4" t="s">
        <v>9064</v>
      </c>
      <c r="B66" s="4" t="s">
        <v>6</v>
      </c>
      <c r="C66" s="4" t="s">
        <v>5</v>
      </c>
      <c r="D66" s="4" t="s">
        <v>9065</v>
      </c>
      <c r="E66" s="4" t="s">
        <v>5</v>
      </c>
      <c r="F66" s="4" t="s">
        <v>6</v>
      </c>
      <c r="G66" s="36">
        <v>46024.0</v>
      </c>
      <c r="H66" s="4">
        <v>10000.0</v>
      </c>
      <c r="I66" s="4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4" t="s">
        <v>9066</v>
      </c>
      <c r="B67" s="4" t="s">
        <v>9</v>
      </c>
      <c r="C67" s="4" t="s">
        <v>7</v>
      </c>
      <c r="D67" s="4" t="s">
        <v>8936</v>
      </c>
      <c r="E67" s="4" t="s">
        <v>9067</v>
      </c>
      <c r="F67" s="4" t="s">
        <v>7</v>
      </c>
      <c r="G67" s="4" t="s">
        <v>9068</v>
      </c>
      <c r="H67" s="4">
        <v>2000.0</v>
      </c>
      <c r="I67" s="4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4" t="s">
        <v>9069</v>
      </c>
      <c r="B68" s="4" t="s">
        <v>10</v>
      </c>
      <c r="C68" s="4" t="s">
        <v>17</v>
      </c>
      <c r="D68" s="4" t="s">
        <v>8671</v>
      </c>
      <c r="E68" s="4" t="s">
        <v>10</v>
      </c>
      <c r="F68" s="4" t="s">
        <v>17</v>
      </c>
      <c r="G68" s="36">
        <v>46054.0</v>
      </c>
      <c r="H68" s="4">
        <v>5000.0</v>
      </c>
      <c r="I68" s="4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47" t="s">
        <v>9070</v>
      </c>
      <c r="I69" s="4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9071</v>
      </c>
      <c r="B70" s="4" t="s">
        <v>10</v>
      </c>
      <c r="C70" s="4" t="s">
        <v>4</v>
      </c>
      <c r="D70" s="4" t="s">
        <v>8682</v>
      </c>
      <c r="E70" s="4" t="s">
        <v>4</v>
      </c>
      <c r="F70" s="4" t="s">
        <v>10</v>
      </c>
      <c r="G70" s="4" t="s">
        <v>8967</v>
      </c>
      <c r="H70" s="4">
        <v>5000.0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4" t="s">
        <v>9072</v>
      </c>
      <c r="B71" s="4" t="s">
        <v>123</v>
      </c>
      <c r="C71" s="4" t="s">
        <v>11</v>
      </c>
      <c r="D71" s="4" t="s">
        <v>9073</v>
      </c>
      <c r="E71" s="4" t="s">
        <v>11</v>
      </c>
      <c r="F71" s="4" t="s">
        <v>123</v>
      </c>
      <c r="G71" s="36">
        <v>46024.0</v>
      </c>
      <c r="H71" s="4">
        <v>5000.0</v>
      </c>
      <c r="I71" s="4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4" t="s">
        <v>9074</v>
      </c>
      <c r="B72" s="4" t="s">
        <v>17</v>
      </c>
      <c r="C72" s="4" t="s">
        <v>11</v>
      </c>
      <c r="D72" s="4" t="s">
        <v>9075</v>
      </c>
      <c r="E72" s="4" t="s">
        <v>11</v>
      </c>
      <c r="F72" s="4" t="s">
        <v>17</v>
      </c>
      <c r="G72" s="4" t="s">
        <v>9076</v>
      </c>
      <c r="H72" s="4">
        <v>5000.0</v>
      </c>
      <c r="I72" s="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4" t="s">
        <v>9077</v>
      </c>
      <c r="B73" s="4" t="s">
        <v>123</v>
      </c>
      <c r="C73" s="4" t="s">
        <v>9</v>
      </c>
      <c r="D73" s="4" t="s">
        <v>9078</v>
      </c>
      <c r="E73" s="4" t="s">
        <v>123</v>
      </c>
      <c r="F73" s="4" t="s">
        <v>9</v>
      </c>
      <c r="G73" s="36">
        <v>46083.0</v>
      </c>
      <c r="H73" s="4">
        <v>4000.0</v>
      </c>
      <c r="I73" s="4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4" t="s">
        <v>9079</v>
      </c>
      <c r="B74" s="4" t="s">
        <v>11</v>
      </c>
      <c r="C74" s="4" t="s">
        <v>123</v>
      </c>
      <c r="D74" s="4" t="s">
        <v>9080</v>
      </c>
      <c r="E74" s="4" t="s">
        <v>123</v>
      </c>
      <c r="F74" s="4" t="s">
        <v>11</v>
      </c>
      <c r="G74" s="36">
        <v>46024.0</v>
      </c>
      <c r="H74" s="4">
        <v>5000.0</v>
      </c>
      <c r="I74" s="4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4" t="s">
        <v>9081</v>
      </c>
      <c r="B75" s="4" t="s">
        <v>9</v>
      </c>
      <c r="C75" s="4" t="s">
        <v>17</v>
      </c>
      <c r="D75" s="4" t="s">
        <v>5881</v>
      </c>
      <c r="E75" s="4" t="s">
        <v>9</v>
      </c>
      <c r="F75" s="4" t="s">
        <v>17</v>
      </c>
      <c r="G75" s="4" t="s">
        <v>9082</v>
      </c>
      <c r="H75" s="4">
        <v>4000.0</v>
      </c>
      <c r="I75" s="4"/>
    </row>
    <row r="76">
      <c r="A76" s="4" t="s">
        <v>9083</v>
      </c>
      <c r="B76" s="4" t="s">
        <v>11</v>
      </c>
      <c r="C76" s="4" t="s">
        <v>6</v>
      </c>
      <c r="D76" s="4" t="s">
        <v>9084</v>
      </c>
      <c r="E76" s="4" t="s">
        <v>6</v>
      </c>
      <c r="F76" s="4" t="s">
        <v>11</v>
      </c>
      <c r="G76" s="36">
        <v>46024.0</v>
      </c>
      <c r="H76" s="4">
        <v>5000.0</v>
      </c>
      <c r="I76" s="4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4" t="s">
        <v>8744</v>
      </c>
      <c r="B77" s="4" t="s">
        <v>6</v>
      </c>
      <c r="C77" s="4" t="s">
        <v>17</v>
      </c>
      <c r="D77" s="4" t="s">
        <v>9085</v>
      </c>
      <c r="E77" s="4" t="s">
        <v>6</v>
      </c>
      <c r="F77" s="4" t="s">
        <v>17</v>
      </c>
      <c r="G77" s="36">
        <v>46054.0</v>
      </c>
      <c r="H77" s="4">
        <v>5000.0</v>
      </c>
      <c r="I77" s="4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4" t="s">
        <v>9086</v>
      </c>
      <c r="B78" s="4" t="s">
        <v>9</v>
      </c>
      <c r="C78" s="4" t="s">
        <v>5</v>
      </c>
      <c r="D78" s="4" t="s">
        <v>9087</v>
      </c>
      <c r="E78" s="4" t="s">
        <v>5</v>
      </c>
      <c r="F78" s="4" t="s">
        <v>9</v>
      </c>
      <c r="G78" s="36">
        <v>46056.0</v>
      </c>
      <c r="H78" s="4">
        <v>4000.0</v>
      </c>
      <c r="I78" s="4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47" t="s">
        <v>9088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4" t="s">
        <v>9089</v>
      </c>
      <c r="B80" s="4" t="s">
        <v>5</v>
      </c>
      <c r="C80" s="4" t="s">
        <v>11</v>
      </c>
      <c r="D80" s="4" t="s">
        <v>9090</v>
      </c>
      <c r="E80" s="4" t="s">
        <v>11</v>
      </c>
      <c r="F80" s="4" t="s">
        <v>5</v>
      </c>
      <c r="G80" s="4" t="s">
        <v>8967</v>
      </c>
      <c r="H80" s="4">
        <v>5000.0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421" t="s">
        <v>9091</v>
      </c>
      <c r="B81" s="4" t="s">
        <v>9</v>
      </c>
      <c r="C81" s="4" t="s">
        <v>6</v>
      </c>
      <c r="D81" s="4" t="s">
        <v>9092</v>
      </c>
      <c r="E81" s="4" t="s">
        <v>6</v>
      </c>
      <c r="F81" s="4" t="s">
        <v>9</v>
      </c>
      <c r="G81" s="36">
        <v>46056.0</v>
      </c>
      <c r="H81" s="4">
        <v>4000.0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4" t="s">
        <v>9093</v>
      </c>
      <c r="B82" s="4" t="s">
        <v>17</v>
      </c>
      <c r="C82" s="4" t="s">
        <v>16</v>
      </c>
      <c r="D82" s="4" t="s">
        <v>9094</v>
      </c>
      <c r="E82" s="4" t="s">
        <v>17</v>
      </c>
      <c r="F82" s="4" t="s">
        <v>16</v>
      </c>
      <c r="G82" s="36">
        <v>46113.0</v>
      </c>
      <c r="H82" s="4">
        <v>5000.0</v>
      </c>
      <c r="I82" s="4" t="s">
        <v>9095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4" t="s">
        <v>9096</v>
      </c>
      <c r="B83" s="4" t="s">
        <v>6</v>
      </c>
      <c r="C83" s="4" t="s">
        <v>5</v>
      </c>
      <c r="D83" s="4" t="s">
        <v>9097</v>
      </c>
      <c r="E83" s="4" t="s">
        <v>5</v>
      </c>
      <c r="F83" s="4" t="s">
        <v>6</v>
      </c>
      <c r="G83" s="36">
        <v>46024.0</v>
      </c>
      <c r="H83" s="4">
        <v>5000.0</v>
      </c>
      <c r="I83" s="4" t="s">
        <v>9098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4" t="s">
        <v>9099</v>
      </c>
      <c r="B84" s="4" t="s">
        <v>14</v>
      </c>
      <c r="C84" s="4" t="s">
        <v>123</v>
      </c>
      <c r="D84" s="4" t="s">
        <v>9097</v>
      </c>
      <c r="E84" s="4" t="s">
        <v>123</v>
      </c>
      <c r="F84" s="4" t="s">
        <v>14</v>
      </c>
      <c r="G84" s="36">
        <v>46024.0</v>
      </c>
      <c r="H84" s="4">
        <v>5000.0</v>
      </c>
      <c r="I84" s="4" t="s">
        <v>9100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4" t="s">
        <v>9101</v>
      </c>
      <c r="B85" s="4" t="s">
        <v>17</v>
      </c>
      <c r="C85" s="4" t="s">
        <v>9</v>
      </c>
      <c r="D85" s="4" t="s">
        <v>4816</v>
      </c>
      <c r="E85" s="4" t="s">
        <v>17</v>
      </c>
      <c r="F85" s="4" t="s">
        <v>9</v>
      </c>
      <c r="G85" s="4" t="s">
        <v>9082</v>
      </c>
      <c r="H85" s="4">
        <v>5000.0</v>
      </c>
      <c r="I85" s="4" t="s">
        <v>9102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4" t="s">
        <v>9103</v>
      </c>
      <c r="B86" s="4" t="s">
        <v>4</v>
      </c>
      <c r="C86" s="4" t="s">
        <v>15</v>
      </c>
      <c r="D86" s="4" t="s">
        <v>4816</v>
      </c>
      <c r="E86" s="4" t="s">
        <v>4</v>
      </c>
      <c r="F86" s="4" t="s">
        <v>15</v>
      </c>
      <c r="G86" s="4" t="s">
        <v>9082</v>
      </c>
      <c r="H86" s="4">
        <v>5000.0</v>
      </c>
      <c r="I86" s="4" t="s">
        <v>9102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4" t="s">
        <v>9104</v>
      </c>
      <c r="B87" s="4" t="s">
        <v>11</v>
      </c>
      <c r="C87" s="4" t="s">
        <v>10</v>
      </c>
      <c r="D87" s="4" t="s">
        <v>9105</v>
      </c>
      <c r="E87" s="4" t="s">
        <v>10</v>
      </c>
      <c r="F87" s="4" t="s">
        <v>11</v>
      </c>
      <c r="G87" s="36">
        <v>46024.0</v>
      </c>
      <c r="H87" s="4">
        <v>5000.0</v>
      </c>
      <c r="I87" s="4" t="s">
        <v>9106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4" t="s">
        <v>9107</v>
      </c>
      <c r="B88" s="4" t="s">
        <v>9</v>
      </c>
      <c r="C88" s="4" t="s">
        <v>6</v>
      </c>
      <c r="D88" s="4" t="s">
        <v>8920</v>
      </c>
      <c r="E88" s="4" t="s">
        <v>9</v>
      </c>
      <c r="F88" s="4" t="s">
        <v>6</v>
      </c>
      <c r="G88" s="4" t="s">
        <v>9068</v>
      </c>
      <c r="H88" s="4">
        <v>5000.0</v>
      </c>
      <c r="I88" s="4" t="s">
        <v>9102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4" t="s">
        <v>9108</v>
      </c>
      <c r="B89" s="4" t="s">
        <v>16</v>
      </c>
      <c r="C89" s="4" t="s">
        <v>12</v>
      </c>
      <c r="D89" s="4" t="s">
        <v>8930</v>
      </c>
      <c r="E89" s="4" t="s">
        <v>12</v>
      </c>
      <c r="F89" s="4" t="s">
        <v>16</v>
      </c>
      <c r="G89" s="4" t="s">
        <v>9068</v>
      </c>
      <c r="H89" s="4">
        <v>3000.0</v>
      </c>
      <c r="I89" s="4" t="s">
        <v>9109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4" t="s">
        <v>9110</v>
      </c>
      <c r="B90" s="4" t="s">
        <v>6</v>
      </c>
      <c r="C90" s="4" t="s">
        <v>15</v>
      </c>
      <c r="D90" s="4" t="s">
        <v>8930</v>
      </c>
      <c r="E90" s="4" t="s">
        <v>15</v>
      </c>
      <c r="F90" s="4" t="s">
        <v>6</v>
      </c>
      <c r="G90" s="4" t="s">
        <v>9068</v>
      </c>
      <c r="H90" s="4">
        <v>5000.0</v>
      </c>
      <c r="I90" s="4" t="s">
        <v>9102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" t="s">
        <v>9111</v>
      </c>
      <c r="B91" s="4" t="s">
        <v>6</v>
      </c>
      <c r="C91" s="4" t="s">
        <v>16</v>
      </c>
      <c r="D91" s="4" t="s">
        <v>9112</v>
      </c>
      <c r="E91" s="4" t="s">
        <v>6</v>
      </c>
      <c r="F91" s="4" t="s">
        <v>16</v>
      </c>
      <c r="G91" s="4" t="s">
        <v>9068</v>
      </c>
      <c r="H91" s="4">
        <v>5000.0</v>
      </c>
      <c r="I91" s="4" t="s">
        <v>9109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4" t="s">
        <v>9113</v>
      </c>
      <c r="B92" s="4" t="s">
        <v>14</v>
      </c>
      <c r="C92" s="4" t="s">
        <v>17</v>
      </c>
      <c r="D92" s="4" t="s">
        <v>9114</v>
      </c>
      <c r="E92" s="4" t="s">
        <v>17</v>
      </c>
      <c r="F92" s="4" t="s">
        <v>14</v>
      </c>
      <c r="G92" s="4" t="s">
        <v>9068</v>
      </c>
      <c r="H92" s="4">
        <v>3000.0</v>
      </c>
      <c r="I92" s="4" t="s">
        <v>9102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4" t="s">
        <v>9115</v>
      </c>
      <c r="B93" s="4" t="s">
        <v>4</v>
      </c>
      <c r="C93" s="4" t="s">
        <v>6</v>
      </c>
      <c r="D93" s="4" t="s">
        <v>8758</v>
      </c>
      <c r="E93" s="4" t="s">
        <v>4</v>
      </c>
      <c r="F93" s="4" t="s">
        <v>6</v>
      </c>
      <c r="G93" s="36">
        <v>46054.0</v>
      </c>
      <c r="H93" s="4">
        <v>10000.0</v>
      </c>
      <c r="I93" s="4" t="s">
        <v>9109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4" t="s">
        <v>9116</v>
      </c>
      <c r="B94" s="4" t="s">
        <v>11</v>
      </c>
      <c r="C94" s="4" t="s">
        <v>5</v>
      </c>
      <c r="D94" s="4" t="s">
        <v>9117</v>
      </c>
      <c r="E94" s="4" t="s">
        <v>11</v>
      </c>
      <c r="F94" s="4" t="s">
        <v>5</v>
      </c>
      <c r="G94" s="4" t="s">
        <v>9068</v>
      </c>
      <c r="H94" s="4">
        <v>5000.0</v>
      </c>
      <c r="I94" s="4" t="s">
        <v>9102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4" t="s">
        <v>9118</v>
      </c>
      <c r="B95" s="4" t="s">
        <v>15</v>
      </c>
      <c r="C95" s="4" t="s">
        <v>17</v>
      </c>
      <c r="D95" s="4" t="s">
        <v>9117</v>
      </c>
      <c r="E95" s="4" t="s">
        <v>15</v>
      </c>
      <c r="F95" s="4" t="s">
        <v>17</v>
      </c>
      <c r="G95" s="4" t="s">
        <v>9068</v>
      </c>
      <c r="H95" s="4">
        <v>5000.0</v>
      </c>
      <c r="I95" s="4" t="s">
        <v>9102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4" t="s">
        <v>9119</v>
      </c>
      <c r="B96" s="4" t="s">
        <v>17</v>
      </c>
      <c r="C96" s="4" t="s">
        <v>15</v>
      </c>
      <c r="D96" s="4" t="s">
        <v>9120</v>
      </c>
      <c r="E96" s="4" t="s">
        <v>17</v>
      </c>
      <c r="F96" s="4" t="s">
        <v>15</v>
      </c>
      <c r="G96" s="4" t="s">
        <v>9068</v>
      </c>
      <c r="H96" s="4">
        <v>5000.0</v>
      </c>
      <c r="I96" s="4" t="s">
        <v>9102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47" t="s">
        <v>9121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4" t="s">
        <v>9122</v>
      </c>
      <c r="B98" s="4" t="s">
        <v>6</v>
      </c>
      <c r="C98" s="4" t="s">
        <v>10</v>
      </c>
      <c r="D98" s="4" t="s">
        <v>9123</v>
      </c>
      <c r="E98" s="4" t="s">
        <v>6</v>
      </c>
      <c r="F98" s="4" t="s">
        <v>10</v>
      </c>
      <c r="G98" s="4" t="s">
        <v>9068</v>
      </c>
      <c r="H98" s="4">
        <v>10000.0</v>
      </c>
      <c r="I98" s="4" t="s">
        <v>9102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4" t="s">
        <v>9124</v>
      </c>
      <c r="B99" s="4" t="s">
        <v>4</v>
      </c>
      <c r="C99" s="4" t="s">
        <v>7</v>
      </c>
      <c r="D99" s="4" t="s">
        <v>9123</v>
      </c>
      <c r="E99" s="4" t="s">
        <v>7</v>
      </c>
      <c r="F99" s="4" t="s">
        <v>4</v>
      </c>
      <c r="G99" s="4" t="s">
        <v>9068</v>
      </c>
      <c r="H99" s="4">
        <v>5000.0</v>
      </c>
      <c r="I99" s="4" t="s">
        <v>9102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4" t="s">
        <v>9125</v>
      </c>
      <c r="B100" s="4" t="s">
        <v>5</v>
      </c>
      <c r="C100" s="4" t="s">
        <v>14</v>
      </c>
      <c r="D100" s="4" t="s">
        <v>9123</v>
      </c>
      <c r="E100" s="4" t="s">
        <v>5</v>
      </c>
      <c r="F100" s="4" t="s">
        <v>14</v>
      </c>
      <c r="G100" s="4" t="s">
        <v>9068</v>
      </c>
      <c r="H100" s="4">
        <v>6000.0</v>
      </c>
      <c r="I100" s="4" t="s">
        <v>9102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4" t="s">
        <v>9126</v>
      </c>
      <c r="B101" s="4" t="s">
        <v>11</v>
      </c>
      <c r="C101" s="4" t="s">
        <v>12</v>
      </c>
      <c r="D101" s="4" t="s">
        <v>9123</v>
      </c>
      <c r="E101" s="4" t="s">
        <v>11</v>
      </c>
      <c r="F101" s="4" t="s">
        <v>12</v>
      </c>
      <c r="G101" s="4" t="s">
        <v>9068</v>
      </c>
      <c r="H101" s="4">
        <v>5000.0</v>
      </c>
      <c r="I101" s="4" t="s">
        <v>9109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4" t="s">
        <v>9127</v>
      </c>
      <c r="B102" s="4" t="s">
        <v>6</v>
      </c>
      <c r="C102" s="4" t="s">
        <v>5</v>
      </c>
      <c r="D102" s="4" t="s">
        <v>9128</v>
      </c>
      <c r="E102" s="4" t="s">
        <v>6</v>
      </c>
      <c r="F102" s="4" t="s">
        <v>5</v>
      </c>
      <c r="G102" s="4" t="s">
        <v>9068</v>
      </c>
      <c r="H102" s="4">
        <v>5000.0</v>
      </c>
      <c r="I102" s="4" t="s">
        <v>9102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4" t="s">
        <v>9129</v>
      </c>
      <c r="B103" s="4" t="s">
        <v>17</v>
      </c>
      <c r="C103" s="4" t="s">
        <v>12</v>
      </c>
      <c r="D103" s="4" t="s">
        <v>9128</v>
      </c>
      <c r="E103" s="4" t="s">
        <v>17</v>
      </c>
      <c r="F103" s="4" t="s">
        <v>12</v>
      </c>
      <c r="G103" s="4" t="s">
        <v>9068</v>
      </c>
      <c r="H103" s="4">
        <v>5000.0</v>
      </c>
      <c r="I103" s="4" t="s">
        <v>9130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4" t="s">
        <v>9131</v>
      </c>
      <c r="B104" s="4" t="s">
        <v>7</v>
      </c>
      <c r="C104" s="4" t="s">
        <v>4</v>
      </c>
      <c r="D104" s="4" t="s">
        <v>9128</v>
      </c>
      <c r="E104" s="4" t="s">
        <v>4</v>
      </c>
      <c r="F104" s="4" t="s">
        <v>7</v>
      </c>
      <c r="G104" s="4" t="s">
        <v>9068</v>
      </c>
      <c r="H104" s="4">
        <v>5000.0</v>
      </c>
      <c r="I104" s="4" t="s">
        <v>9109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4" t="s">
        <v>9132</v>
      </c>
      <c r="B105" s="4" t="s">
        <v>5</v>
      </c>
      <c r="C105" s="4" t="s">
        <v>9133</v>
      </c>
      <c r="D105" s="4" t="s">
        <v>6724</v>
      </c>
      <c r="E105" s="4" t="s">
        <v>17</v>
      </c>
      <c r="F105" s="4" t="s">
        <v>9</v>
      </c>
      <c r="G105" s="4" t="s">
        <v>9134</v>
      </c>
      <c r="H105" s="4">
        <v>15000.0</v>
      </c>
      <c r="I105" s="4" t="s">
        <v>9135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4" t="s">
        <v>9136</v>
      </c>
      <c r="B106" s="4" t="s">
        <v>6</v>
      </c>
      <c r="C106" s="4" t="s">
        <v>5</v>
      </c>
      <c r="D106" s="4" t="s">
        <v>9137</v>
      </c>
      <c r="E106" s="4" t="s">
        <v>6</v>
      </c>
      <c r="F106" s="4" t="s">
        <v>5</v>
      </c>
      <c r="G106" s="36">
        <v>46054.0</v>
      </c>
      <c r="H106" s="4">
        <v>5000.0</v>
      </c>
      <c r="I106" s="4" t="s">
        <v>9109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4" t="s">
        <v>9138</v>
      </c>
      <c r="B107" s="4" t="s">
        <v>4</v>
      </c>
      <c r="C107" s="4" t="s">
        <v>9</v>
      </c>
      <c r="D107" s="4" t="s">
        <v>9139</v>
      </c>
      <c r="E107" s="4" t="s">
        <v>4</v>
      </c>
      <c r="F107" s="4" t="s">
        <v>9</v>
      </c>
      <c r="G107" s="36">
        <v>46113.0</v>
      </c>
      <c r="H107" s="4">
        <v>10000.0</v>
      </c>
      <c r="I107" s="4" t="s">
        <v>9109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4" t="s">
        <v>9140</v>
      </c>
      <c r="B108" s="4" t="s">
        <v>6</v>
      </c>
      <c r="C108" s="4" t="s">
        <v>5</v>
      </c>
      <c r="D108" s="4" t="s">
        <v>9141</v>
      </c>
      <c r="E108" s="4" t="s">
        <v>5</v>
      </c>
      <c r="F108" s="4" t="s">
        <v>6</v>
      </c>
      <c r="G108" s="36">
        <v>46024.0</v>
      </c>
      <c r="H108" s="4">
        <v>5000.0</v>
      </c>
      <c r="I108" s="4" t="s">
        <v>9102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4" t="s">
        <v>9142</v>
      </c>
      <c r="B109" s="4" t="s">
        <v>5</v>
      </c>
      <c r="C109" s="4" t="s">
        <v>16</v>
      </c>
      <c r="D109" s="4" t="s">
        <v>7177</v>
      </c>
      <c r="E109" s="4" t="s">
        <v>16</v>
      </c>
      <c r="F109" s="4" t="s">
        <v>5</v>
      </c>
      <c r="G109" s="4" t="s">
        <v>9082</v>
      </c>
      <c r="H109" s="4">
        <v>5000.0</v>
      </c>
      <c r="I109" s="4" t="s">
        <v>9102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4" t="s">
        <v>9143</v>
      </c>
      <c r="B110" s="4" t="s">
        <v>6</v>
      </c>
      <c r="C110" s="4" t="s">
        <v>16</v>
      </c>
      <c r="D110" s="4" t="s">
        <v>7185</v>
      </c>
      <c r="E110" s="4" t="s">
        <v>16</v>
      </c>
      <c r="F110" s="4" t="s">
        <v>6</v>
      </c>
      <c r="G110" s="4" t="s">
        <v>9082</v>
      </c>
      <c r="H110" s="4">
        <v>5000.0</v>
      </c>
      <c r="I110" s="4" t="s">
        <v>9102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47" t="s">
        <v>9144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4" t="s">
        <v>9145</v>
      </c>
      <c r="B112" s="4" t="s">
        <v>16</v>
      </c>
      <c r="C112" s="4" t="s">
        <v>17</v>
      </c>
      <c r="D112" s="4" t="s">
        <v>9146</v>
      </c>
      <c r="E112" s="4" t="s">
        <v>17</v>
      </c>
      <c r="F112" s="4" t="s">
        <v>16</v>
      </c>
      <c r="G112" s="4" t="s">
        <v>9082</v>
      </c>
      <c r="H112" s="4">
        <v>10000.0</v>
      </c>
      <c r="I112" s="4" t="s">
        <v>9102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4" t="s">
        <v>9147</v>
      </c>
      <c r="B113" s="4" t="s">
        <v>17</v>
      </c>
      <c r="C113" s="4" t="s">
        <v>16</v>
      </c>
      <c r="D113" s="4" t="s">
        <v>7221</v>
      </c>
      <c r="E113" s="4" t="s">
        <v>16</v>
      </c>
      <c r="F113" s="4" t="s">
        <v>17</v>
      </c>
      <c r="G113" s="4" t="s">
        <v>9082</v>
      </c>
      <c r="H113" s="4">
        <v>10000.0</v>
      </c>
      <c r="I113" s="4" t="s">
        <v>9102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4" t="s">
        <v>9148</v>
      </c>
      <c r="B114" s="4" t="s">
        <v>5</v>
      </c>
      <c r="C114" s="4" t="s">
        <v>9</v>
      </c>
      <c r="D114" s="4" t="s">
        <v>9149</v>
      </c>
      <c r="E114" s="4" t="s">
        <v>5</v>
      </c>
      <c r="F114" s="4" t="s">
        <v>9</v>
      </c>
      <c r="G114" s="36">
        <v>46113.0</v>
      </c>
      <c r="H114" s="4">
        <v>7000.0</v>
      </c>
      <c r="I114" s="4" t="s">
        <v>9102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4" t="s">
        <v>9150</v>
      </c>
      <c r="B115" s="4" t="s">
        <v>4</v>
      </c>
      <c r="C115" s="4" t="s">
        <v>6</v>
      </c>
      <c r="D115" s="4" t="s">
        <v>9149</v>
      </c>
      <c r="E115" s="4" t="s">
        <v>6</v>
      </c>
      <c r="F115" s="4" t="s">
        <v>4</v>
      </c>
      <c r="G115" s="36">
        <v>46026.0</v>
      </c>
      <c r="H115" s="4">
        <v>10000.0</v>
      </c>
      <c r="I115" s="4" t="s">
        <v>9102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4" t="s">
        <v>9151</v>
      </c>
      <c r="B116" s="4" t="s">
        <v>4</v>
      </c>
      <c r="C116" s="4" t="s">
        <v>16</v>
      </c>
      <c r="D116" s="4" t="s">
        <v>7225</v>
      </c>
      <c r="E116" s="4" t="s">
        <v>16</v>
      </c>
      <c r="F116" s="4" t="s">
        <v>4</v>
      </c>
      <c r="G116" s="4" t="s">
        <v>9082</v>
      </c>
      <c r="H116" s="4">
        <v>3000.0</v>
      </c>
      <c r="I116" s="4" t="s">
        <v>9102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4" t="s">
        <v>9152</v>
      </c>
      <c r="B117" s="4" t="s">
        <v>18</v>
      </c>
      <c r="C117" s="4" t="s">
        <v>19</v>
      </c>
      <c r="D117" s="4" t="s">
        <v>9153</v>
      </c>
      <c r="E117" s="4" t="s">
        <v>19</v>
      </c>
      <c r="F117" s="4" t="s">
        <v>18</v>
      </c>
      <c r="G117" s="36">
        <v>46024.0</v>
      </c>
      <c r="H117" s="4">
        <v>5000.0</v>
      </c>
      <c r="I117" s="4" t="s">
        <v>9154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4" t="s">
        <v>9155</v>
      </c>
      <c r="B118" s="4" t="s">
        <v>17</v>
      </c>
      <c r="C118" s="4" t="s">
        <v>15</v>
      </c>
      <c r="D118" s="4" t="s">
        <v>7833</v>
      </c>
      <c r="E118" s="4" t="s">
        <v>15</v>
      </c>
      <c r="F118" s="4" t="s">
        <v>17</v>
      </c>
      <c r="G118" s="4" t="s">
        <v>9082</v>
      </c>
      <c r="H118" s="4">
        <v>10000.0</v>
      </c>
      <c r="I118" s="4" t="s">
        <v>9135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26" t="s">
        <v>9156</v>
      </c>
      <c r="B119" s="26" t="s">
        <v>17</v>
      </c>
      <c r="C119" s="26" t="s">
        <v>4</v>
      </c>
      <c r="D119" s="26" t="s">
        <v>9157</v>
      </c>
      <c r="E119" s="26" t="s">
        <v>17</v>
      </c>
      <c r="F119" s="26" t="s">
        <v>4</v>
      </c>
      <c r="G119" s="26" t="s">
        <v>9082</v>
      </c>
      <c r="H119" s="26">
        <v>10000.0</v>
      </c>
      <c r="I119" s="26" t="s">
        <v>9109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26" t="s">
        <v>9158</v>
      </c>
      <c r="B120" s="26" t="s">
        <v>6</v>
      </c>
      <c r="C120" s="26" t="s">
        <v>9159</v>
      </c>
      <c r="D120" s="26" t="s">
        <v>9157</v>
      </c>
      <c r="E120" s="26" t="s">
        <v>6</v>
      </c>
      <c r="F120" s="26" t="s">
        <v>7</v>
      </c>
      <c r="G120" s="26" t="s">
        <v>9082</v>
      </c>
      <c r="H120" s="26">
        <v>10000.0</v>
      </c>
      <c r="I120" s="26" t="s">
        <v>9109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26" t="s">
        <v>9160</v>
      </c>
      <c r="B121" s="26" t="s">
        <v>16</v>
      </c>
      <c r="C121" s="26" t="s">
        <v>14</v>
      </c>
      <c r="D121" s="26" t="s">
        <v>9157</v>
      </c>
      <c r="E121" s="26" t="s">
        <v>14</v>
      </c>
      <c r="F121" s="26" t="s">
        <v>16</v>
      </c>
      <c r="G121" s="26" t="s">
        <v>9082</v>
      </c>
      <c r="H121" s="26">
        <v>5000.0</v>
      </c>
      <c r="I121" s="26" t="s">
        <v>9109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4" t="s">
        <v>9161</v>
      </c>
      <c r="B122" s="4" t="s">
        <v>19</v>
      </c>
      <c r="C122" s="4" t="s">
        <v>9162</v>
      </c>
      <c r="D122" s="4" t="s">
        <v>9163</v>
      </c>
      <c r="E122" s="4" t="s">
        <v>19</v>
      </c>
      <c r="F122" s="4" t="s">
        <v>105</v>
      </c>
      <c r="G122" s="4" t="s">
        <v>9164</v>
      </c>
      <c r="H122" s="4">
        <v>5000.0</v>
      </c>
      <c r="I122" s="4" t="s">
        <v>9154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4" t="s">
        <v>9165</v>
      </c>
      <c r="B123" s="4" t="s">
        <v>18</v>
      </c>
      <c r="C123" s="4" t="s">
        <v>17</v>
      </c>
      <c r="D123" s="4" t="s">
        <v>9166</v>
      </c>
      <c r="E123" s="4" t="s">
        <v>17</v>
      </c>
      <c r="F123" s="4" t="s">
        <v>18</v>
      </c>
      <c r="G123" s="36">
        <v>46024.0</v>
      </c>
      <c r="H123" s="4">
        <v>3000.0</v>
      </c>
      <c r="I123" s="4" t="s">
        <v>9135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4" t="s">
        <v>9167</v>
      </c>
      <c r="B124" s="4" t="s">
        <v>17</v>
      </c>
      <c r="C124" s="4" t="s">
        <v>8</v>
      </c>
      <c r="D124" s="4" t="s">
        <v>7589</v>
      </c>
      <c r="E124" s="4" t="s">
        <v>8</v>
      </c>
      <c r="F124" s="4" t="s">
        <v>17</v>
      </c>
      <c r="G124" s="26" t="s">
        <v>9082</v>
      </c>
      <c r="H124" s="4">
        <v>7000.0</v>
      </c>
      <c r="I124" s="4" t="s">
        <v>9168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4" t="s">
        <v>9169</v>
      </c>
      <c r="B125" s="4" t="s">
        <v>105</v>
      </c>
      <c r="C125" s="4" t="s">
        <v>19</v>
      </c>
      <c r="D125" s="4" t="s">
        <v>7589</v>
      </c>
      <c r="E125" s="4" t="s">
        <v>105</v>
      </c>
      <c r="F125" s="4" t="s">
        <v>19</v>
      </c>
      <c r="G125" s="26" t="s">
        <v>9082</v>
      </c>
      <c r="H125" s="4">
        <v>3000.0</v>
      </c>
      <c r="I125" s="4" t="s">
        <v>9109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4" t="s">
        <v>9170</v>
      </c>
      <c r="B126" s="4" t="s">
        <v>103</v>
      </c>
      <c r="C126" s="4" t="s">
        <v>18</v>
      </c>
      <c r="D126" s="4" t="s">
        <v>9171</v>
      </c>
      <c r="E126" s="4" t="s">
        <v>103</v>
      </c>
      <c r="F126" s="4" t="s">
        <v>18</v>
      </c>
      <c r="G126" s="26" t="s">
        <v>8960</v>
      </c>
      <c r="H126" s="4">
        <v>5000.0</v>
      </c>
      <c r="I126" s="4" t="s">
        <v>9168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4" t="s">
        <v>9172</v>
      </c>
      <c r="B127" s="4" t="s">
        <v>105</v>
      </c>
      <c r="C127" s="4" t="s">
        <v>4</v>
      </c>
      <c r="D127" s="4" t="s">
        <v>9173</v>
      </c>
      <c r="E127" s="4" t="s">
        <v>105</v>
      </c>
      <c r="F127" s="4" t="s">
        <v>4</v>
      </c>
      <c r="G127" s="26" t="s">
        <v>9082</v>
      </c>
      <c r="H127" s="4">
        <v>10000.0</v>
      </c>
      <c r="I127" s="4" t="s">
        <v>9174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4" t="s">
        <v>9175</v>
      </c>
      <c r="B128" s="4" t="s">
        <v>4</v>
      </c>
      <c r="C128" s="4" t="s">
        <v>9176</v>
      </c>
      <c r="D128" s="4" t="s">
        <v>9177</v>
      </c>
      <c r="E128" s="4" t="s">
        <v>15</v>
      </c>
      <c r="F128" s="4" t="s">
        <v>16</v>
      </c>
      <c r="G128" s="4" t="s">
        <v>9178</v>
      </c>
      <c r="H128" s="4">
        <v>15000.0</v>
      </c>
      <c r="I128" s="4" t="s">
        <v>9109</v>
      </c>
    </row>
    <row r="129">
      <c r="A129" s="4" t="s">
        <v>9179</v>
      </c>
      <c r="B129" s="4" t="s">
        <v>17</v>
      </c>
      <c r="C129" s="4" t="s">
        <v>104</v>
      </c>
      <c r="D129" s="4" t="s">
        <v>9180</v>
      </c>
      <c r="E129" s="4" t="s">
        <v>17</v>
      </c>
      <c r="F129" s="4" t="s">
        <v>104</v>
      </c>
      <c r="G129" s="422">
        <v>46113.0</v>
      </c>
      <c r="H129" s="4">
        <v>5000.0</v>
      </c>
      <c r="I129" s="4" t="s">
        <v>9181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4" t="s">
        <v>9182</v>
      </c>
      <c r="B130" s="4" t="s">
        <v>105</v>
      </c>
      <c r="C130" s="4" t="s">
        <v>103</v>
      </c>
      <c r="D130" s="4" t="s">
        <v>8797</v>
      </c>
      <c r="E130" s="4" t="s">
        <v>105</v>
      </c>
      <c r="F130" s="4" t="s">
        <v>103</v>
      </c>
      <c r="G130" s="422">
        <v>46054.0</v>
      </c>
      <c r="H130" s="4">
        <v>5000.0</v>
      </c>
      <c r="I130" s="4" t="s">
        <v>9183</v>
      </c>
    </row>
    <row r="131">
      <c r="A131" s="4" t="s">
        <v>9184</v>
      </c>
      <c r="B131" s="4" t="s">
        <v>18</v>
      </c>
      <c r="C131" s="4" t="s">
        <v>4</v>
      </c>
      <c r="D131" s="4" t="s">
        <v>7630</v>
      </c>
      <c r="E131" s="4" t="s">
        <v>18</v>
      </c>
      <c r="F131" s="4" t="s">
        <v>4</v>
      </c>
      <c r="G131" s="26" t="s">
        <v>9082</v>
      </c>
      <c r="H131" s="4">
        <v>5000.0</v>
      </c>
      <c r="I131" s="4" t="s">
        <v>9102</v>
      </c>
    </row>
    <row r="132">
      <c r="A132" s="4" t="s">
        <v>9185</v>
      </c>
      <c r="B132" s="4" t="s">
        <v>17</v>
      </c>
      <c r="C132" s="4" t="s">
        <v>8</v>
      </c>
      <c r="D132" s="4" t="s">
        <v>8799</v>
      </c>
      <c r="E132" s="4" t="s">
        <v>8</v>
      </c>
      <c r="F132" s="4" t="s">
        <v>17</v>
      </c>
      <c r="G132" s="422">
        <v>46023.0</v>
      </c>
      <c r="H132" s="4">
        <v>10000.0</v>
      </c>
      <c r="I132" s="4" t="s">
        <v>9183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4" t="s">
        <v>9186</v>
      </c>
      <c r="B133" s="4" t="s">
        <v>105</v>
      </c>
      <c r="C133" s="4" t="s">
        <v>17</v>
      </c>
      <c r="D133" s="4" t="s">
        <v>8799</v>
      </c>
      <c r="E133" s="4" t="s">
        <v>17</v>
      </c>
      <c r="F133" s="4" t="s">
        <v>105</v>
      </c>
      <c r="G133" s="422">
        <v>46024.0</v>
      </c>
      <c r="H133" s="4">
        <v>5000.0</v>
      </c>
      <c r="I133" s="4" t="s">
        <v>9183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4" t="s">
        <v>9187</v>
      </c>
      <c r="B134" s="4" t="s">
        <v>18</v>
      </c>
      <c r="C134" s="4" t="s">
        <v>17</v>
      </c>
      <c r="D134" s="4" t="s">
        <v>7756</v>
      </c>
      <c r="E134" s="4" t="s">
        <v>17</v>
      </c>
      <c r="F134" s="4" t="s">
        <v>18</v>
      </c>
      <c r="G134" s="26" t="s">
        <v>9082</v>
      </c>
      <c r="H134" s="4">
        <v>3000.0</v>
      </c>
      <c r="I134" s="4" t="s">
        <v>9102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4" t="s">
        <v>9188</v>
      </c>
      <c r="B135" s="4" t="s">
        <v>6</v>
      </c>
      <c r="C135" s="4" t="s">
        <v>16</v>
      </c>
      <c r="D135" s="4" t="s">
        <v>7756</v>
      </c>
      <c r="E135" s="4" t="s">
        <v>6</v>
      </c>
      <c r="F135" s="4" t="s">
        <v>16</v>
      </c>
      <c r="G135" s="26" t="s">
        <v>9082</v>
      </c>
      <c r="H135" s="4">
        <v>20000.0</v>
      </c>
      <c r="I135" s="4" t="s">
        <v>9102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4" t="s">
        <v>9189</v>
      </c>
      <c r="B136" s="4" t="s">
        <v>105</v>
      </c>
      <c r="C136" s="4" t="s">
        <v>18</v>
      </c>
      <c r="D136" s="4" t="s">
        <v>8811</v>
      </c>
      <c r="E136" s="4" t="s">
        <v>105</v>
      </c>
      <c r="F136" s="4" t="s">
        <v>18</v>
      </c>
      <c r="G136" s="36">
        <v>46054.0</v>
      </c>
      <c r="H136" s="4">
        <v>5000.0</v>
      </c>
      <c r="I136" s="4" t="s">
        <v>9109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4" t="s">
        <v>9190</v>
      </c>
      <c r="B137" s="4" t="s">
        <v>104</v>
      </c>
      <c r="C137" s="4" t="s">
        <v>103</v>
      </c>
      <c r="D137" s="4" t="s">
        <v>8811</v>
      </c>
      <c r="E137" s="4" t="s">
        <v>103</v>
      </c>
      <c r="F137" s="4" t="s">
        <v>104</v>
      </c>
      <c r="G137" s="36">
        <v>46024.0</v>
      </c>
      <c r="H137" s="4">
        <v>5000.0</v>
      </c>
      <c r="I137" s="4" t="s">
        <v>9183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4" t="s">
        <v>9191</v>
      </c>
      <c r="B138" s="4" t="s">
        <v>16</v>
      </c>
      <c r="C138" s="4" t="s">
        <v>105</v>
      </c>
      <c r="D138" s="4" t="s">
        <v>7659</v>
      </c>
      <c r="E138" s="4" t="s">
        <v>16</v>
      </c>
      <c r="F138" s="4" t="s">
        <v>105</v>
      </c>
      <c r="G138" s="26" t="s">
        <v>9082</v>
      </c>
      <c r="H138" s="4">
        <v>5000.0</v>
      </c>
      <c r="I138" s="4" t="s">
        <v>9102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4" t="s">
        <v>8741</v>
      </c>
      <c r="B139" s="4" t="s">
        <v>19</v>
      </c>
      <c r="C139" s="4" t="s">
        <v>17</v>
      </c>
      <c r="D139" s="4" t="s">
        <v>9192</v>
      </c>
      <c r="E139" s="4" t="s">
        <v>17</v>
      </c>
      <c r="F139" s="4" t="s">
        <v>19</v>
      </c>
      <c r="G139" s="36">
        <v>46026.0</v>
      </c>
      <c r="H139" s="4">
        <v>5000.0</v>
      </c>
      <c r="I139" s="4" t="s">
        <v>9181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47" t="s">
        <v>9193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4" t="s">
        <v>9194</v>
      </c>
      <c r="B141" s="4" t="s">
        <v>103</v>
      </c>
      <c r="C141" s="4" t="s">
        <v>4</v>
      </c>
      <c r="D141" s="4" t="s">
        <v>7666</v>
      </c>
      <c r="E141" s="4" t="s">
        <v>4</v>
      </c>
      <c r="F141" s="4" t="s">
        <v>103</v>
      </c>
      <c r="G141" s="26" t="s">
        <v>9082</v>
      </c>
      <c r="H141" s="4">
        <v>6000.0</v>
      </c>
      <c r="I141" s="4" t="s">
        <v>9109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4" t="s">
        <v>9195</v>
      </c>
      <c r="B142" s="4" t="s">
        <v>16</v>
      </c>
      <c r="C142" s="4" t="s">
        <v>105</v>
      </c>
      <c r="D142" s="4" t="s">
        <v>7666</v>
      </c>
      <c r="E142" s="4" t="s">
        <v>16</v>
      </c>
      <c r="F142" s="4" t="s">
        <v>105</v>
      </c>
      <c r="G142" s="26" t="s">
        <v>9082</v>
      </c>
      <c r="H142" s="4">
        <v>5000.0</v>
      </c>
      <c r="I142" s="4" t="s">
        <v>9102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4" t="s">
        <v>9196</v>
      </c>
      <c r="B143" s="4" t="s">
        <v>17</v>
      </c>
      <c r="C143" s="4" t="s">
        <v>18</v>
      </c>
      <c r="D143" s="4" t="s">
        <v>7666</v>
      </c>
      <c r="E143" s="4" t="s">
        <v>17</v>
      </c>
      <c r="F143" s="4" t="s">
        <v>18</v>
      </c>
      <c r="G143" s="26" t="s">
        <v>9082</v>
      </c>
      <c r="H143" s="4">
        <v>5000.0</v>
      </c>
      <c r="I143" s="4" t="s">
        <v>9109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4" t="s">
        <v>9197</v>
      </c>
      <c r="B144" s="4" t="s">
        <v>19</v>
      </c>
      <c r="C144" s="4" t="s">
        <v>4</v>
      </c>
      <c r="D144" s="4" t="s">
        <v>7673</v>
      </c>
      <c r="E144" s="4" t="s">
        <v>19</v>
      </c>
      <c r="F144" s="4" t="s">
        <v>4</v>
      </c>
      <c r="G144" s="26" t="s">
        <v>9082</v>
      </c>
      <c r="H144" s="4">
        <v>5000.0</v>
      </c>
      <c r="I144" s="4" t="s">
        <v>9102</v>
      </c>
      <c r="J144" s="4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4" t="s">
        <v>9198</v>
      </c>
      <c r="B145" s="4" t="s">
        <v>9</v>
      </c>
      <c r="C145" s="4" t="s">
        <v>17</v>
      </c>
      <c r="D145" s="4" t="s">
        <v>7673</v>
      </c>
      <c r="E145" s="4" t="s">
        <v>9</v>
      </c>
      <c r="F145" s="4" t="s">
        <v>17</v>
      </c>
      <c r="G145" s="26" t="s">
        <v>9082</v>
      </c>
      <c r="H145" s="4">
        <v>5000.0</v>
      </c>
      <c r="I145" s="4" t="s">
        <v>9102</v>
      </c>
      <c r="J145" s="4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4" t="s">
        <v>9199</v>
      </c>
      <c r="B146" s="4" t="s">
        <v>16</v>
      </c>
      <c r="C146" s="4" t="s">
        <v>7</v>
      </c>
      <c r="D146" s="4" t="s">
        <v>7673</v>
      </c>
      <c r="E146" s="4" t="s">
        <v>16</v>
      </c>
      <c r="F146" s="4" t="s">
        <v>7</v>
      </c>
      <c r="G146" s="26" t="s">
        <v>9082</v>
      </c>
      <c r="H146" s="4">
        <v>5000.0</v>
      </c>
      <c r="I146" s="4" t="s">
        <v>9102</v>
      </c>
      <c r="J146" s="4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4" t="s">
        <v>9200</v>
      </c>
      <c r="B147" s="4" t="s">
        <v>14</v>
      </c>
      <c r="C147" s="4" t="s">
        <v>6</v>
      </c>
      <c r="D147" s="4" t="s">
        <v>7673</v>
      </c>
      <c r="E147" s="4" t="s">
        <v>6</v>
      </c>
      <c r="F147" s="4" t="s">
        <v>14</v>
      </c>
      <c r="G147" s="26" t="s">
        <v>9082</v>
      </c>
      <c r="H147" s="4">
        <v>5000.0</v>
      </c>
      <c r="I147" s="4" t="s">
        <v>9102</v>
      </c>
      <c r="J147" s="4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4" t="s">
        <v>9201</v>
      </c>
      <c r="B148" s="4" t="s">
        <v>8</v>
      </c>
      <c r="C148" s="4" t="s">
        <v>9202</v>
      </c>
      <c r="D148" s="4" t="s">
        <v>7680</v>
      </c>
      <c r="E148" s="4" t="s">
        <v>8</v>
      </c>
      <c r="F148" s="4" t="s">
        <v>9202</v>
      </c>
      <c r="G148" s="26" t="s">
        <v>9082</v>
      </c>
      <c r="H148" s="4">
        <v>5000.0</v>
      </c>
      <c r="I148" s="4" t="s">
        <v>9102</v>
      </c>
      <c r="J148" s="4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4" t="s">
        <v>9203</v>
      </c>
      <c r="B149" s="4" t="s">
        <v>7</v>
      </c>
      <c r="C149" s="4" t="s">
        <v>16</v>
      </c>
      <c r="D149" s="4" t="s">
        <v>7680</v>
      </c>
      <c r="E149" s="4" t="s">
        <v>16</v>
      </c>
      <c r="F149" s="4" t="s">
        <v>7</v>
      </c>
      <c r="G149" s="26" t="s">
        <v>9082</v>
      </c>
      <c r="H149" s="4">
        <v>5000.0</v>
      </c>
      <c r="I149" s="4" t="s">
        <v>9102</v>
      </c>
      <c r="J149" s="4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4" t="s">
        <v>9204</v>
      </c>
      <c r="B150" s="4" t="s">
        <v>4</v>
      </c>
      <c r="C150" s="4" t="s">
        <v>17</v>
      </c>
      <c r="D150" s="4" t="s">
        <v>7680</v>
      </c>
      <c r="E150" s="4" t="s">
        <v>17</v>
      </c>
      <c r="F150" s="4" t="s">
        <v>4</v>
      </c>
      <c r="G150" s="26" t="s">
        <v>9082</v>
      </c>
      <c r="H150" s="4">
        <v>5000.0</v>
      </c>
      <c r="I150" s="4" t="s">
        <v>9102</v>
      </c>
      <c r="J150" s="4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4" t="s">
        <v>9205</v>
      </c>
      <c r="B151" s="4" t="s">
        <v>103</v>
      </c>
      <c r="C151" s="4" t="s">
        <v>18</v>
      </c>
      <c r="D151" s="4" t="s">
        <v>7680</v>
      </c>
      <c r="E151" s="4" t="s">
        <v>103</v>
      </c>
      <c r="F151" s="4" t="s">
        <v>18</v>
      </c>
      <c r="G151" s="26" t="s">
        <v>9082</v>
      </c>
      <c r="H151" s="4">
        <v>5000.0</v>
      </c>
      <c r="I151" s="4" t="s">
        <v>9109</v>
      </c>
      <c r="J151" s="4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4" t="s">
        <v>9206</v>
      </c>
      <c r="B152" s="4" t="s">
        <v>6</v>
      </c>
      <c r="C152" s="4" t="s">
        <v>9207</v>
      </c>
      <c r="D152" s="4" t="s">
        <v>7680</v>
      </c>
      <c r="E152" s="4" t="s">
        <v>6</v>
      </c>
      <c r="F152" s="4" t="s">
        <v>104</v>
      </c>
      <c r="G152" s="26" t="s">
        <v>9082</v>
      </c>
      <c r="H152" s="4">
        <v>5000.0</v>
      </c>
      <c r="I152" s="4" t="s">
        <v>9102</v>
      </c>
      <c r="J152" s="4"/>
    </row>
    <row r="153">
      <c r="A153" s="4" t="s">
        <v>9208</v>
      </c>
      <c r="B153" s="4" t="s">
        <v>15</v>
      </c>
      <c r="C153" s="4" t="s">
        <v>105</v>
      </c>
      <c r="D153" s="4" t="s">
        <v>7680</v>
      </c>
      <c r="E153" s="4" t="s">
        <v>15</v>
      </c>
      <c r="F153" s="4" t="s">
        <v>105</v>
      </c>
      <c r="G153" s="26" t="s">
        <v>9082</v>
      </c>
      <c r="H153" s="4">
        <v>5000.0</v>
      </c>
      <c r="I153" s="4" t="s">
        <v>9102</v>
      </c>
      <c r="J153" s="4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4" t="s">
        <v>9209</v>
      </c>
      <c r="B154" s="4" t="s">
        <v>14</v>
      </c>
      <c r="C154" s="4" t="s">
        <v>19</v>
      </c>
      <c r="D154" s="4" t="s">
        <v>7680</v>
      </c>
      <c r="E154" s="4" t="s">
        <v>19</v>
      </c>
      <c r="F154" s="4" t="s">
        <v>14</v>
      </c>
      <c r="G154" s="26" t="s">
        <v>9082</v>
      </c>
      <c r="H154" s="4">
        <v>5000.0</v>
      </c>
      <c r="I154" s="4" t="s">
        <v>9102</v>
      </c>
      <c r="J154" s="4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4" t="s">
        <v>9210</v>
      </c>
      <c r="B155" s="4" t="s">
        <v>6</v>
      </c>
      <c r="C155" s="4" t="s">
        <v>7</v>
      </c>
      <c r="D155" s="4" t="s">
        <v>7683</v>
      </c>
      <c r="E155" s="4" t="s">
        <v>6</v>
      </c>
      <c r="F155" s="4" t="s">
        <v>7</v>
      </c>
      <c r="G155" s="26" t="s">
        <v>9082</v>
      </c>
      <c r="H155" s="4">
        <v>5000.0</v>
      </c>
      <c r="I155" s="4" t="s">
        <v>9102</v>
      </c>
      <c r="J155" s="4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4" t="s">
        <v>9211</v>
      </c>
      <c r="B156" s="4" t="s">
        <v>16</v>
      </c>
      <c r="C156" s="4" t="s">
        <v>9207</v>
      </c>
      <c r="D156" s="4" t="s">
        <v>7683</v>
      </c>
      <c r="E156" s="4" t="s">
        <v>16</v>
      </c>
      <c r="F156" s="4" t="s">
        <v>104</v>
      </c>
      <c r="G156" s="26" t="s">
        <v>9082</v>
      </c>
      <c r="H156" s="4">
        <v>5000.0</v>
      </c>
      <c r="I156" s="4" t="s">
        <v>9102</v>
      </c>
      <c r="J156" s="4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4" t="s">
        <v>9212</v>
      </c>
      <c r="B157" s="4" t="s">
        <v>17</v>
      </c>
      <c r="C157" s="4" t="s">
        <v>4</v>
      </c>
      <c r="D157" s="4" t="s">
        <v>7683</v>
      </c>
      <c r="E157" s="4" t="s">
        <v>17</v>
      </c>
      <c r="F157" s="4" t="s">
        <v>4</v>
      </c>
      <c r="G157" s="26" t="s">
        <v>9082</v>
      </c>
      <c r="H157" s="4">
        <v>5000.0</v>
      </c>
      <c r="I157" s="4" t="s">
        <v>9102</v>
      </c>
      <c r="J157" s="4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4" t="s">
        <v>9213</v>
      </c>
      <c r="B158" s="4" t="s">
        <v>14</v>
      </c>
      <c r="C158" s="4" t="s">
        <v>15</v>
      </c>
      <c r="D158" s="4" t="s">
        <v>7683</v>
      </c>
      <c r="E158" s="4" t="s">
        <v>14</v>
      </c>
      <c r="F158" s="4" t="s">
        <v>15</v>
      </c>
      <c r="G158" s="26" t="s">
        <v>9082</v>
      </c>
      <c r="H158" s="4">
        <v>5000.0</v>
      </c>
      <c r="I158" s="4" t="s">
        <v>9102</v>
      </c>
      <c r="J158" s="4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4" t="s">
        <v>9214</v>
      </c>
      <c r="B159" s="4" t="s">
        <v>12</v>
      </c>
      <c r="C159" s="4" t="s">
        <v>103</v>
      </c>
      <c r="D159" s="4" t="s">
        <v>7683</v>
      </c>
      <c r="E159" s="4" t="s">
        <v>12</v>
      </c>
      <c r="F159" s="4" t="s">
        <v>103</v>
      </c>
      <c r="G159" s="26" t="s">
        <v>9082</v>
      </c>
      <c r="H159" s="4">
        <v>5000.0</v>
      </c>
      <c r="I159" s="4" t="s">
        <v>9102</v>
      </c>
      <c r="J159" s="4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4" t="s">
        <v>9215</v>
      </c>
      <c r="B160" s="4" t="s">
        <v>12</v>
      </c>
      <c r="C160" s="4" t="s">
        <v>10</v>
      </c>
      <c r="D160" s="4" t="s">
        <v>9216</v>
      </c>
      <c r="E160" s="4" t="s">
        <v>12</v>
      </c>
      <c r="F160" s="4" t="s">
        <v>10</v>
      </c>
      <c r="G160" s="26" t="s">
        <v>9082</v>
      </c>
      <c r="H160" s="4">
        <v>5000.0</v>
      </c>
      <c r="I160" s="4" t="s">
        <v>9102</v>
      </c>
      <c r="J160" s="4"/>
    </row>
    <row r="161">
      <c r="A161" s="4" t="s">
        <v>9217</v>
      </c>
      <c r="B161" s="4" t="s">
        <v>103</v>
      </c>
      <c r="C161" s="4" t="s">
        <v>11</v>
      </c>
      <c r="D161" s="4" t="s">
        <v>9216</v>
      </c>
      <c r="E161" s="4" t="s">
        <v>103</v>
      </c>
      <c r="F161" s="4" t="s">
        <v>11</v>
      </c>
      <c r="G161" s="26" t="s">
        <v>9082</v>
      </c>
      <c r="H161" s="4">
        <v>5000.0</v>
      </c>
      <c r="I161" s="4" t="s">
        <v>9102</v>
      </c>
      <c r="J161" s="4"/>
    </row>
    <row r="162">
      <c r="A162" s="4" t="s">
        <v>9218</v>
      </c>
      <c r="B162" s="4" t="s">
        <v>13</v>
      </c>
      <c r="C162" s="4" t="s">
        <v>14</v>
      </c>
      <c r="D162" s="4" t="s">
        <v>9216</v>
      </c>
      <c r="E162" s="4" t="s">
        <v>13</v>
      </c>
      <c r="F162" s="4" t="s">
        <v>14</v>
      </c>
      <c r="G162" s="26" t="s">
        <v>9082</v>
      </c>
      <c r="H162" s="4">
        <v>5000.0</v>
      </c>
      <c r="I162" s="4" t="s">
        <v>9102</v>
      </c>
      <c r="J162" s="4"/>
    </row>
    <row r="163">
      <c r="A163" s="4" t="s">
        <v>9219</v>
      </c>
      <c r="B163" s="4" t="s">
        <v>9202</v>
      </c>
      <c r="C163" s="4" t="s">
        <v>105</v>
      </c>
      <c r="D163" s="4" t="s">
        <v>9220</v>
      </c>
      <c r="E163" s="4" t="s">
        <v>105</v>
      </c>
      <c r="F163" s="4" t="s">
        <v>5</v>
      </c>
      <c r="G163" s="26" t="s">
        <v>8967</v>
      </c>
      <c r="H163" s="4">
        <v>5000.0</v>
      </c>
      <c r="I163" s="4" t="s">
        <v>9102</v>
      </c>
      <c r="J163" s="4"/>
    </row>
    <row r="164">
      <c r="A164" s="4" t="s">
        <v>9221</v>
      </c>
      <c r="B164" s="4" t="s">
        <v>4</v>
      </c>
      <c r="C164" s="4" t="s">
        <v>7</v>
      </c>
      <c r="D164" s="4" t="s">
        <v>9216</v>
      </c>
      <c r="E164" s="4" t="s">
        <v>4</v>
      </c>
      <c r="F164" s="4" t="s">
        <v>7</v>
      </c>
      <c r="G164" s="26" t="s">
        <v>9082</v>
      </c>
      <c r="H164" s="4">
        <v>5000.0</v>
      </c>
      <c r="I164" s="4" t="s">
        <v>9102</v>
      </c>
      <c r="J164" s="4"/>
    </row>
    <row r="165">
      <c r="A165" s="4" t="s">
        <v>9222</v>
      </c>
      <c r="B165" s="4" t="s">
        <v>17</v>
      </c>
      <c r="C165" s="4" t="s">
        <v>6</v>
      </c>
      <c r="D165" s="4" t="s">
        <v>9216</v>
      </c>
      <c r="E165" s="4" t="s">
        <v>6</v>
      </c>
      <c r="F165" s="4" t="s">
        <v>17</v>
      </c>
      <c r="G165" s="26" t="s">
        <v>9082</v>
      </c>
      <c r="H165" s="4">
        <v>10000.0</v>
      </c>
      <c r="I165" s="4" t="s">
        <v>9102</v>
      </c>
      <c r="J165" s="4"/>
    </row>
    <row r="166">
      <c r="A166" s="4" t="s">
        <v>9223</v>
      </c>
      <c r="B166" s="4" t="s">
        <v>16</v>
      </c>
      <c r="C166" s="4" t="s">
        <v>18</v>
      </c>
      <c r="D166" s="4" t="s">
        <v>9216</v>
      </c>
      <c r="E166" s="4" t="s">
        <v>18</v>
      </c>
      <c r="F166" s="4" t="s">
        <v>16</v>
      </c>
      <c r="G166" s="4" t="s">
        <v>9082</v>
      </c>
      <c r="H166" s="4">
        <v>5000.0</v>
      </c>
      <c r="I166" s="4" t="s">
        <v>9102</v>
      </c>
      <c r="J166" s="4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6" t="s">
        <v>9224</v>
      </c>
      <c r="B167" s="26" t="s">
        <v>103</v>
      </c>
      <c r="C167" s="26" t="s">
        <v>105</v>
      </c>
      <c r="D167" s="26" t="s">
        <v>9225</v>
      </c>
      <c r="E167" s="26" t="s">
        <v>103</v>
      </c>
      <c r="F167" s="26" t="s">
        <v>105</v>
      </c>
      <c r="G167" s="422">
        <v>46054.0</v>
      </c>
      <c r="H167" s="26">
        <v>10000.0</v>
      </c>
      <c r="I167" s="26" t="s">
        <v>9226</v>
      </c>
      <c r="J167" s="26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4" t="s">
        <v>9227</v>
      </c>
      <c r="B168" s="4" t="s">
        <v>17</v>
      </c>
      <c r="C168" s="4" t="s">
        <v>18</v>
      </c>
      <c r="D168" s="4" t="s">
        <v>9228</v>
      </c>
      <c r="E168" s="4" t="s">
        <v>17</v>
      </c>
      <c r="F168" s="4" t="s">
        <v>18</v>
      </c>
      <c r="G168" s="4" t="s">
        <v>9082</v>
      </c>
      <c r="H168" s="4">
        <v>5000.0</v>
      </c>
      <c r="I168" s="4" t="s">
        <v>9174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4" t="s">
        <v>9229</v>
      </c>
      <c r="B169" s="4" t="s">
        <v>103</v>
      </c>
      <c r="C169" s="4" t="s">
        <v>19</v>
      </c>
      <c r="D169" s="4" t="s">
        <v>9230</v>
      </c>
      <c r="E169" s="4" t="s">
        <v>19</v>
      </c>
      <c r="F169" s="4" t="s">
        <v>103</v>
      </c>
      <c r="G169" s="4" t="s">
        <v>9082</v>
      </c>
      <c r="H169" s="4">
        <v>5000.0</v>
      </c>
      <c r="I169" s="4" t="s">
        <v>9174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4" t="s">
        <v>9231</v>
      </c>
      <c r="B170" s="4" t="s">
        <v>105</v>
      </c>
      <c r="C170" s="4" t="s">
        <v>17</v>
      </c>
      <c r="D170" s="4" t="s">
        <v>9230</v>
      </c>
      <c r="E170" s="4" t="s">
        <v>105</v>
      </c>
      <c r="F170" s="4" t="s">
        <v>17</v>
      </c>
      <c r="G170" s="4" t="s">
        <v>9082</v>
      </c>
      <c r="H170" s="4">
        <v>5000.0</v>
      </c>
      <c r="I170" s="4" t="s">
        <v>9174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4" t="s">
        <v>9232</v>
      </c>
      <c r="B171" s="4" t="s">
        <v>17</v>
      </c>
      <c r="C171" s="4" t="s">
        <v>9</v>
      </c>
      <c r="D171" s="4" t="s">
        <v>9233</v>
      </c>
      <c r="E171" s="4" t="s">
        <v>17</v>
      </c>
      <c r="F171" s="4" t="s">
        <v>9</v>
      </c>
      <c r="G171" s="36">
        <v>46024.0</v>
      </c>
      <c r="H171" s="4">
        <v>10000.0</v>
      </c>
      <c r="I171" s="4" t="s">
        <v>9109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4" t="s">
        <v>9234</v>
      </c>
      <c r="B172" s="4" t="s">
        <v>9</v>
      </c>
      <c r="C172" s="4" t="s">
        <v>17</v>
      </c>
      <c r="D172" s="4" t="s">
        <v>9235</v>
      </c>
      <c r="E172" s="4" t="s">
        <v>17</v>
      </c>
      <c r="F172" s="4" t="s">
        <v>9</v>
      </c>
      <c r="G172" s="4" t="s">
        <v>9082</v>
      </c>
      <c r="H172" s="4">
        <v>5000.0</v>
      </c>
      <c r="I172" s="4" t="s">
        <v>9174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4" t="s">
        <v>9236</v>
      </c>
      <c r="B173" s="4" t="s">
        <v>17</v>
      </c>
      <c r="C173" s="4" t="s">
        <v>115</v>
      </c>
      <c r="D173" s="4" t="s">
        <v>9237</v>
      </c>
      <c r="E173" s="4" t="s">
        <v>115</v>
      </c>
      <c r="F173" s="4" t="s">
        <v>17</v>
      </c>
      <c r="G173" s="36">
        <v>46024.0</v>
      </c>
      <c r="H173" s="4">
        <v>5000.0</v>
      </c>
      <c r="I173" s="4" t="s">
        <v>9130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4" t="s">
        <v>9238</v>
      </c>
      <c r="B174" s="4" t="s">
        <v>17</v>
      </c>
      <c r="C174" s="4" t="s">
        <v>105</v>
      </c>
      <c r="D174" s="4" t="s">
        <v>9239</v>
      </c>
      <c r="E174" s="4" t="s">
        <v>105</v>
      </c>
      <c r="F174" s="4" t="s">
        <v>17</v>
      </c>
      <c r="G174" s="36">
        <v>46024.0</v>
      </c>
      <c r="H174" s="4">
        <v>10000.0</v>
      </c>
      <c r="I174" s="4" t="s">
        <v>9109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47" t="s">
        <v>9240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4" t="s">
        <v>9241</v>
      </c>
      <c r="B176" s="4" t="s">
        <v>12</v>
      </c>
      <c r="C176" s="4" t="s">
        <v>13</v>
      </c>
      <c r="D176" s="4" t="s">
        <v>8917</v>
      </c>
      <c r="E176" s="4" t="s">
        <v>13</v>
      </c>
      <c r="F176" s="4" t="s">
        <v>12</v>
      </c>
      <c r="G176" s="4" t="s">
        <v>9082</v>
      </c>
      <c r="H176" s="4">
        <v>5000.0</v>
      </c>
      <c r="I176" s="4" t="s">
        <v>9130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4" t="s">
        <v>9242</v>
      </c>
      <c r="B177" s="4" t="s">
        <v>103</v>
      </c>
      <c r="C177" s="4" t="s">
        <v>17</v>
      </c>
      <c r="D177" s="4" t="s">
        <v>8917</v>
      </c>
      <c r="E177" s="4" t="s">
        <v>103</v>
      </c>
      <c r="F177" s="4" t="s">
        <v>17</v>
      </c>
      <c r="G177" s="4" t="s">
        <v>9082</v>
      </c>
      <c r="H177" s="4">
        <v>5000.0</v>
      </c>
      <c r="I177" s="4" t="s">
        <v>9109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4" t="s">
        <v>9243</v>
      </c>
      <c r="B178" s="4" t="s">
        <v>105</v>
      </c>
      <c r="C178" s="4" t="s">
        <v>9</v>
      </c>
      <c r="D178" s="4" t="s">
        <v>8917</v>
      </c>
      <c r="E178" s="4" t="s">
        <v>105</v>
      </c>
      <c r="F178" s="4" t="s">
        <v>9</v>
      </c>
      <c r="G178" s="4" t="s">
        <v>9082</v>
      </c>
      <c r="H178" s="4">
        <v>5000.0</v>
      </c>
      <c r="I178" s="4" t="s">
        <v>9109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4" t="s">
        <v>9244</v>
      </c>
      <c r="B179" s="4" t="s">
        <v>109</v>
      </c>
      <c r="C179" s="4" t="s">
        <v>115</v>
      </c>
      <c r="D179" s="4" t="s">
        <v>8815</v>
      </c>
      <c r="E179" s="4" t="s">
        <v>109</v>
      </c>
      <c r="F179" s="4" t="s">
        <v>115</v>
      </c>
      <c r="G179" s="36">
        <v>46054.0</v>
      </c>
      <c r="H179" s="4">
        <v>3000.0</v>
      </c>
      <c r="I179" s="4" t="s">
        <v>9130</v>
      </c>
      <c r="J179" s="8"/>
    </row>
    <row r="180">
      <c r="A180" s="4" t="s">
        <v>9245</v>
      </c>
      <c r="B180" s="4" t="s">
        <v>103</v>
      </c>
      <c r="C180" s="4" t="s">
        <v>9</v>
      </c>
      <c r="D180" s="4" t="s">
        <v>9246</v>
      </c>
      <c r="E180" s="4" t="s">
        <v>103</v>
      </c>
      <c r="F180" s="4" t="s">
        <v>9</v>
      </c>
      <c r="G180" s="4" t="s">
        <v>9082</v>
      </c>
      <c r="H180" s="4">
        <v>5000.0</v>
      </c>
      <c r="I180" s="4" t="s">
        <v>9109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4" t="s">
        <v>9247</v>
      </c>
      <c r="B181" s="4" t="s">
        <v>105</v>
      </c>
      <c r="C181" s="4" t="s">
        <v>5</v>
      </c>
      <c r="D181" s="4" t="s">
        <v>9246</v>
      </c>
      <c r="E181" s="4" t="s">
        <v>5</v>
      </c>
      <c r="F181" s="4" t="s">
        <v>105</v>
      </c>
      <c r="G181" s="4" t="s">
        <v>9082</v>
      </c>
      <c r="H181" s="4">
        <v>5000.0</v>
      </c>
      <c r="I181" s="4" t="s">
        <v>9109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4" t="s">
        <v>9248</v>
      </c>
      <c r="B182" s="4" t="s">
        <v>4</v>
      </c>
      <c r="C182" s="4" t="s">
        <v>9249</v>
      </c>
      <c r="D182" s="4" t="s">
        <v>9246</v>
      </c>
      <c r="E182" s="4" t="s">
        <v>17</v>
      </c>
      <c r="F182" s="4" t="s">
        <v>4</v>
      </c>
      <c r="G182" s="4" t="s">
        <v>9082</v>
      </c>
      <c r="H182" s="4">
        <v>10000.0</v>
      </c>
      <c r="I182" s="4" t="s">
        <v>9109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4" t="s">
        <v>9250</v>
      </c>
      <c r="B183" s="4" t="s">
        <v>19</v>
      </c>
      <c r="C183" s="4" t="s">
        <v>10</v>
      </c>
      <c r="D183" s="4" t="s">
        <v>9246</v>
      </c>
      <c r="E183" s="4" t="s">
        <v>10</v>
      </c>
      <c r="F183" s="4" t="s">
        <v>19</v>
      </c>
      <c r="G183" s="4" t="s">
        <v>9082</v>
      </c>
      <c r="H183" s="4">
        <v>5000.0</v>
      </c>
      <c r="I183" s="4" t="s">
        <v>9109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4" t="s">
        <v>9251</v>
      </c>
      <c r="B184" s="4" t="s">
        <v>120</v>
      </c>
      <c r="C184" s="4" t="s">
        <v>106</v>
      </c>
      <c r="D184" s="4" t="s">
        <v>9252</v>
      </c>
      <c r="E184" s="4" t="s">
        <v>120</v>
      </c>
      <c r="F184" s="4" t="s">
        <v>106</v>
      </c>
      <c r="G184" s="36">
        <v>46054.0</v>
      </c>
      <c r="H184" s="4">
        <v>3000.0</v>
      </c>
      <c r="I184" s="4" t="s">
        <v>9253</v>
      </c>
    </row>
    <row r="185">
      <c r="A185" s="4" t="s">
        <v>9254</v>
      </c>
      <c r="B185" s="4" t="s">
        <v>8</v>
      </c>
      <c r="C185" s="4" t="s">
        <v>109</v>
      </c>
      <c r="D185" s="4" t="s">
        <v>9255</v>
      </c>
      <c r="E185" s="4" t="s">
        <v>109</v>
      </c>
      <c r="F185" s="4" t="s">
        <v>8</v>
      </c>
      <c r="G185" s="36">
        <v>46024.0</v>
      </c>
      <c r="H185" s="4">
        <v>3000.0</v>
      </c>
      <c r="I185" s="4" t="s">
        <v>9130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4" t="s">
        <v>9256</v>
      </c>
      <c r="B186" s="4" t="s">
        <v>18</v>
      </c>
      <c r="C186" s="4" t="s">
        <v>7742</v>
      </c>
      <c r="D186" s="4" t="s">
        <v>9255</v>
      </c>
      <c r="E186" s="4" t="s">
        <v>17</v>
      </c>
      <c r="F186" s="4" t="s">
        <v>18</v>
      </c>
      <c r="G186" s="4" t="s">
        <v>8967</v>
      </c>
      <c r="H186" s="4">
        <v>5000.0</v>
      </c>
      <c r="I186" s="4" t="s">
        <v>9130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4" t="s">
        <v>9257</v>
      </c>
      <c r="B187" s="4" t="s">
        <v>7</v>
      </c>
      <c r="C187" s="4" t="s">
        <v>17</v>
      </c>
      <c r="D187" s="4" t="s">
        <v>9258</v>
      </c>
      <c r="E187" s="4" t="s">
        <v>7</v>
      </c>
      <c r="F187" s="4" t="s">
        <v>17</v>
      </c>
      <c r="G187" s="36">
        <v>46054.0</v>
      </c>
      <c r="H187" s="4">
        <v>10000.0</v>
      </c>
      <c r="I187" s="4" t="s">
        <v>9109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4" t="s">
        <v>9259</v>
      </c>
      <c r="B188" s="4" t="s">
        <v>6</v>
      </c>
      <c r="C188" s="4" t="s">
        <v>9260</v>
      </c>
      <c r="D188" s="4" t="s">
        <v>9261</v>
      </c>
      <c r="E188" s="4" t="s">
        <v>8</v>
      </c>
      <c r="F188" s="4" t="s">
        <v>6</v>
      </c>
      <c r="G188" s="4" t="s">
        <v>9262</v>
      </c>
      <c r="H188" s="4">
        <v>10000.0</v>
      </c>
      <c r="I188" s="4" t="s">
        <v>9109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4" t="s">
        <v>9263</v>
      </c>
      <c r="B189" s="4" t="s">
        <v>7</v>
      </c>
      <c r="C189" s="4" t="s">
        <v>7742</v>
      </c>
      <c r="D189" s="4" t="s">
        <v>9264</v>
      </c>
      <c r="E189" s="4" t="s">
        <v>7</v>
      </c>
      <c r="F189" s="4" t="s">
        <v>17</v>
      </c>
      <c r="G189" s="4" t="s">
        <v>9082</v>
      </c>
      <c r="H189" s="4">
        <v>10000.0</v>
      </c>
      <c r="I189" s="4" t="s">
        <v>9102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4" t="s">
        <v>9265</v>
      </c>
      <c r="B190" s="4" t="s">
        <v>9</v>
      </c>
      <c r="C190" s="4" t="s">
        <v>9266</v>
      </c>
      <c r="D190" s="4" t="s">
        <v>9261</v>
      </c>
      <c r="E190" s="4" t="s">
        <v>115</v>
      </c>
      <c r="F190" s="4" t="s">
        <v>9</v>
      </c>
      <c r="G190" s="4" t="s">
        <v>9267</v>
      </c>
      <c r="H190" s="4">
        <v>7500.0</v>
      </c>
      <c r="I190" s="4" t="s">
        <v>9109</v>
      </c>
      <c r="J190" s="8"/>
    </row>
    <row r="191">
      <c r="A191" s="4" t="s">
        <v>9268</v>
      </c>
      <c r="B191" s="4" t="s">
        <v>106</v>
      </c>
      <c r="C191" s="4" t="s">
        <v>107</v>
      </c>
      <c r="D191" s="4" t="s">
        <v>9269</v>
      </c>
      <c r="E191" s="4" t="s">
        <v>107</v>
      </c>
      <c r="F191" s="4" t="s">
        <v>106</v>
      </c>
      <c r="G191" s="36">
        <v>46024.0</v>
      </c>
      <c r="H191" s="4">
        <v>3000.0</v>
      </c>
      <c r="I191" s="4" t="s">
        <v>9253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4" t="s">
        <v>9270</v>
      </c>
      <c r="B192" s="4" t="s">
        <v>18</v>
      </c>
      <c r="C192" s="4" t="s">
        <v>9271</v>
      </c>
      <c r="D192" s="4" t="s">
        <v>9272</v>
      </c>
      <c r="E192" s="4" t="s">
        <v>18</v>
      </c>
      <c r="F192" s="4" t="s">
        <v>8</v>
      </c>
      <c r="G192" s="36">
        <v>46083.0</v>
      </c>
      <c r="H192" s="4">
        <v>5000.0</v>
      </c>
      <c r="I192" s="4" t="s">
        <v>9130</v>
      </c>
      <c r="J192" s="8"/>
    </row>
    <row r="193">
      <c r="A193" s="4" t="s">
        <v>9273</v>
      </c>
      <c r="B193" s="4" t="s">
        <v>103</v>
      </c>
      <c r="C193" s="4" t="s">
        <v>9274</v>
      </c>
      <c r="D193" s="4" t="s">
        <v>9275</v>
      </c>
      <c r="E193" s="4" t="s">
        <v>9274</v>
      </c>
      <c r="F193" s="4" t="s">
        <v>103</v>
      </c>
      <c r="G193" s="36">
        <v>46024.0</v>
      </c>
      <c r="H193" s="4">
        <v>5000.0</v>
      </c>
      <c r="I193" s="4" t="s">
        <v>9168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4" t="s">
        <v>9276</v>
      </c>
      <c r="B194" s="4" t="s">
        <v>9</v>
      </c>
      <c r="C194" s="4" t="s">
        <v>9277</v>
      </c>
      <c r="D194" s="4" t="s">
        <v>9278</v>
      </c>
      <c r="E194" s="4" t="s">
        <v>9</v>
      </c>
      <c r="F194" s="4" t="s">
        <v>9277</v>
      </c>
      <c r="G194" s="4" t="s">
        <v>9082</v>
      </c>
      <c r="H194" s="4">
        <v>3000.0</v>
      </c>
      <c r="I194" s="4" t="s">
        <v>9135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4" t="s">
        <v>9279</v>
      </c>
      <c r="B195" s="4" t="s">
        <v>6</v>
      </c>
      <c r="C195" s="4" t="s">
        <v>7</v>
      </c>
      <c r="D195" s="4" t="s">
        <v>9280</v>
      </c>
      <c r="E195" s="4" t="s">
        <v>7</v>
      </c>
      <c r="F195" s="4" t="s">
        <v>6</v>
      </c>
      <c r="G195" s="36">
        <v>46054.0</v>
      </c>
      <c r="H195" s="4">
        <v>10000.0</v>
      </c>
      <c r="I195" s="4" t="s">
        <v>9109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4" t="s">
        <v>9281</v>
      </c>
      <c r="B196" s="4" t="s">
        <v>9277</v>
      </c>
      <c r="C196" s="4" t="s">
        <v>9</v>
      </c>
      <c r="D196" s="4" t="s">
        <v>9282</v>
      </c>
      <c r="E196" s="4" t="s">
        <v>9277</v>
      </c>
      <c r="F196" s="4" t="s">
        <v>9</v>
      </c>
      <c r="G196" s="4" t="s">
        <v>9082</v>
      </c>
      <c r="H196" s="4">
        <v>3000.0</v>
      </c>
      <c r="I196" s="4" t="s">
        <v>9135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4" t="s">
        <v>9283</v>
      </c>
      <c r="B197" s="4" t="s">
        <v>109</v>
      </c>
      <c r="C197" s="4" t="s">
        <v>9</v>
      </c>
      <c r="D197" s="4" t="s">
        <v>9284</v>
      </c>
      <c r="E197" s="4" t="s">
        <v>9</v>
      </c>
      <c r="F197" s="4" t="s">
        <v>109</v>
      </c>
      <c r="G197" s="36">
        <v>46024.0</v>
      </c>
      <c r="H197" s="4">
        <v>3000.0</v>
      </c>
      <c r="I197" s="4" t="s">
        <v>9130</v>
      </c>
      <c r="J197" s="8"/>
    </row>
    <row r="198">
      <c r="A198" s="4" t="s">
        <v>9285</v>
      </c>
      <c r="B198" s="4" t="s">
        <v>16</v>
      </c>
      <c r="C198" s="4" t="s">
        <v>9277</v>
      </c>
      <c r="D198" s="4" t="s">
        <v>9286</v>
      </c>
      <c r="E198" s="4" t="s">
        <v>9277</v>
      </c>
      <c r="F198" s="4" t="s">
        <v>16</v>
      </c>
      <c r="G198" s="4" t="s">
        <v>9082</v>
      </c>
      <c r="H198" s="4">
        <v>5000.0</v>
      </c>
      <c r="I198" s="4" t="s">
        <v>9109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4" t="s">
        <v>9287</v>
      </c>
      <c r="B199" s="4" t="s">
        <v>10</v>
      </c>
      <c r="C199" s="4" t="s">
        <v>17</v>
      </c>
      <c r="D199" s="4" t="s">
        <v>9288</v>
      </c>
      <c r="E199" s="4" t="s">
        <v>10</v>
      </c>
      <c r="F199" s="4" t="s">
        <v>17</v>
      </c>
      <c r="G199" s="4" t="s">
        <v>9289</v>
      </c>
      <c r="H199" s="4">
        <v>15000.0</v>
      </c>
      <c r="I199" s="4" t="s">
        <v>9109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4" t="s">
        <v>9290</v>
      </c>
      <c r="B200" s="4" t="s">
        <v>9</v>
      </c>
      <c r="C200" s="4" t="s">
        <v>103</v>
      </c>
      <c r="D200" s="4" t="s">
        <v>9291</v>
      </c>
      <c r="E200" s="4" t="s">
        <v>9</v>
      </c>
      <c r="F200" s="4" t="s">
        <v>103</v>
      </c>
      <c r="G200" s="4" t="s">
        <v>9082</v>
      </c>
      <c r="H200" s="4">
        <v>5000.0</v>
      </c>
      <c r="I200" s="4" t="s">
        <v>9154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4" t="s">
        <v>9292</v>
      </c>
      <c r="B201" s="4" t="s">
        <v>9277</v>
      </c>
      <c r="C201" s="4" t="s">
        <v>16</v>
      </c>
      <c r="D201" s="4" t="s">
        <v>9291</v>
      </c>
      <c r="E201" s="4" t="s">
        <v>16</v>
      </c>
      <c r="F201" s="4" t="s">
        <v>9277</v>
      </c>
      <c r="G201" s="4" t="s">
        <v>9082</v>
      </c>
      <c r="H201" s="4">
        <v>5000.0</v>
      </c>
      <c r="I201" s="4" t="s">
        <v>9109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4" t="s">
        <v>9293</v>
      </c>
      <c r="B202" s="4" t="s">
        <v>106</v>
      </c>
      <c r="C202" s="4" t="s">
        <v>9277</v>
      </c>
      <c r="D202" s="4" t="s">
        <v>9294</v>
      </c>
      <c r="E202" s="4" t="s">
        <v>9277</v>
      </c>
      <c r="F202" s="4" t="s">
        <v>106</v>
      </c>
      <c r="G202" s="4" t="s">
        <v>8967</v>
      </c>
      <c r="H202" s="4">
        <v>5000.0</v>
      </c>
      <c r="I202" s="4" t="s">
        <v>9253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4" t="s">
        <v>9295</v>
      </c>
      <c r="B203" s="4" t="s">
        <v>19</v>
      </c>
      <c r="C203" s="4" t="s">
        <v>9296</v>
      </c>
      <c r="D203" s="4" t="s">
        <v>9297</v>
      </c>
      <c r="E203" s="4" t="s">
        <v>107</v>
      </c>
      <c r="F203" s="4" t="s">
        <v>9274</v>
      </c>
      <c r="G203" s="4" t="s">
        <v>9298</v>
      </c>
      <c r="H203" s="4">
        <v>5000.0</v>
      </c>
      <c r="I203" s="4" t="s">
        <v>9168</v>
      </c>
      <c r="J203" s="8"/>
    </row>
    <row r="204">
      <c r="A204" s="4" t="s">
        <v>9299</v>
      </c>
      <c r="B204" s="4" t="s">
        <v>103</v>
      </c>
      <c r="C204" s="4" t="s">
        <v>17</v>
      </c>
      <c r="D204" s="4" t="s">
        <v>8820</v>
      </c>
      <c r="E204" s="4" t="s">
        <v>17</v>
      </c>
      <c r="F204" s="4" t="s">
        <v>103</v>
      </c>
      <c r="G204" s="4" t="s">
        <v>8967</v>
      </c>
      <c r="H204" s="4">
        <v>5000.0</v>
      </c>
      <c r="I204" s="4" t="s">
        <v>9130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4" t="s">
        <v>9300</v>
      </c>
      <c r="B205" s="4" t="s">
        <v>16</v>
      </c>
      <c r="C205" s="4" t="s">
        <v>7</v>
      </c>
      <c r="D205" s="4" t="s">
        <v>8820</v>
      </c>
      <c r="E205" s="4" t="s">
        <v>7</v>
      </c>
      <c r="F205" s="4" t="s">
        <v>16</v>
      </c>
      <c r="G205" s="36">
        <v>46024.0</v>
      </c>
      <c r="H205" s="4">
        <v>10000.0</v>
      </c>
      <c r="I205" s="4" t="s">
        <v>9109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4" t="s">
        <v>9301</v>
      </c>
      <c r="B206" s="4" t="s">
        <v>5</v>
      </c>
      <c r="C206" s="4" t="s">
        <v>9302</v>
      </c>
      <c r="D206" s="4" t="s">
        <v>8820</v>
      </c>
      <c r="E206" s="4" t="s">
        <v>5</v>
      </c>
      <c r="F206" s="4" t="s">
        <v>6</v>
      </c>
      <c r="G206" s="4" t="s">
        <v>8960</v>
      </c>
      <c r="H206" s="4">
        <v>10000.0</v>
      </c>
      <c r="I206" s="4" t="s">
        <v>9168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4" t="s">
        <v>9303</v>
      </c>
      <c r="B207" s="4" t="s">
        <v>115</v>
      </c>
      <c r="C207" s="4" t="s">
        <v>105</v>
      </c>
      <c r="D207" s="4" t="s">
        <v>9304</v>
      </c>
      <c r="E207" s="4" t="s">
        <v>105</v>
      </c>
      <c r="F207" s="4" t="s">
        <v>115</v>
      </c>
      <c r="G207" s="4" t="s">
        <v>9082</v>
      </c>
      <c r="H207" s="4">
        <v>5000.0</v>
      </c>
      <c r="I207" s="4" t="s">
        <v>9109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4" t="s">
        <v>9305</v>
      </c>
      <c r="B208" s="4" t="s">
        <v>10</v>
      </c>
      <c r="C208" s="4" t="s">
        <v>8</v>
      </c>
      <c r="D208" s="4" t="s">
        <v>9304</v>
      </c>
      <c r="E208" s="4" t="s">
        <v>8</v>
      </c>
      <c r="F208" s="4" t="s">
        <v>10</v>
      </c>
      <c r="G208" s="4" t="s">
        <v>9082</v>
      </c>
      <c r="H208" s="4">
        <v>7000.0</v>
      </c>
      <c r="I208" s="4" t="s">
        <v>9109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4" t="s">
        <v>9306</v>
      </c>
      <c r="B209" s="4" t="s">
        <v>4</v>
      </c>
      <c r="C209" s="4" t="s">
        <v>9307</v>
      </c>
      <c r="D209" s="4" t="s">
        <v>9308</v>
      </c>
      <c r="E209" s="4" t="s">
        <v>17</v>
      </c>
      <c r="F209" s="4" t="s">
        <v>4</v>
      </c>
      <c r="G209" s="4" t="s">
        <v>9309</v>
      </c>
      <c r="H209" s="4">
        <v>10000.0</v>
      </c>
      <c r="I209" s="4" t="s">
        <v>9168</v>
      </c>
      <c r="J209" s="8"/>
    </row>
    <row r="210">
      <c r="A210" s="4" t="s">
        <v>9310</v>
      </c>
      <c r="B210" s="4" t="s">
        <v>10</v>
      </c>
      <c r="C210" s="4" t="s">
        <v>7</v>
      </c>
      <c r="D210" s="4" t="s">
        <v>9311</v>
      </c>
      <c r="E210" s="4" t="s">
        <v>10</v>
      </c>
      <c r="F210" s="4" t="s">
        <v>7</v>
      </c>
      <c r="G210" s="4" t="s">
        <v>9082</v>
      </c>
      <c r="H210" s="4">
        <v>10000.0</v>
      </c>
      <c r="I210" s="4" t="s">
        <v>9109</v>
      </c>
      <c r="J210" s="8"/>
    </row>
    <row r="211">
      <c r="A211" s="4" t="s">
        <v>9312</v>
      </c>
      <c r="B211" s="4" t="s">
        <v>16</v>
      </c>
      <c r="C211" s="4" t="s">
        <v>115</v>
      </c>
      <c r="D211" s="4" t="s">
        <v>9311</v>
      </c>
      <c r="E211" s="4" t="s">
        <v>115</v>
      </c>
      <c r="F211" s="4" t="s">
        <v>16</v>
      </c>
      <c r="G211" s="4" t="s">
        <v>9082</v>
      </c>
      <c r="H211" s="4">
        <v>5000.0</v>
      </c>
      <c r="I211" s="4" t="s">
        <v>9109</v>
      </c>
      <c r="J211" s="8"/>
    </row>
    <row r="212">
      <c r="A212" s="4" t="s">
        <v>9313</v>
      </c>
      <c r="B212" s="4" t="s">
        <v>17</v>
      </c>
      <c r="C212" s="4" t="s">
        <v>9314</v>
      </c>
      <c r="D212" s="4" t="s">
        <v>9311</v>
      </c>
      <c r="E212" s="4" t="s">
        <v>19</v>
      </c>
      <c r="F212" s="4" t="s">
        <v>17</v>
      </c>
      <c r="G212" s="4" t="s">
        <v>9082</v>
      </c>
      <c r="H212" s="4">
        <v>5000.0</v>
      </c>
      <c r="I212" s="4" t="s">
        <v>9102</v>
      </c>
      <c r="J212" s="8"/>
    </row>
    <row r="213">
      <c r="A213" s="4" t="s">
        <v>9315</v>
      </c>
      <c r="B213" s="4" t="s">
        <v>16</v>
      </c>
      <c r="C213" s="4" t="s">
        <v>115</v>
      </c>
      <c r="D213" s="4" t="s">
        <v>9316</v>
      </c>
      <c r="E213" s="4" t="s">
        <v>16</v>
      </c>
      <c r="F213" s="4" t="s">
        <v>115</v>
      </c>
      <c r="G213" s="4" t="s">
        <v>9082</v>
      </c>
      <c r="H213" s="4">
        <v>5000.0</v>
      </c>
      <c r="I213" s="4" t="s">
        <v>9102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4" t="s">
        <v>9317</v>
      </c>
      <c r="B214" s="4" t="s">
        <v>10</v>
      </c>
      <c r="C214" s="4" t="s">
        <v>4</v>
      </c>
      <c r="D214" s="4" t="s">
        <v>9316</v>
      </c>
      <c r="E214" s="4" t="s">
        <v>10</v>
      </c>
      <c r="F214" s="4" t="s">
        <v>4</v>
      </c>
      <c r="G214" s="4" t="s">
        <v>9082</v>
      </c>
      <c r="H214" s="4">
        <v>10000.0</v>
      </c>
      <c r="I214" s="4" t="s">
        <v>9109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4" t="s">
        <v>9318</v>
      </c>
      <c r="B215" s="4" t="s">
        <v>8</v>
      </c>
      <c r="C215" s="4" t="s">
        <v>17</v>
      </c>
      <c r="D215" s="4" t="s">
        <v>9316</v>
      </c>
      <c r="E215" s="4" t="s">
        <v>8</v>
      </c>
      <c r="F215" s="4" t="s">
        <v>17</v>
      </c>
      <c r="G215" s="4" t="s">
        <v>9082</v>
      </c>
      <c r="H215" s="4">
        <v>7000.0</v>
      </c>
      <c r="I215" s="4" t="s">
        <v>9109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4" t="s">
        <v>9319</v>
      </c>
      <c r="B216" s="4" t="s">
        <v>9277</v>
      </c>
      <c r="C216" s="4" t="s">
        <v>107</v>
      </c>
      <c r="D216" s="4" t="s">
        <v>9316</v>
      </c>
      <c r="E216" s="4" t="s">
        <v>9277</v>
      </c>
      <c r="F216" s="4" t="s">
        <v>107</v>
      </c>
      <c r="G216" s="4" t="s">
        <v>9082</v>
      </c>
      <c r="H216" s="4">
        <v>3000.0</v>
      </c>
      <c r="I216" s="4" t="s">
        <v>9135</v>
      </c>
      <c r="J216" s="8"/>
    </row>
    <row r="217">
      <c r="A217" s="4" t="s">
        <v>9320</v>
      </c>
      <c r="B217" s="4" t="s">
        <v>103</v>
      </c>
      <c r="C217" s="4" t="s">
        <v>19</v>
      </c>
      <c r="D217" s="4" t="s">
        <v>9316</v>
      </c>
      <c r="E217" s="4" t="s">
        <v>103</v>
      </c>
      <c r="F217" s="4" t="s">
        <v>19</v>
      </c>
      <c r="G217" s="4" t="s">
        <v>9082</v>
      </c>
      <c r="H217" s="4">
        <v>5000.0</v>
      </c>
      <c r="I217" s="4" t="s">
        <v>9109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4" t="s">
        <v>9321</v>
      </c>
      <c r="B218" s="4" t="s">
        <v>109</v>
      </c>
      <c r="C218" s="4" t="s">
        <v>9322</v>
      </c>
      <c r="D218" s="4" t="s">
        <v>9323</v>
      </c>
      <c r="E218" s="4" t="s">
        <v>120</v>
      </c>
      <c r="F218" s="4" t="s">
        <v>6</v>
      </c>
      <c r="G218" s="4" t="s">
        <v>9262</v>
      </c>
      <c r="H218" s="4">
        <v>3000.0</v>
      </c>
      <c r="I218" s="4" t="s">
        <v>9130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4" t="s">
        <v>9324</v>
      </c>
      <c r="B219" s="4" t="s">
        <v>103</v>
      </c>
      <c r="C219" s="4" t="s">
        <v>19</v>
      </c>
      <c r="D219" s="4" t="s">
        <v>8921</v>
      </c>
      <c r="E219" s="4" t="s">
        <v>19</v>
      </c>
      <c r="F219" s="4" t="s">
        <v>103</v>
      </c>
      <c r="G219" s="4" t="s">
        <v>9082</v>
      </c>
      <c r="H219" s="4">
        <v>5000.0</v>
      </c>
      <c r="I219" s="4" t="s">
        <v>9109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4" t="s">
        <v>9325</v>
      </c>
      <c r="B220" s="4" t="s">
        <v>9274</v>
      </c>
      <c r="C220" s="4" t="s">
        <v>105</v>
      </c>
      <c r="D220" s="4" t="s">
        <v>9326</v>
      </c>
      <c r="E220" s="4" t="s">
        <v>105</v>
      </c>
      <c r="F220" s="4" t="s">
        <v>9274</v>
      </c>
      <c r="G220" s="36">
        <v>46024.0</v>
      </c>
      <c r="H220" s="4">
        <v>7000.0</v>
      </c>
      <c r="I220" s="4" t="s">
        <v>9109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4" t="s">
        <v>9327</v>
      </c>
      <c r="B221" s="4" t="s">
        <v>9277</v>
      </c>
      <c r="C221" s="4" t="s">
        <v>107</v>
      </c>
      <c r="D221" s="4" t="s">
        <v>8921</v>
      </c>
      <c r="E221" s="4" t="s">
        <v>9277</v>
      </c>
      <c r="F221" s="4" t="s">
        <v>107</v>
      </c>
      <c r="G221" s="4" t="s">
        <v>9082</v>
      </c>
      <c r="H221" s="4">
        <v>3000.0</v>
      </c>
      <c r="I221" s="4" t="s">
        <v>9130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4" t="s">
        <v>9328</v>
      </c>
      <c r="B222" s="4" t="s">
        <v>8</v>
      </c>
      <c r="C222" s="4" t="s">
        <v>9274</v>
      </c>
      <c r="D222" s="4" t="s">
        <v>8938</v>
      </c>
      <c r="E222" s="4" t="s">
        <v>8</v>
      </c>
      <c r="F222" s="4" t="s">
        <v>9274</v>
      </c>
      <c r="G222" s="4" t="s">
        <v>9082</v>
      </c>
      <c r="H222" s="4">
        <v>3000.0</v>
      </c>
      <c r="I222" s="4" t="s">
        <v>9168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4" t="s">
        <v>9329</v>
      </c>
      <c r="B223" s="4" t="s">
        <v>115</v>
      </c>
      <c r="C223" s="4" t="s">
        <v>103</v>
      </c>
      <c r="D223" s="4" t="s">
        <v>9330</v>
      </c>
      <c r="E223" s="4" t="s">
        <v>115</v>
      </c>
      <c r="F223" s="4" t="s">
        <v>103</v>
      </c>
      <c r="G223" s="36">
        <v>46054.0</v>
      </c>
      <c r="H223" s="4">
        <v>5000.0</v>
      </c>
      <c r="I223" s="4" t="s">
        <v>9109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4" t="s">
        <v>9331</v>
      </c>
      <c r="B224" s="4" t="s">
        <v>17</v>
      </c>
      <c r="C224" s="4" t="s">
        <v>123</v>
      </c>
      <c r="D224" s="4" t="s">
        <v>9332</v>
      </c>
      <c r="E224" s="4" t="s">
        <v>123</v>
      </c>
      <c r="F224" s="4" t="s">
        <v>17</v>
      </c>
      <c r="G224" s="4" t="s">
        <v>9024</v>
      </c>
      <c r="H224" s="4">
        <v>7000.0</v>
      </c>
      <c r="I224" s="4" t="s">
        <v>9130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4" t="s">
        <v>9333</v>
      </c>
      <c r="B225" s="4" t="s">
        <v>9274</v>
      </c>
      <c r="C225" s="4" t="s">
        <v>9334</v>
      </c>
      <c r="D225" s="4" t="s">
        <v>8843</v>
      </c>
      <c r="E225" s="4" t="s">
        <v>9274</v>
      </c>
      <c r="F225" s="4" t="s">
        <v>9277</v>
      </c>
      <c r="G225" s="4" t="s">
        <v>8960</v>
      </c>
      <c r="H225" s="4">
        <v>5000.0</v>
      </c>
      <c r="I225" s="4" t="s">
        <v>9130</v>
      </c>
      <c r="J225" s="8"/>
    </row>
    <row r="232">
      <c r="A232" s="33" t="s">
        <v>9335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46" t="s">
        <v>8949</v>
      </c>
      <c r="B233" s="46" t="s">
        <v>2737</v>
      </c>
      <c r="C233" s="46" t="s">
        <v>8604</v>
      </c>
      <c r="D233" s="46" t="s">
        <v>8605</v>
      </c>
      <c r="E233" s="46" t="s">
        <v>4823</v>
      </c>
      <c r="F233" s="46" t="s">
        <v>8950</v>
      </c>
      <c r="G233" s="46" t="s">
        <v>8951</v>
      </c>
      <c r="H233" s="46" t="s">
        <v>8607</v>
      </c>
      <c r="I233" s="46" t="s">
        <v>8952</v>
      </c>
      <c r="J233" s="46"/>
    </row>
    <row r="234">
      <c r="A234" s="4" t="s">
        <v>9336</v>
      </c>
      <c r="B234" s="4" t="s">
        <v>6</v>
      </c>
      <c r="C234" s="4" t="s">
        <v>11</v>
      </c>
      <c r="D234" s="4" t="s">
        <v>9337</v>
      </c>
      <c r="E234" s="4" t="s">
        <v>7838</v>
      </c>
      <c r="F234" s="4" t="s">
        <v>7838</v>
      </c>
      <c r="G234" s="4" t="s">
        <v>9338</v>
      </c>
      <c r="H234" s="4">
        <v>10000.0</v>
      </c>
      <c r="I234" s="4" t="s">
        <v>9109</v>
      </c>
      <c r="J234" s="8"/>
    </row>
    <row r="235">
      <c r="A235" s="4" t="s">
        <v>9339</v>
      </c>
      <c r="B235" s="4" t="s">
        <v>18</v>
      </c>
      <c r="C235" s="4" t="s">
        <v>9340</v>
      </c>
      <c r="D235" s="4" t="s">
        <v>9341</v>
      </c>
      <c r="E235" s="4" t="s">
        <v>7838</v>
      </c>
      <c r="F235" s="4" t="s">
        <v>7838</v>
      </c>
      <c r="G235" s="4" t="s">
        <v>7838</v>
      </c>
      <c r="H235" s="4">
        <v>10000.0</v>
      </c>
      <c r="I235" s="4" t="s">
        <v>9109</v>
      </c>
      <c r="J235" s="8"/>
    </row>
    <row r="236">
      <c r="A236" s="4" t="s">
        <v>9342</v>
      </c>
      <c r="B236" s="4" t="s">
        <v>103</v>
      </c>
      <c r="C236" s="4" t="s">
        <v>115</v>
      </c>
      <c r="D236" s="4" t="s">
        <v>9343</v>
      </c>
      <c r="E236" s="4" t="s">
        <v>7838</v>
      </c>
      <c r="F236" s="4" t="s">
        <v>7838</v>
      </c>
      <c r="G236" s="4" t="s">
        <v>7838</v>
      </c>
      <c r="H236" s="4">
        <v>5000.0</v>
      </c>
      <c r="I236" s="4" t="s">
        <v>9130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4" t="s">
        <v>9344</v>
      </c>
      <c r="B237" s="4" t="s">
        <v>123</v>
      </c>
      <c r="C237" s="4" t="s">
        <v>9274</v>
      </c>
      <c r="D237" s="4" t="s">
        <v>9343</v>
      </c>
      <c r="E237" s="4" t="s">
        <v>7838</v>
      </c>
      <c r="F237" s="4" t="s">
        <v>7838</v>
      </c>
      <c r="G237" s="4" t="s">
        <v>7838</v>
      </c>
      <c r="H237" s="4">
        <v>10000.0</v>
      </c>
      <c r="I237" s="4" t="s">
        <v>9109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4" t="s">
        <v>9345</v>
      </c>
      <c r="B238" s="4" t="s">
        <v>17</v>
      </c>
      <c r="C238" s="4" t="s">
        <v>107</v>
      </c>
      <c r="D238" s="4" t="s">
        <v>9343</v>
      </c>
      <c r="E238" s="4" t="s">
        <v>7838</v>
      </c>
      <c r="F238" s="4" t="s">
        <v>7838</v>
      </c>
      <c r="G238" s="4" t="s">
        <v>7838</v>
      </c>
      <c r="H238" s="4">
        <v>3000.0</v>
      </c>
      <c r="I238" s="4" t="s">
        <v>9253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4" t="s">
        <v>9346</v>
      </c>
      <c r="B239" s="4" t="s">
        <v>103</v>
      </c>
      <c r="C239" s="4" t="s">
        <v>115</v>
      </c>
      <c r="D239" s="4" t="s">
        <v>8942</v>
      </c>
      <c r="E239" s="4" t="s">
        <v>7838</v>
      </c>
      <c r="F239" s="4" t="s">
        <v>7838</v>
      </c>
      <c r="G239" s="4" t="s">
        <v>9082</v>
      </c>
      <c r="H239" s="4">
        <v>5000.0</v>
      </c>
      <c r="I239" s="4" t="s">
        <v>9226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1">
      <c r="A241" s="33" t="s">
        <v>8859</v>
      </c>
    </row>
    <row r="242">
      <c r="A242" s="33" t="s">
        <v>8603</v>
      </c>
      <c r="B242" s="33" t="s">
        <v>2737</v>
      </c>
      <c r="C242" s="33" t="s">
        <v>8604</v>
      </c>
      <c r="D242" s="33" t="s">
        <v>8605</v>
      </c>
      <c r="E242" s="33" t="s">
        <v>8606</v>
      </c>
      <c r="F242" s="33" t="s">
        <v>8607</v>
      </c>
      <c r="G242" s="46" t="s">
        <v>8952</v>
      </c>
      <c r="H242" s="4"/>
      <c r="I242" s="4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H243" s="4"/>
      <c r="I243" s="4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33" t="s">
        <v>9347</v>
      </c>
      <c r="H244" s="4"/>
      <c r="I244" s="4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4" t="s">
        <v>9348</v>
      </c>
      <c r="B245" s="4" t="s">
        <v>9349</v>
      </c>
      <c r="C245" s="4" t="s">
        <v>8912</v>
      </c>
      <c r="D245" s="4" t="s">
        <v>9350</v>
      </c>
      <c r="E245" s="46" t="s">
        <v>8952</v>
      </c>
      <c r="H245" s="8"/>
      <c r="I245" s="8"/>
    </row>
    <row r="246">
      <c r="A246" s="4" t="s">
        <v>9351</v>
      </c>
      <c r="B246" s="4" t="s">
        <v>9352</v>
      </c>
      <c r="C246" s="4" t="s">
        <v>7838</v>
      </c>
      <c r="D246" s="4" t="s">
        <v>7838</v>
      </c>
      <c r="E246" s="4" t="s">
        <v>9174</v>
      </c>
      <c r="F246" s="4"/>
      <c r="G246" s="4"/>
      <c r="H246" s="8"/>
      <c r="I246" s="8"/>
    </row>
    <row r="247">
      <c r="A247" s="4"/>
      <c r="B247" s="4"/>
      <c r="C247" s="4"/>
      <c r="D247" s="4"/>
      <c r="E247" s="4"/>
      <c r="F247" s="4"/>
      <c r="G247" s="8"/>
      <c r="H247" s="8"/>
      <c r="I247" s="8"/>
    </row>
    <row r="248">
      <c r="A248" s="33" t="s">
        <v>9353</v>
      </c>
      <c r="D248" s="8"/>
      <c r="F248" s="4"/>
      <c r="G248" s="4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4" t="s">
        <v>110</v>
      </c>
      <c r="B249" s="4" t="s">
        <v>8912</v>
      </c>
      <c r="C249" s="4" t="s">
        <v>9350</v>
      </c>
      <c r="D249" s="46" t="s">
        <v>8952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4" t="s">
        <v>9354</v>
      </c>
      <c r="B250" s="4" t="s">
        <v>9355</v>
      </c>
      <c r="C250" s="4" t="s">
        <v>9356</v>
      </c>
      <c r="D250" s="4" t="s">
        <v>9130</v>
      </c>
      <c r="I250" s="8"/>
    </row>
    <row r="251">
      <c r="A251" s="4" t="s">
        <v>9357</v>
      </c>
      <c r="B251" s="4" t="s">
        <v>9358</v>
      </c>
      <c r="C251" s="4" t="s">
        <v>9359</v>
      </c>
      <c r="D251" s="4" t="s">
        <v>9109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4"/>
      <c r="B253" s="4"/>
      <c r="C253" s="4"/>
      <c r="D253" s="4"/>
      <c r="E253" s="4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E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E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F258" s="8"/>
      <c r="G258" s="8"/>
      <c r="I258" s="31" t="s">
        <v>518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46"/>
      <c r="B270" s="46"/>
      <c r="D270" s="46"/>
      <c r="E270" s="46"/>
      <c r="F270" s="46"/>
      <c r="G270" s="4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4"/>
      <c r="B271" s="4"/>
      <c r="C271" s="4"/>
      <c r="D271" s="4"/>
      <c r="E271" s="4"/>
      <c r="F271" s="4"/>
      <c r="G271" s="4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4"/>
      <c r="B272" s="4"/>
      <c r="C272" s="4"/>
      <c r="D272" s="4"/>
      <c r="E272" s="4"/>
      <c r="F272" s="4"/>
      <c r="G272" s="4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4"/>
      <c r="B273" s="4"/>
      <c r="C273" s="4"/>
      <c r="D273" s="4"/>
      <c r="E273" s="4"/>
      <c r="F273" s="4"/>
      <c r="G273" s="4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4"/>
      <c r="B274" s="4"/>
      <c r="C274" s="4"/>
      <c r="D274" s="4"/>
      <c r="E274" s="4"/>
      <c r="F274" s="4"/>
      <c r="G274" s="4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4"/>
      <c r="B275" s="4"/>
      <c r="C275" s="4"/>
      <c r="D275" s="4"/>
      <c r="E275" s="4"/>
      <c r="F275" s="4"/>
      <c r="G275" s="4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4"/>
      <c r="B276" s="4"/>
      <c r="C276" s="4"/>
      <c r="D276" s="4"/>
      <c r="E276" s="4"/>
      <c r="F276" s="4"/>
      <c r="G276" s="4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4"/>
      <c r="B277" s="4"/>
      <c r="C277" s="4"/>
      <c r="D277" s="4"/>
      <c r="E277" s="4"/>
      <c r="F277" s="4"/>
      <c r="G277" s="4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4"/>
      <c r="B278" s="4"/>
      <c r="C278" s="4"/>
      <c r="D278" s="4"/>
      <c r="E278" s="4"/>
      <c r="F278" s="4"/>
      <c r="G278" s="4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4"/>
      <c r="B279" s="4"/>
      <c r="C279" s="4"/>
      <c r="D279" s="4"/>
      <c r="E279" s="4"/>
      <c r="F279" s="4"/>
      <c r="G279" s="4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</sheetData>
  <mergeCells count="15">
    <mergeCell ref="A111:I111"/>
    <mergeCell ref="A140:I140"/>
    <mergeCell ref="A175:I175"/>
    <mergeCell ref="A232:J232"/>
    <mergeCell ref="A241:G241"/>
    <mergeCell ref="A244:E244"/>
    <mergeCell ref="A248:C248"/>
    <mergeCell ref="B270:C270"/>
    <mergeCell ref="A1:H1"/>
    <mergeCell ref="A3:H3"/>
    <mergeCell ref="A32:H32"/>
    <mergeCell ref="A59:H59"/>
    <mergeCell ref="A69:H69"/>
    <mergeCell ref="A79:H79"/>
    <mergeCell ref="A97:I97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34.5"/>
    <col customWidth="1" min="3" max="3" width="26.25"/>
    <col customWidth="1" min="4" max="4" width="27.0"/>
    <col customWidth="1" min="5" max="5" width="41.63"/>
    <col customWidth="1" min="6" max="6" width="15.88"/>
    <col customWidth="1" min="7" max="7" width="29.13"/>
    <col customWidth="1" min="8" max="8" width="17.5"/>
    <col customWidth="1" min="9" max="9" width="29.5"/>
    <col customWidth="1" min="10" max="10" width="28.75"/>
    <col customWidth="1" min="11" max="11" width="31.75"/>
    <col customWidth="1" min="12" max="12" width="26.0"/>
    <col customWidth="1" min="13" max="13" width="29.38"/>
    <col customWidth="1" min="14" max="14" width="22.88"/>
    <col customWidth="1" min="15" max="15" width="31.5"/>
  </cols>
  <sheetData>
    <row r="1" ht="16.5" customHeight="1">
      <c r="A1" s="423" t="s">
        <v>9360</v>
      </c>
      <c r="P1" s="424"/>
      <c r="Q1" s="424"/>
      <c r="R1" s="424"/>
      <c r="S1" s="424"/>
      <c r="T1" s="424"/>
      <c r="U1" s="424"/>
      <c r="V1" s="424"/>
      <c r="W1" s="77"/>
      <c r="X1" s="77"/>
      <c r="Y1" s="77"/>
      <c r="Z1" s="77"/>
    </row>
    <row r="2" ht="16.5" customHeight="1">
      <c r="A2" s="425" t="s">
        <v>9361</v>
      </c>
      <c r="B2" s="425" t="s">
        <v>9362</v>
      </c>
      <c r="C2" s="426" t="s">
        <v>9363</v>
      </c>
      <c r="P2" s="424"/>
      <c r="Q2" s="424"/>
      <c r="R2" s="424"/>
      <c r="S2" s="424"/>
      <c r="T2" s="424"/>
      <c r="U2" s="424"/>
      <c r="V2" s="424"/>
      <c r="W2" s="77"/>
      <c r="X2" s="77"/>
      <c r="Y2" s="77"/>
      <c r="Z2" s="77"/>
    </row>
    <row r="3" ht="16.5" customHeight="1">
      <c r="A3" s="198" t="s">
        <v>4219</v>
      </c>
      <c r="B3" s="198" t="s">
        <v>9364</v>
      </c>
      <c r="C3" s="427" t="s">
        <v>9365</v>
      </c>
      <c r="D3" s="427" t="s">
        <v>8952</v>
      </c>
      <c r="E3" s="427" t="s">
        <v>4702</v>
      </c>
      <c r="F3" s="427" t="s">
        <v>4703</v>
      </c>
      <c r="G3" s="427" t="s">
        <v>4320</v>
      </c>
      <c r="H3" s="427" t="s">
        <v>436</v>
      </c>
      <c r="I3" s="427" t="s">
        <v>4704</v>
      </c>
      <c r="J3" s="427" t="s">
        <v>135</v>
      </c>
      <c r="K3" s="427" t="s">
        <v>128</v>
      </c>
      <c r="P3" s="424"/>
      <c r="Q3" s="424"/>
      <c r="R3" s="424"/>
      <c r="S3" s="424"/>
      <c r="T3" s="424"/>
      <c r="U3" s="424"/>
      <c r="V3" s="424"/>
      <c r="W3" s="77"/>
      <c r="X3" s="77"/>
      <c r="Y3" s="77"/>
      <c r="Z3" s="77"/>
    </row>
    <row r="4" ht="16.5" customHeight="1">
      <c r="A4" s="31" t="s">
        <v>9366</v>
      </c>
      <c r="B4" s="31" t="s">
        <v>9367</v>
      </c>
      <c r="P4" s="424"/>
      <c r="Q4" s="424"/>
      <c r="R4" s="424"/>
      <c r="S4" s="424"/>
      <c r="T4" s="424"/>
      <c r="U4" s="424"/>
      <c r="V4" s="424"/>
      <c r="W4" s="77"/>
      <c r="X4" s="77"/>
      <c r="Y4" s="77"/>
      <c r="Z4" s="77"/>
    </row>
    <row r="5" ht="16.5" customHeight="1">
      <c r="A5" s="31" t="s">
        <v>9368</v>
      </c>
      <c r="B5" s="31" t="s">
        <v>9369</v>
      </c>
      <c r="P5" s="424"/>
      <c r="Q5" s="424"/>
      <c r="R5" s="424"/>
      <c r="S5" s="424"/>
      <c r="T5" s="424"/>
      <c r="U5" s="424"/>
      <c r="V5" s="424"/>
      <c r="W5" s="77"/>
      <c r="X5" s="77"/>
      <c r="Y5" s="77"/>
      <c r="Z5" s="77"/>
    </row>
    <row r="6" ht="16.5" customHeight="1">
      <c r="A6" s="31" t="s">
        <v>9370</v>
      </c>
      <c r="B6" s="31" t="s">
        <v>9371</v>
      </c>
      <c r="P6" s="424"/>
      <c r="Q6" s="424"/>
      <c r="R6" s="424"/>
      <c r="S6" s="424"/>
      <c r="T6" s="424"/>
      <c r="U6" s="424"/>
      <c r="V6" s="424"/>
      <c r="W6" s="77"/>
      <c r="X6" s="77"/>
      <c r="Y6" s="77"/>
      <c r="Z6" s="77"/>
    </row>
    <row r="7" ht="16.5" customHeight="1">
      <c r="A7" s="31" t="s">
        <v>4212</v>
      </c>
      <c r="B7" s="31" t="s">
        <v>9372</v>
      </c>
      <c r="P7" s="424"/>
      <c r="Q7" s="424"/>
      <c r="R7" s="424"/>
      <c r="S7" s="424"/>
      <c r="T7" s="424"/>
      <c r="U7" s="424"/>
      <c r="V7" s="424"/>
      <c r="W7" s="77"/>
      <c r="X7" s="77"/>
      <c r="Y7" s="77"/>
      <c r="Z7" s="77"/>
    </row>
    <row r="8" ht="16.5" customHeight="1">
      <c r="A8" s="31" t="s">
        <v>9373</v>
      </c>
      <c r="B8" s="31" t="s">
        <v>9374</v>
      </c>
      <c r="P8" s="424"/>
      <c r="Q8" s="424"/>
      <c r="R8" s="424"/>
      <c r="S8" s="424"/>
      <c r="T8" s="424"/>
      <c r="U8" s="424"/>
      <c r="V8" s="424"/>
      <c r="W8" s="77"/>
      <c r="X8" s="77"/>
      <c r="Y8" s="77"/>
      <c r="Z8" s="77"/>
    </row>
    <row r="9" ht="16.5" customHeight="1">
      <c r="A9" s="31" t="s">
        <v>9375</v>
      </c>
      <c r="B9" s="31" t="s">
        <v>9376</v>
      </c>
      <c r="P9" s="424"/>
      <c r="Q9" s="424"/>
      <c r="R9" s="424"/>
      <c r="S9" s="424"/>
      <c r="T9" s="424"/>
      <c r="U9" s="424"/>
      <c r="V9" s="424"/>
      <c r="W9" s="77"/>
      <c r="X9" s="77"/>
      <c r="Y9" s="77"/>
      <c r="Z9" s="77"/>
    </row>
    <row r="10" ht="16.5" customHeight="1">
      <c r="A10" s="31" t="s">
        <v>9377</v>
      </c>
      <c r="B10" s="31" t="s">
        <v>9378</v>
      </c>
      <c r="P10" s="424"/>
      <c r="Q10" s="424"/>
      <c r="R10" s="424"/>
      <c r="S10" s="424"/>
      <c r="T10" s="424"/>
      <c r="U10" s="424"/>
      <c r="V10" s="424"/>
      <c r="W10" s="77"/>
      <c r="X10" s="77"/>
      <c r="Y10" s="77"/>
      <c r="Z10" s="77"/>
    </row>
    <row r="11" ht="16.5" customHeight="1">
      <c r="A11" s="31" t="s">
        <v>9379</v>
      </c>
      <c r="B11" s="31" t="s">
        <v>9380</v>
      </c>
      <c r="P11" s="424"/>
      <c r="Q11" s="424"/>
      <c r="R11" s="424"/>
      <c r="S11" s="424"/>
      <c r="T11" s="424"/>
      <c r="U11" s="424"/>
      <c r="V11" s="424"/>
      <c r="W11" s="77"/>
      <c r="X11" s="77"/>
      <c r="Y11" s="77"/>
      <c r="Z11" s="77"/>
    </row>
    <row r="12" ht="16.5" customHeight="1">
      <c r="A12" s="31" t="s">
        <v>5291</v>
      </c>
      <c r="B12" s="31" t="s">
        <v>9381</v>
      </c>
      <c r="P12" s="424"/>
      <c r="Q12" s="424"/>
      <c r="R12" s="424"/>
      <c r="S12" s="424"/>
      <c r="T12" s="424"/>
      <c r="U12" s="424"/>
      <c r="V12" s="424"/>
      <c r="W12" s="77"/>
      <c r="X12" s="77"/>
      <c r="Y12" s="77"/>
      <c r="Z12" s="77"/>
    </row>
    <row r="13" ht="16.5" customHeight="1">
      <c r="P13" s="424"/>
      <c r="Q13" s="424"/>
      <c r="R13" s="424"/>
      <c r="S13" s="424"/>
      <c r="T13" s="424"/>
      <c r="U13" s="424"/>
      <c r="V13" s="424"/>
      <c r="W13" s="77"/>
      <c r="X13" s="77"/>
      <c r="Y13" s="77"/>
      <c r="Z13" s="77"/>
    </row>
    <row r="14" ht="16.5" customHeight="1">
      <c r="P14" s="424"/>
      <c r="Q14" s="424"/>
      <c r="R14" s="424"/>
      <c r="S14" s="424"/>
      <c r="T14" s="424"/>
      <c r="U14" s="424"/>
      <c r="V14" s="424"/>
      <c r="W14" s="77"/>
      <c r="X14" s="77"/>
      <c r="Y14" s="77"/>
      <c r="Z14" s="77"/>
    </row>
    <row r="15" ht="16.5" customHeight="1">
      <c r="P15" s="424"/>
      <c r="Q15" s="424"/>
      <c r="R15" s="424"/>
      <c r="S15" s="424"/>
      <c r="T15" s="424"/>
      <c r="U15" s="424"/>
      <c r="V15" s="424"/>
      <c r="W15" s="77"/>
      <c r="X15" s="77"/>
      <c r="Y15" s="77"/>
      <c r="Z15" s="77"/>
    </row>
    <row r="16" ht="16.5" customHeight="1">
      <c r="P16" s="424"/>
      <c r="Q16" s="424"/>
      <c r="R16" s="424"/>
      <c r="S16" s="424"/>
      <c r="T16" s="424"/>
      <c r="U16" s="424"/>
      <c r="V16" s="424"/>
      <c r="W16" s="77"/>
      <c r="X16" s="77"/>
      <c r="Y16" s="77"/>
      <c r="Z16" s="77"/>
    </row>
    <row r="17" ht="16.5" customHeight="1">
      <c r="P17" s="424"/>
      <c r="Q17" s="424"/>
      <c r="R17" s="424"/>
      <c r="S17" s="424"/>
      <c r="T17" s="424"/>
      <c r="U17" s="424"/>
      <c r="V17" s="424"/>
      <c r="W17" s="77"/>
      <c r="X17" s="77"/>
      <c r="Y17" s="77"/>
      <c r="Z17" s="77"/>
    </row>
    <row r="18" ht="16.5" customHeight="1">
      <c r="P18" s="424"/>
      <c r="Q18" s="424"/>
      <c r="R18" s="424"/>
      <c r="S18" s="424"/>
      <c r="T18" s="424"/>
      <c r="U18" s="424"/>
      <c r="V18" s="424"/>
      <c r="W18" s="77"/>
      <c r="X18" s="77"/>
      <c r="Y18" s="77"/>
      <c r="Z18" s="77"/>
    </row>
    <row r="19" ht="16.5" customHeight="1">
      <c r="P19" s="424"/>
      <c r="Q19" s="424"/>
      <c r="R19" s="424"/>
      <c r="S19" s="424"/>
      <c r="T19" s="424"/>
      <c r="U19" s="424"/>
      <c r="V19" s="424"/>
      <c r="W19" s="77"/>
      <c r="X19" s="77"/>
      <c r="Y19" s="77"/>
      <c r="Z19" s="77"/>
    </row>
    <row r="20" ht="16.5" customHeight="1">
      <c r="P20" s="424"/>
      <c r="Q20" s="424"/>
      <c r="R20" s="424"/>
      <c r="S20" s="424"/>
      <c r="T20" s="424"/>
      <c r="U20" s="424"/>
      <c r="V20" s="424"/>
      <c r="W20" s="77"/>
      <c r="X20" s="77"/>
      <c r="Y20" s="77"/>
      <c r="Z20" s="77"/>
    </row>
    <row r="21" ht="16.5" customHeight="1">
      <c r="P21" s="424"/>
      <c r="Q21" s="424"/>
      <c r="R21" s="424"/>
      <c r="S21" s="424"/>
      <c r="T21" s="424"/>
      <c r="U21" s="424"/>
      <c r="V21" s="424"/>
      <c r="W21" s="77"/>
      <c r="X21" s="77"/>
      <c r="Y21" s="77"/>
      <c r="Z21" s="77"/>
    </row>
    <row r="22" ht="16.5" customHeight="1">
      <c r="P22" s="424"/>
      <c r="Q22" s="424"/>
      <c r="R22" s="424"/>
      <c r="S22" s="424"/>
      <c r="T22" s="424"/>
      <c r="U22" s="424"/>
      <c r="V22" s="424"/>
      <c r="W22" s="77"/>
      <c r="X22" s="77"/>
      <c r="Y22" s="77"/>
      <c r="Z22" s="77"/>
    </row>
    <row r="23" ht="16.5" customHeight="1">
      <c r="P23" s="424"/>
      <c r="Q23" s="424"/>
      <c r="R23" s="424"/>
      <c r="S23" s="424"/>
      <c r="T23" s="424"/>
      <c r="U23" s="424"/>
      <c r="V23" s="424"/>
      <c r="W23" s="77"/>
      <c r="X23" s="77"/>
      <c r="Y23" s="77"/>
      <c r="Z23" s="77"/>
    </row>
    <row r="24" ht="16.5" customHeight="1">
      <c r="P24" s="424"/>
      <c r="Q24" s="424"/>
      <c r="R24" s="424"/>
      <c r="S24" s="424"/>
      <c r="T24" s="424"/>
      <c r="U24" s="424"/>
      <c r="V24" s="424"/>
      <c r="W24" s="77"/>
      <c r="X24" s="77"/>
      <c r="Y24" s="77"/>
      <c r="Z24" s="77"/>
    </row>
    <row r="25" ht="16.5" customHeight="1">
      <c r="P25" s="424"/>
      <c r="Q25" s="424"/>
      <c r="R25" s="424"/>
      <c r="S25" s="424"/>
      <c r="T25" s="424"/>
      <c r="U25" s="424"/>
      <c r="V25" s="424"/>
      <c r="W25" s="77"/>
      <c r="X25" s="77"/>
      <c r="Y25" s="77"/>
      <c r="Z25" s="77"/>
    </row>
    <row r="26" ht="16.5" customHeight="1">
      <c r="P26" s="424"/>
      <c r="Q26" s="424"/>
      <c r="R26" s="424"/>
      <c r="S26" s="424"/>
      <c r="T26" s="424"/>
      <c r="U26" s="424"/>
      <c r="V26" s="424"/>
      <c r="W26" s="77"/>
      <c r="X26" s="77"/>
      <c r="Y26" s="77"/>
      <c r="Z26" s="77"/>
    </row>
    <row r="27" ht="16.5" customHeight="1">
      <c r="P27" s="424"/>
      <c r="Q27" s="424"/>
      <c r="R27" s="424"/>
      <c r="S27" s="424"/>
      <c r="T27" s="424"/>
      <c r="U27" s="424"/>
      <c r="V27" s="424"/>
      <c r="W27" s="77"/>
      <c r="X27" s="77"/>
      <c r="Y27" s="77"/>
      <c r="Z27" s="77"/>
    </row>
    <row r="28" ht="16.5" customHeight="1">
      <c r="P28" s="424"/>
      <c r="Q28" s="424"/>
      <c r="R28" s="424"/>
      <c r="S28" s="424"/>
      <c r="T28" s="424"/>
      <c r="U28" s="424"/>
      <c r="V28" s="424"/>
      <c r="W28" s="77"/>
      <c r="X28" s="77"/>
      <c r="Y28" s="77"/>
      <c r="Z28" s="77"/>
    </row>
    <row r="29" ht="16.5" customHeight="1">
      <c r="P29" s="424"/>
      <c r="Q29" s="424"/>
      <c r="R29" s="424"/>
      <c r="S29" s="424"/>
      <c r="T29" s="424"/>
      <c r="U29" s="424"/>
      <c r="V29" s="424"/>
      <c r="W29" s="77"/>
      <c r="X29" s="77"/>
      <c r="Y29" s="77"/>
      <c r="Z29" s="77"/>
    </row>
    <row r="30" ht="16.5" customHeight="1">
      <c r="P30" s="424"/>
      <c r="Q30" s="424"/>
      <c r="R30" s="424"/>
      <c r="S30" s="424"/>
      <c r="T30" s="424"/>
      <c r="U30" s="424"/>
      <c r="V30" s="424"/>
      <c r="W30" s="77"/>
      <c r="X30" s="77"/>
      <c r="Y30" s="77"/>
      <c r="Z30" s="77"/>
    </row>
    <row r="31" ht="16.5" customHeight="1">
      <c r="P31" s="424"/>
      <c r="Q31" s="424"/>
      <c r="R31" s="424"/>
      <c r="S31" s="424"/>
      <c r="T31" s="424"/>
      <c r="U31" s="424"/>
      <c r="V31" s="424"/>
      <c r="W31" s="77"/>
      <c r="X31" s="77"/>
      <c r="Y31" s="77"/>
      <c r="Z31" s="77"/>
    </row>
    <row r="32" ht="16.5" customHeight="1">
      <c r="P32" s="424"/>
      <c r="Q32" s="424"/>
      <c r="R32" s="424"/>
      <c r="S32" s="424"/>
      <c r="T32" s="424"/>
      <c r="U32" s="424"/>
      <c r="V32" s="424"/>
      <c r="W32" s="77"/>
      <c r="X32" s="77"/>
      <c r="Y32" s="77"/>
      <c r="Z32" s="77"/>
    </row>
    <row r="33" ht="16.5" customHeight="1">
      <c r="P33" s="424"/>
      <c r="Q33" s="424"/>
      <c r="R33" s="424"/>
      <c r="S33" s="424"/>
      <c r="T33" s="424"/>
      <c r="U33" s="424"/>
      <c r="V33" s="424"/>
      <c r="W33" s="77"/>
      <c r="X33" s="77"/>
      <c r="Y33" s="77"/>
      <c r="Z33" s="77"/>
    </row>
    <row r="34" ht="16.5" customHeight="1">
      <c r="P34" s="424"/>
      <c r="Q34" s="424"/>
      <c r="R34" s="424"/>
      <c r="S34" s="424"/>
      <c r="T34" s="424"/>
      <c r="U34" s="424"/>
      <c r="V34" s="424"/>
      <c r="W34" s="77"/>
      <c r="X34" s="77"/>
      <c r="Y34" s="77"/>
      <c r="Z34" s="77"/>
    </row>
    <row r="35" ht="16.5" customHeight="1">
      <c r="P35" s="424"/>
      <c r="Q35" s="424"/>
      <c r="R35" s="424"/>
      <c r="S35" s="424"/>
      <c r="T35" s="424"/>
      <c r="U35" s="424"/>
      <c r="V35" s="424"/>
      <c r="W35" s="77"/>
      <c r="X35" s="77"/>
      <c r="Y35" s="77"/>
      <c r="Z35" s="77"/>
    </row>
    <row r="36" ht="16.5" customHeight="1">
      <c r="P36" s="424"/>
      <c r="Q36" s="424"/>
      <c r="R36" s="424"/>
      <c r="S36" s="424"/>
      <c r="T36" s="424"/>
      <c r="U36" s="424"/>
      <c r="V36" s="424"/>
      <c r="W36" s="77"/>
      <c r="X36" s="77"/>
      <c r="Y36" s="77"/>
      <c r="Z36" s="77"/>
    </row>
    <row r="37" ht="16.5" customHeight="1">
      <c r="P37" s="424"/>
      <c r="Q37" s="424"/>
      <c r="R37" s="424"/>
      <c r="S37" s="424"/>
      <c r="T37" s="424"/>
      <c r="U37" s="424"/>
      <c r="V37" s="424"/>
      <c r="W37" s="77"/>
      <c r="X37" s="77"/>
      <c r="Y37" s="77"/>
      <c r="Z37" s="77"/>
    </row>
    <row r="38" ht="16.5" customHeight="1">
      <c r="P38" s="424"/>
      <c r="Q38" s="424"/>
      <c r="R38" s="424"/>
      <c r="S38" s="424"/>
      <c r="T38" s="424"/>
      <c r="U38" s="424"/>
      <c r="V38" s="424"/>
      <c r="W38" s="77"/>
      <c r="X38" s="77"/>
      <c r="Y38" s="77"/>
      <c r="Z38" s="77"/>
    </row>
    <row r="39" ht="16.5" customHeight="1">
      <c r="A39" s="423" t="s">
        <v>9382</v>
      </c>
      <c r="P39" s="424"/>
      <c r="Q39" s="424"/>
      <c r="R39" s="424"/>
      <c r="S39" s="424"/>
      <c r="T39" s="424"/>
      <c r="U39" s="424"/>
      <c r="V39" s="424"/>
      <c r="W39" s="77"/>
      <c r="X39" s="77"/>
      <c r="Y39" s="77"/>
      <c r="Z39" s="77"/>
    </row>
    <row r="40" ht="16.5" customHeight="1">
      <c r="A40" s="425" t="s">
        <v>9383</v>
      </c>
      <c r="B40" s="425" t="s">
        <v>9384</v>
      </c>
      <c r="C40" s="426" t="s">
        <v>9363</v>
      </c>
      <c r="P40" s="424"/>
      <c r="Q40" s="424"/>
      <c r="R40" s="424"/>
      <c r="S40" s="424"/>
      <c r="T40" s="424"/>
      <c r="U40" s="424"/>
      <c r="V40" s="424"/>
      <c r="W40" s="77"/>
      <c r="X40" s="77"/>
      <c r="Y40" s="77"/>
      <c r="Z40" s="77"/>
    </row>
    <row r="41" ht="16.5" customHeight="1">
      <c r="A41" s="198" t="s">
        <v>9385</v>
      </c>
      <c r="B41" s="198" t="s">
        <v>3046</v>
      </c>
      <c r="C41" s="427" t="s">
        <v>9365</v>
      </c>
      <c r="D41" s="427" t="s">
        <v>8952</v>
      </c>
      <c r="E41" s="427" t="s">
        <v>4702</v>
      </c>
      <c r="F41" s="427" t="s">
        <v>4703</v>
      </c>
      <c r="G41" s="427" t="s">
        <v>4320</v>
      </c>
      <c r="H41" s="427" t="s">
        <v>436</v>
      </c>
      <c r="I41" s="427" t="s">
        <v>4704</v>
      </c>
      <c r="J41" s="427" t="s">
        <v>135</v>
      </c>
      <c r="K41" s="427" t="s">
        <v>128</v>
      </c>
      <c r="P41" s="424"/>
      <c r="Q41" s="424"/>
      <c r="R41" s="424"/>
      <c r="S41" s="424"/>
      <c r="T41" s="424"/>
      <c r="U41" s="424"/>
      <c r="V41" s="424"/>
      <c r="W41" s="77"/>
      <c r="X41" s="77"/>
      <c r="Y41" s="77"/>
      <c r="Z41" s="77"/>
    </row>
    <row r="42" ht="16.5" customHeight="1">
      <c r="A42" s="31" t="s">
        <v>3072</v>
      </c>
      <c r="B42" s="31" t="s">
        <v>9386</v>
      </c>
      <c r="P42" s="424"/>
      <c r="Q42" s="424"/>
      <c r="R42" s="424"/>
      <c r="S42" s="424"/>
      <c r="T42" s="424"/>
      <c r="U42" s="424"/>
      <c r="V42" s="424"/>
      <c r="W42" s="77"/>
      <c r="X42" s="77"/>
      <c r="Y42" s="77"/>
      <c r="Z42" s="77"/>
    </row>
    <row r="43" ht="16.5" customHeight="1">
      <c r="A43" s="31" t="s">
        <v>9387</v>
      </c>
      <c r="B43" s="31" t="s">
        <v>9388</v>
      </c>
      <c r="P43" s="424"/>
      <c r="Q43" s="424"/>
      <c r="R43" s="424"/>
      <c r="S43" s="424"/>
      <c r="T43" s="424"/>
      <c r="U43" s="424"/>
      <c r="V43" s="424"/>
      <c r="W43" s="77"/>
      <c r="X43" s="77"/>
      <c r="Y43" s="77"/>
      <c r="Z43" s="77"/>
    </row>
    <row r="44" ht="16.5" customHeight="1">
      <c r="A44" s="31" t="s">
        <v>9389</v>
      </c>
      <c r="B44" s="31" t="s">
        <v>9390</v>
      </c>
      <c r="P44" s="424"/>
      <c r="Q44" s="424"/>
      <c r="R44" s="424"/>
      <c r="S44" s="424"/>
      <c r="T44" s="424"/>
      <c r="U44" s="424"/>
      <c r="V44" s="424"/>
      <c r="W44" s="77"/>
      <c r="X44" s="77"/>
      <c r="Y44" s="77"/>
      <c r="Z44" s="77"/>
    </row>
    <row r="45" ht="16.5" customHeight="1">
      <c r="A45" s="31" t="s">
        <v>9391</v>
      </c>
      <c r="B45" s="31" t="s">
        <v>9392</v>
      </c>
      <c r="P45" s="424"/>
      <c r="Q45" s="424"/>
      <c r="R45" s="424"/>
      <c r="S45" s="424"/>
      <c r="T45" s="424"/>
      <c r="U45" s="424"/>
      <c r="V45" s="424"/>
      <c r="W45" s="77"/>
      <c r="X45" s="77"/>
      <c r="Y45" s="77"/>
      <c r="Z45" s="77"/>
    </row>
    <row r="46" ht="16.5" customHeight="1">
      <c r="A46" s="31" t="s">
        <v>9393</v>
      </c>
      <c r="B46" s="31" t="s">
        <v>9394</v>
      </c>
      <c r="P46" s="424"/>
      <c r="Q46" s="424"/>
      <c r="R46" s="424"/>
      <c r="S46" s="424"/>
      <c r="T46" s="424"/>
      <c r="U46" s="424"/>
      <c r="V46" s="424"/>
      <c r="W46" s="77"/>
      <c r="X46" s="77"/>
      <c r="Y46" s="77"/>
      <c r="Z46" s="77"/>
    </row>
    <row r="47" ht="16.5" customHeight="1">
      <c r="A47" s="31" t="s">
        <v>9395</v>
      </c>
      <c r="B47" s="31" t="s">
        <v>9396</v>
      </c>
      <c r="P47" s="424"/>
      <c r="Q47" s="424"/>
      <c r="R47" s="424"/>
      <c r="S47" s="424"/>
      <c r="T47" s="424"/>
      <c r="U47" s="424"/>
      <c r="V47" s="424"/>
      <c r="W47" s="77"/>
      <c r="X47" s="77"/>
      <c r="Y47" s="77"/>
      <c r="Z47" s="77"/>
    </row>
    <row r="48" ht="16.5" customHeight="1">
      <c r="A48" s="31" t="s">
        <v>9397</v>
      </c>
      <c r="B48" s="31" t="s">
        <v>9398</v>
      </c>
      <c r="P48" s="424"/>
      <c r="Q48" s="424"/>
      <c r="R48" s="424"/>
      <c r="S48" s="424"/>
      <c r="T48" s="424"/>
      <c r="U48" s="424"/>
      <c r="V48" s="424"/>
      <c r="W48" s="77"/>
      <c r="X48" s="77"/>
      <c r="Y48" s="77"/>
      <c r="Z48" s="77"/>
    </row>
    <row r="49" ht="16.5" customHeight="1">
      <c r="A49" s="31" t="s">
        <v>9399</v>
      </c>
      <c r="B49" s="31" t="s">
        <v>9400</v>
      </c>
      <c r="P49" s="424"/>
      <c r="Q49" s="424"/>
      <c r="R49" s="424"/>
      <c r="S49" s="424"/>
      <c r="T49" s="424"/>
      <c r="U49" s="424"/>
      <c r="V49" s="424"/>
      <c r="W49" s="77"/>
      <c r="X49" s="77"/>
      <c r="Y49" s="77"/>
      <c r="Z49" s="77"/>
    </row>
    <row r="50" ht="16.5" customHeight="1">
      <c r="A50" s="31" t="s">
        <v>9401</v>
      </c>
      <c r="B50" s="31" t="s">
        <v>9402</v>
      </c>
      <c r="P50" s="424"/>
      <c r="Q50" s="424"/>
      <c r="R50" s="424"/>
      <c r="S50" s="424"/>
      <c r="T50" s="424"/>
      <c r="U50" s="424"/>
      <c r="V50" s="424"/>
      <c r="W50" s="77"/>
      <c r="X50" s="77"/>
      <c r="Y50" s="77"/>
      <c r="Z50" s="77"/>
    </row>
    <row r="51" ht="16.5" customHeight="1">
      <c r="A51" s="31" t="s">
        <v>9403</v>
      </c>
      <c r="B51" s="31" t="s">
        <v>9404</v>
      </c>
      <c r="P51" s="424"/>
      <c r="Q51" s="424"/>
      <c r="R51" s="424"/>
      <c r="S51" s="424"/>
      <c r="T51" s="424"/>
      <c r="U51" s="424"/>
      <c r="V51" s="424"/>
      <c r="W51" s="77"/>
      <c r="X51" s="77"/>
      <c r="Y51" s="77"/>
      <c r="Z51" s="77"/>
    </row>
    <row r="52" ht="16.5" customHeight="1">
      <c r="A52" s="31" t="s">
        <v>9405</v>
      </c>
      <c r="B52" s="31" t="s">
        <v>9406</v>
      </c>
      <c r="P52" s="424"/>
      <c r="Q52" s="424"/>
      <c r="R52" s="424"/>
      <c r="S52" s="424"/>
      <c r="T52" s="424"/>
      <c r="U52" s="424"/>
      <c r="V52" s="424"/>
      <c r="W52" s="77"/>
      <c r="X52" s="77"/>
      <c r="Y52" s="77"/>
      <c r="Z52" s="77"/>
    </row>
    <row r="53" ht="16.5" customHeight="1">
      <c r="A53" s="31" t="s">
        <v>9407</v>
      </c>
      <c r="B53" s="31" t="s">
        <v>9408</v>
      </c>
      <c r="P53" s="424"/>
      <c r="Q53" s="424"/>
      <c r="R53" s="424"/>
      <c r="S53" s="424"/>
      <c r="T53" s="424"/>
      <c r="U53" s="424"/>
      <c r="V53" s="424"/>
      <c r="W53" s="77"/>
      <c r="X53" s="77"/>
      <c r="Y53" s="77"/>
      <c r="Z53" s="77"/>
    </row>
    <row r="54" ht="16.5" customHeight="1">
      <c r="A54" s="31" t="s">
        <v>9409</v>
      </c>
      <c r="B54" s="31" t="s">
        <v>9410</v>
      </c>
      <c r="P54" s="424"/>
      <c r="Q54" s="424"/>
      <c r="R54" s="424"/>
      <c r="S54" s="424"/>
      <c r="T54" s="424"/>
      <c r="U54" s="424"/>
      <c r="V54" s="424"/>
      <c r="W54" s="77"/>
      <c r="X54" s="77"/>
      <c r="Y54" s="77"/>
      <c r="Z54" s="77"/>
    </row>
    <row r="55" ht="16.5" customHeight="1">
      <c r="A55" s="31" t="s">
        <v>9411</v>
      </c>
      <c r="B55" s="31" t="s">
        <v>9412</v>
      </c>
      <c r="P55" s="424"/>
      <c r="Q55" s="424"/>
      <c r="R55" s="424"/>
      <c r="S55" s="424"/>
      <c r="T55" s="424"/>
      <c r="U55" s="424"/>
      <c r="V55" s="424"/>
      <c r="W55" s="77"/>
      <c r="X55" s="77"/>
      <c r="Y55" s="77"/>
      <c r="Z55" s="77"/>
    </row>
    <row r="56" ht="16.5" customHeight="1">
      <c r="A56" s="423" t="s">
        <v>9413</v>
      </c>
      <c r="P56" s="424"/>
      <c r="Q56" s="424"/>
      <c r="R56" s="424"/>
      <c r="S56" s="424"/>
      <c r="T56" s="424"/>
      <c r="U56" s="424"/>
      <c r="V56" s="424"/>
      <c r="W56" s="77"/>
      <c r="X56" s="77"/>
      <c r="Y56" s="77"/>
      <c r="Z56" s="77"/>
    </row>
    <row r="57" ht="16.5" customHeight="1">
      <c r="A57" s="425" t="s">
        <v>9414</v>
      </c>
      <c r="B57" s="425" t="s">
        <v>9415</v>
      </c>
      <c r="C57" s="426" t="s">
        <v>9363</v>
      </c>
      <c r="P57" s="424"/>
      <c r="Q57" s="424"/>
      <c r="R57" s="424"/>
      <c r="S57" s="424"/>
      <c r="T57" s="424"/>
      <c r="U57" s="424"/>
      <c r="V57" s="424"/>
      <c r="W57" s="77"/>
      <c r="X57" s="77"/>
      <c r="Y57" s="77"/>
      <c r="Z57" s="77"/>
    </row>
    <row r="58" ht="16.5" customHeight="1">
      <c r="A58" s="198" t="s">
        <v>9416</v>
      </c>
      <c r="B58" s="198" t="s">
        <v>9417</v>
      </c>
      <c r="C58" s="427" t="s">
        <v>9365</v>
      </c>
      <c r="D58" s="427" t="s">
        <v>8952</v>
      </c>
      <c r="E58" s="427" t="s">
        <v>4702</v>
      </c>
      <c r="F58" s="427" t="s">
        <v>4703</v>
      </c>
      <c r="G58" s="427" t="s">
        <v>4320</v>
      </c>
      <c r="H58" s="427" t="s">
        <v>436</v>
      </c>
      <c r="I58" s="427" t="s">
        <v>4704</v>
      </c>
      <c r="J58" s="427" t="s">
        <v>135</v>
      </c>
      <c r="K58" s="427" t="s">
        <v>128</v>
      </c>
      <c r="P58" s="424"/>
      <c r="Q58" s="424"/>
      <c r="R58" s="424"/>
      <c r="S58" s="424"/>
      <c r="T58" s="424"/>
      <c r="U58" s="424"/>
      <c r="V58" s="424"/>
      <c r="W58" s="77"/>
      <c r="X58" s="77"/>
      <c r="Y58" s="77"/>
      <c r="Z58" s="77"/>
    </row>
    <row r="59" ht="16.5" customHeight="1">
      <c r="A59" s="31" t="s">
        <v>9418</v>
      </c>
      <c r="B59" s="31" t="s">
        <v>2869</v>
      </c>
      <c r="P59" s="424"/>
      <c r="Q59" s="424"/>
      <c r="R59" s="424"/>
      <c r="S59" s="424"/>
      <c r="T59" s="424"/>
      <c r="U59" s="424"/>
      <c r="V59" s="424"/>
      <c r="W59" s="77"/>
      <c r="X59" s="77"/>
      <c r="Y59" s="77"/>
      <c r="Z59" s="77"/>
    </row>
    <row r="60" ht="16.5" customHeight="1">
      <c r="A60" s="31" t="s">
        <v>2075</v>
      </c>
      <c r="B60" s="31" t="s">
        <v>2873</v>
      </c>
      <c r="P60" s="424"/>
      <c r="Q60" s="424"/>
      <c r="R60" s="424"/>
      <c r="S60" s="424"/>
      <c r="T60" s="424"/>
      <c r="U60" s="424"/>
      <c r="V60" s="424"/>
      <c r="W60" s="77"/>
      <c r="X60" s="77"/>
      <c r="Y60" s="77"/>
      <c r="Z60" s="77"/>
    </row>
    <row r="61" ht="16.5" customHeight="1">
      <c r="A61" s="31" t="s">
        <v>9419</v>
      </c>
      <c r="B61" s="31" t="s">
        <v>9420</v>
      </c>
      <c r="P61" s="424"/>
      <c r="Q61" s="424"/>
      <c r="R61" s="424"/>
      <c r="S61" s="424"/>
      <c r="T61" s="424"/>
      <c r="U61" s="424"/>
      <c r="V61" s="424"/>
      <c r="W61" s="77"/>
      <c r="X61" s="77"/>
      <c r="Y61" s="77"/>
      <c r="Z61" s="77"/>
    </row>
    <row r="62" ht="16.5" customHeight="1">
      <c r="A62" s="31" t="s">
        <v>9421</v>
      </c>
      <c r="B62" s="31" t="s">
        <v>9422</v>
      </c>
      <c r="P62" s="424"/>
      <c r="Q62" s="424"/>
      <c r="R62" s="424"/>
      <c r="S62" s="424"/>
      <c r="T62" s="424"/>
      <c r="U62" s="424"/>
      <c r="V62" s="424"/>
      <c r="W62" s="77"/>
      <c r="X62" s="77"/>
      <c r="Y62" s="77"/>
      <c r="Z62" s="77"/>
    </row>
    <row r="63" ht="16.5" customHeight="1">
      <c r="A63" s="31" t="s">
        <v>6864</v>
      </c>
      <c r="B63" s="31" t="s">
        <v>9423</v>
      </c>
      <c r="P63" s="424"/>
      <c r="Q63" s="424"/>
      <c r="R63" s="424"/>
      <c r="S63" s="424"/>
      <c r="T63" s="424"/>
      <c r="U63" s="424"/>
      <c r="V63" s="424"/>
      <c r="W63" s="77"/>
      <c r="X63" s="77"/>
      <c r="Y63" s="77"/>
      <c r="Z63" s="77"/>
    </row>
    <row r="64" ht="16.5" customHeight="1">
      <c r="A64" s="31" t="s">
        <v>9424</v>
      </c>
      <c r="B64" s="31" t="s">
        <v>9425</v>
      </c>
      <c r="P64" s="424"/>
      <c r="Q64" s="424"/>
      <c r="R64" s="424"/>
      <c r="S64" s="424"/>
      <c r="T64" s="424"/>
      <c r="U64" s="424"/>
      <c r="V64" s="424"/>
      <c r="W64" s="77"/>
      <c r="X64" s="77"/>
      <c r="Y64" s="77"/>
      <c r="Z64" s="77"/>
    </row>
    <row r="65" ht="16.5" customHeight="1">
      <c r="A65" s="31" t="s">
        <v>9426</v>
      </c>
      <c r="B65" s="31" t="s">
        <v>9427</v>
      </c>
      <c r="L65" s="8"/>
      <c r="M65" s="8"/>
      <c r="P65" s="424"/>
      <c r="Q65" s="424"/>
      <c r="R65" s="424"/>
      <c r="S65" s="424"/>
      <c r="T65" s="424"/>
      <c r="U65" s="424"/>
      <c r="V65" s="424"/>
      <c r="W65" s="77"/>
      <c r="X65" s="77"/>
      <c r="Y65" s="77"/>
      <c r="Z65" s="77"/>
    </row>
    <row r="66" ht="16.5" customHeight="1">
      <c r="A66" s="31" t="s">
        <v>9428</v>
      </c>
      <c r="B66" s="31" t="s">
        <v>9429</v>
      </c>
      <c r="L66" s="8"/>
      <c r="M66" s="8"/>
      <c r="P66" s="424"/>
      <c r="Q66" s="424"/>
      <c r="R66" s="424"/>
      <c r="S66" s="424"/>
      <c r="T66" s="424"/>
      <c r="U66" s="424"/>
      <c r="V66" s="424"/>
      <c r="W66" s="77"/>
      <c r="X66" s="77"/>
      <c r="Y66" s="77"/>
      <c r="Z66" s="77"/>
    </row>
    <row r="67" ht="16.5" customHeight="1">
      <c r="A67" s="31" t="s">
        <v>9430</v>
      </c>
      <c r="B67" s="31" t="s">
        <v>9431</v>
      </c>
      <c r="L67" s="8"/>
      <c r="M67" s="8"/>
      <c r="P67" s="424"/>
      <c r="Q67" s="424"/>
      <c r="R67" s="424"/>
      <c r="S67" s="424"/>
      <c r="T67" s="424"/>
      <c r="U67" s="424"/>
      <c r="V67" s="424"/>
      <c r="W67" s="77"/>
      <c r="X67" s="77"/>
      <c r="Y67" s="77"/>
      <c r="Z67" s="77"/>
    </row>
    <row r="68" ht="16.5" customHeight="1">
      <c r="A68" s="31" t="s">
        <v>9432</v>
      </c>
      <c r="B68" s="31" t="s">
        <v>9433</v>
      </c>
      <c r="L68" s="8"/>
      <c r="M68" s="8"/>
      <c r="P68" s="424"/>
      <c r="Q68" s="424"/>
      <c r="R68" s="424"/>
      <c r="S68" s="424"/>
      <c r="T68" s="424"/>
      <c r="U68" s="424"/>
      <c r="V68" s="424"/>
      <c r="W68" s="77"/>
      <c r="X68" s="77"/>
      <c r="Y68" s="77"/>
      <c r="Z68" s="77"/>
    </row>
    <row r="69" ht="16.5" customHeight="1">
      <c r="A69" s="31" t="s">
        <v>9434</v>
      </c>
      <c r="B69" s="31" t="s">
        <v>9435</v>
      </c>
      <c r="L69" s="8"/>
      <c r="M69" s="8"/>
      <c r="P69" s="424"/>
      <c r="Q69" s="424"/>
      <c r="R69" s="424"/>
      <c r="S69" s="424"/>
      <c r="T69" s="424"/>
      <c r="U69" s="424"/>
      <c r="V69" s="424"/>
      <c r="W69" s="77"/>
      <c r="X69" s="77"/>
      <c r="Y69" s="77"/>
      <c r="Z69" s="77"/>
    </row>
    <row r="70" ht="16.5" customHeight="1">
      <c r="A70" s="423" t="s">
        <v>9436</v>
      </c>
      <c r="P70" s="424"/>
      <c r="Q70" s="424"/>
      <c r="R70" s="424"/>
      <c r="S70" s="424"/>
      <c r="T70" s="424"/>
      <c r="U70" s="424"/>
      <c r="V70" s="424"/>
      <c r="W70" s="77"/>
      <c r="X70" s="77"/>
      <c r="Y70" s="77"/>
      <c r="Z70" s="77"/>
    </row>
    <row r="71" ht="16.5" customHeight="1">
      <c r="A71" s="425" t="s">
        <v>9437</v>
      </c>
      <c r="B71" s="425" t="s">
        <v>9384</v>
      </c>
      <c r="C71" s="426" t="s">
        <v>9363</v>
      </c>
      <c r="P71" s="424"/>
      <c r="Q71" s="424"/>
      <c r="R71" s="424"/>
      <c r="S71" s="424"/>
      <c r="T71" s="424"/>
      <c r="U71" s="424"/>
      <c r="V71" s="424"/>
      <c r="W71" s="77"/>
      <c r="X71" s="77"/>
      <c r="Y71" s="77"/>
      <c r="Z71" s="77"/>
    </row>
    <row r="72" ht="16.5" customHeight="1">
      <c r="A72" s="198" t="s">
        <v>9438</v>
      </c>
      <c r="B72" s="198" t="s">
        <v>9439</v>
      </c>
      <c r="C72" s="427" t="s">
        <v>9365</v>
      </c>
      <c r="D72" s="427" t="s">
        <v>8952</v>
      </c>
      <c r="E72" s="427" t="s">
        <v>4702</v>
      </c>
      <c r="F72" s="427" t="s">
        <v>4703</v>
      </c>
      <c r="G72" s="427" t="s">
        <v>4320</v>
      </c>
      <c r="H72" s="427" t="s">
        <v>436</v>
      </c>
      <c r="I72" s="427" t="s">
        <v>4704</v>
      </c>
      <c r="J72" s="427" t="s">
        <v>135</v>
      </c>
      <c r="K72" s="427" t="s">
        <v>128</v>
      </c>
      <c r="P72" s="424"/>
      <c r="Q72" s="424"/>
      <c r="R72" s="424"/>
      <c r="S72" s="424"/>
      <c r="T72" s="424"/>
      <c r="U72" s="424"/>
      <c r="V72" s="424"/>
      <c r="W72" s="77"/>
      <c r="X72" s="77"/>
      <c r="Y72" s="77"/>
      <c r="Z72" s="77"/>
    </row>
    <row r="73" ht="16.5" customHeight="1">
      <c r="A73" s="31" t="s">
        <v>9440</v>
      </c>
      <c r="B73" s="31" t="s">
        <v>9386</v>
      </c>
      <c r="C73" s="4" t="s">
        <v>9441</v>
      </c>
      <c r="D73" s="4" t="s">
        <v>9442</v>
      </c>
      <c r="E73" s="4" t="s">
        <v>8938</v>
      </c>
      <c r="F73" s="4" t="s">
        <v>9443</v>
      </c>
      <c r="G73" s="4" t="s">
        <v>8</v>
      </c>
      <c r="H73" s="4" t="s">
        <v>8066</v>
      </c>
      <c r="I73" s="4" t="s">
        <v>9444</v>
      </c>
      <c r="J73" s="4" t="s">
        <v>7863</v>
      </c>
      <c r="K73" s="4" t="s">
        <v>9445</v>
      </c>
      <c r="P73" s="424"/>
      <c r="Q73" s="424"/>
      <c r="R73" s="424"/>
      <c r="S73" s="424"/>
      <c r="T73" s="424"/>
      <c r="U73" s="424"/>
      <c r="V73" s="424"/>
      <c r="W73" s="77"/>
      <c r="X73" s="77"/>
      <c r="Y73" s="77"/>
      <c r="Z73" s="77"/>
    </row>
    <row r="74" ht="16.5" customHeight="1">
      <c r="A74" s="31" t="s">
        <v>9446</v>
      </c>
      <c r="B74" s="31" t="s">
        <v>9447</v>
      </c>
      <c r="C74" s="108" t="s">
        <v>9448</v>
      </c>
      <c r="P74" s="424"/>
      <c r="Q74" s="424"/>
      <c r="R74" s="424"/>
      <c r="S74" s="424"/>
      <c r="T74" s="424"/>
      <c r="U74" s="424"/>
      <c r="V74" s="424"/>
      <c r="W74" s="77"/>
      <c r="X74" s="77"/>
      <c r="Y74" s="77"/>
      <c r="Z74" s="77"/>
    </row>
    <row r="75" ht="16.5" customHeight="1">
      <c r="A75" s="31" t="s">
        <v>9449</v>
      </c>
      <c r="B75" s="31" t="s">
        <v>9450</v>
      </c>
      <c r="C75" s="8"/>
      <c r="D75" s="8"/>
      <c r="E75" s="8"/>
      <c r="F75" s="8"/>
      <c r="G75" s="8"/>
      <c r="H75" s="8"/>
      <c r="I75" s="8"/>
      <c r="J75" s="8"/>
      <c r="K75" s="8"/>
      <c r="P75" s="424"/>
      <c r="Q75" s="424"/>
      <c r="R75" s="424"/>
      <c r="S75" s="424"/>
      <c r="T75" s="424"/>
      <c r="U75" s="424"/>
      <c r="V75" s="424"/>
      <c r="W75" s="77"/>
      <c r="X75" s="77"/>
      <c r="Y75" s="77"/>
      <c r="Z75" s="77"/>
    </row>
    <row r="76" ht="16.5" customHeight="1">
      <c r="A76" s="31" t="s">
        <v>7708</v>
      </c>
      <c r="B76" s="31" t="s">
        <v>9451</v>
      </c>
      <c r="C76" s="8"/>
      <c r="D76" s="8"/>
      <c r="E76" s="8"/>
      <c r="F76" s="8"/>
      <c r="G76" s="8"/>
      <c r="H76" s="8"/>
      <c r="I76" s="8"/>
      <c r="J76" s="8"/>
      <c r="K76" s="8"/>
      <c r="P76" s="424"/>
      <c r="Q76" s="424"/>
      <c r="R76" s="424"/>
      <c r="S76" s="424"/>
      <c r="T76" s="424"/>
      <c r="U76" s="424"/>
      <c r="V76" s="424"/>
      <c r="W76" s="77"/>
      <c r="X76" s="77"/>
      <c r="Y76" s="77"/>
      <c r="Z76" s="77"/>
    </row>
    <row r="77" ht="16.5" customHeight="1">
      <c r="A77" s="31" t="s">
        <v>9452</v>
      </c>
      <c r="B77" s="31" t="s">
        <v>9453</v>
      </c>
      <c r="C77" s="8"/>
      <c r="D77" s="8"/>
      <c r="E77" s="8"/>
      <c r="F77" s="8"/>
      <c r="G77" s="8"/>
      <c r="H77" s="8"/>
      <c r="I77" s="8"/>
      <c r="J77" s="8"/>
      <c r="K77" s="8"/>
      <c r="P77" s="424"/>
      <c r="Q77" s="424"/>
      <c r="R77" s="424"/>
      <c r="S77" s="424"/>
      <c r="T77" s="424"/>
      <c r="U77" s="424"/>
      <c r="V77" s="424"/>
      <c r="W77" s="77"/>
      <c r="X77" s="77"/>
      <c r="Y77" s="77"/>
      <c r="Z77" s="77"/>
    </row>
    <row r="78" ht="16.5" customHeight="1">
      <c r="A78" s="31" t="s">
        <v>9454</v>
      </c>
      <c r="B78" s="31" t="s">
        <v>9455</v>
      </c>
      <c r="P78" s="424"/>
      <c r="Q78" s="424"/>
      <c r="R78" s="424"/>
      <c r="S78" s="424"/>
      <c r="T78" s="424"/>
      <c r="U78" s="424"/>
      <c r="V78" s="424"/>
      <c r="W78" s="77"/>
      <c r="X78" s="77"/>
      <c r="Y78" s="77"/>
      <c r="Z78" s="77"/>
    </row>
    <row r="79" ht="16.5" customHeight="1">
      <c r="A79" s="31" t="s">
        <v>9456</v>
      </c>
      <c r="B79" s="31" t="s">
        <v>9457</v>
      </c>
      <c r="P79" s="424"/>
      <c r="Q79" s="424"/>
      <c r="R79" s="424"/>
      <c r="S79" s="424"/>
      <c r="T79" s="424"/>
      <c r="U79" s="424"/>
      <c r="V79" s="424"/>
      <c r="W79" s="77"/>
      <c r="X79" s="77"/>
      <c r="Y79" s="77"/>
      <c r="Z79" s="77"/>
    </row>
    <row r="80" ht="16.5" customHeight="1">
      <c r="A80" s="423" t="s">
        <v>9458</v>
      </c>
      <c r="P80" s="424"/>
      <c r="Q80" s="424"/>
      <c r="R80" s="424"/>
      <c r="S80" s="424"/>
      <c r="T80" s="424"/>
      <c r="U80" s="424"/>
      <c r="V80" s="424"/>
      <c r="W80" s="77"/>
      <c r="X80" s="77"/>
      <c r="Y80" s="77"/>
      <c r="Z80" s="77"/>
    </row>
    <row r="81" ht="16.5" customHeight="1">
      <c r="A81" s="425" t="s">
        <v>9384</v>
      </c>
      <c r="B81" s="425" t="s">
        <v>9459</v>
      </c>
      <c r="C81" s="426" t="s">
        <v>9363</v>
      </c>
      <c r="P81" s="424"/>
      <c r="Q81" s="424"/>
      <c r="R81" s="424"/>
      <c r="S81" s="424"/>
      <c r="T81" s="424"/>
      <c r="U81" s="424"/>
      <c r="V81" s="424"/>
      <c r="W81" s="77"/>
      <c r="X81" s="77"/>
      <c r="Y81" s="77"/>
      <c r="Z81" s="77"/>
    </row>
    <row r="82" ht="16.5" customHeight="1">
      <c r="A82" s="198" t="s">
        <v>3046</v>
      </c>
      <c r="B82" s="198" t="s">
        <v>9460</v>
      </c>
      <c r="C82" s="427" t="s">
        <v>9365</v>
      </c>
      <c r="D82" s="427" t="s">
        <v>8952</v>
      </c>
      <c r="E82" s="427" t="s">
        <v>4702</v>
      </c>
      <c r="F82" s="427" t="s">
        <v>4703</v>
      </c>
      <c r="G82" s="427" t="s">
        <v>4320</v>
      </c>
      <c r="H82" s="427" t="s">
        <v>436</v>
      </c>
      <c r="I82" s="427" t="s">
        <v>4704</v>
      </c>
      <c r="J82" s="427" t="s">
        <v>135</v>
      </c>
      <c r="K82" s="427" t="s">
        <v>128</v>
      </c>
      <c r="P82" s="424"/>
      <c r="Q82" s="424"/>
      <c r="R82" s="424"/>
      <c r="S82" s="424"/>
      <c r="T82" s="424"/>
      <c r="U82" s="424"/>
      <c r="V82" s="424"/>
      <c r="W82" s="77"/>
      <c r="X82" s="77"/>
      <c r="Y82" s="77"/>
      <c r="Z82" s="77"/>
    </row>
    <row r="83" ht="16.5" customHeight="1">
      <c r="A83" s="31" t="s">
        <v>9461</v>
      </c>
      <c r="B83" s="31" t="s">
        <v>1265</v>
      </c>
      <c r="C83" s="4" t="s">
        <v>9441</v>
      </c>
      <c r="D83" s="4" t="s">
        <v>9130</v>
      </c>
      <c r="E83" s="4" t="s">
        <v>8914</v>
      </c>
      <c r="F83" s="4" t="s">
        <v>9462</v>
      </c>
      <c r="G83" s="4" t="s">
        <v>9274</v>
      </c>
      <c r="H83" s="4" t="s">
        <v>9463</v>
      </c>
      <c r="I83" s="4" t="s">
        <v>9464</v>
      </c>
      <c r="J83" s="4" t="s">
        <v>9465</v>
      </c>
      <c r="K83" s="4" t="s">
        <v>9464</v>
      </c>
      <c r="L83" s="8"/>
      <c r="M83" s="8"/>
      <c r="P83" s="424"/>
      <c r="Q83" s="424"/>
      <c r="R83" s="424"/>
      <c r="S83" s="424"/>
      <c r="T83" s="424"/>
      <c r="U83" s="424"/>
      <c r="V83" s="424"/>
      <c r="W83" s="77"/>
      <c r="X83" s="77"/>
      <c r="Y83" s="77"/>
      <c r="Z83" s="77"/>
    </row>
    <row r="84" ht="16.5" customHeight="1">
      <c r="A84" s="31" t="s">
        <v>9388</v>
      </c>
      <c r="B84" s="31" t="s">
        <v>2075</v>
      </c>
      <c r="C84" s="4" t="s">
        <v>9466</v>
      </c>
      <c r="D84" s="4" t="s">
        <v>9130</v>
      </c>
      <c r="E84" s="4" t="s">
        <v>8938</v>
      </c>
      <c r="F84" s="4" t="s">
        <v>9462</v>
      </c>
      <c r="G84" s="4" t="s">
        <v>9274</v>
      </c>
      <c r="H84" s="4" t="s">
        <v>9467</v>
      </c>
      <c r="I84" s="4" t="s">
        <v>9468</v>
      </c>
      <c r="J84" s="4" t="s">
        <v>9469</v>
      </c>
      <c r="K84" s="4" t="s">
        <v>9468</v>
      </c>
      <c r="L84" s="8"/>
      <c r="M84" s="8"/>
      <c r="P84" s="424"/>
      <c r="Q84" s="424"/>
      <c r="R84" s="424"/>
      <c r="S84" s="424"/>
      <c r="T84" s="424"/>
      <c r="U84" s="424"/>
      <c r="V84" s="424"/>
      <c r="W84" s="77"/>
      <c r="X84" s="77"/>
      <c r="Y84" s="77"/>
      <c r="Z84" s="77"/>
    </row>
    <row r="85" ht="16.5" customHeight="1">
      <c r="A85" s="31" t="s">
        <v>9470</v>
      </c>
      <c r="B85" s="31" t="s">
        <v>9471</v>
      </c>
      <c r="C85" s="4" t="s">
        <v>9472</v>
      </c>
      <c r="D85" s="4" t="s">
        <v>9130</v>
      </c>
      <c r="E85" s="4" t="s">
        <v>8938</v>
      </c>
      <c r="F85" s="4" t="s">
        <v>9462</v>
      </c>
      <c r="G85" s="4" t="s">
        <v>9274</v>
      </c>
      <c r="H85" s="4" t="s">
        <v>6288</v>
      </c>
      <c r="I85" s="4" t="s">
        <v>9473</v>
      </c>
      <c r="J85" s="4" t="s">
        <v>9474</v>
      </c>
      <c r="K85" s="4" t="s">
        <v>9475</v>
      </c>
      <c r="L85" s="8"/>
      <c r="M85" s="8"/>
      <c r="P85" s="424"/>
      <c r="Q85" s="424"/>
      <c r="R85" s="424"/>
      <c r="S85" s="424"/>
      <c r="T85" s="424"/>
      <c r="U85" s="424"/>
      <c r="V85" s="424"/>
      <c r="W85" s="77"/>
      <c r="X85" s="77"/>
      <c r="Y85" s="77"/>
      <c r="Z85" s="77"/>
    </row>
    <row r="86" ht="16.5" customHeight="1">
      <c r="A86" s="31" t="s">
        <v>9476</v>
      </c>
      <c r="B86" s="31" t="s">
        <v>9477</v>
      </c>
      <c r="C86" s="108" t="s">
        <v>9478</v>
      </c>
      <c r="L86" s="8"/>
      <c r="M86" s="8"/>
      <c r="P86" s="424"/>
      <c r="Q86" s="424"/>
      <c r="R86" s="424"/>
      <c r="S86" s="424"/>
      <c r="T86" s="424"/>
      <c r="U86" s="424"/>
      <c r="V86" s="424"/>
      <c r="W86" s="77"/>
      <c r="X86" s="77"/>
      <c r="Y86" s="77"/>
      <c r="Z86" s="77"/>
    </row>
    <row r="87" ht="16.5" customHeight="1">
      <c r="A87" s="31" t="s">
        <v>9479</v>
      </c>
      <c r="B87" s="31" t="s">
        <v>9480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P87" s="424"/>
      <c r="Q87" s="424"/>
      <c r="R87" s="424"/>
      <c r="S87" s="424"/>
      <c r="T87" s="424"/>
      <c r="U87" s="424"/>
      <c r="V87" s="424"/>
      <c r="W87" s="77"/>
      <c r="X87" s="77"/>
      <c r="Y87" s="77"/>
      <c r="Z87" s="77"/>
    </row>
    <row r="88" ht="16.5" customHeight="1">
      <c r="A88" s="31" t="s">
        <v>9481</v>
      </c>
      <c r="B88" s="31" t="s">
        <v>9482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P88" s="424"/>
      <c r="Q88" s="424"/>
      <c r="R88" s="424"/>
      <c r="S88" s="424"/>
      <c r="T88" s="424"/>
      <c r="U88" s="424"/>
      <c r="V88" s="424"/>
      <c r="W88" s="77"/>
      <c r="X88" s="77"/>
      <c r="Y88" s="77"/>
      <c r="Z88" s="77"/>
    </row>
    <row r="89" ht="16.5" customHeight="1">
      <c r="A89" s="31" t="s">
        <v>9483</v>
      </c>
      <c r="B89" s="31" t="s">
        <v>9484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P89" s="424"/>
      <c r="Q89" s="424"/>
      <c r="R89" s="424"/>
      <c r="S89" s="424"/>
      <c r="T89" s="424"/>
      <c r="U89" s="424"/>
      <c r="V89" s="424"/>
      <c r="W89" s="77"/>
      <c r="X89" s="77"/>
      <c r="Y89" s="77"/>
      <c r="Z89" s="77"/>
    </row>
    <row r="90" ht="16.5" customHeight="1">
      <c r="A90" s="31" t="s">
        <v>9485</v>
      </c>
      <c r="B90" s="31" t="s">
        <v>9486</v>
      </c>
      <c r="P90" s="424"/>
      <c r="Q90" s="424"/>
      <c r="R90" s="424"/>
      <c r="S90" s="424"/>
      <c r="T90" s="424"/>
      <c r="U90" s="424"/>
      <c r="V90" s="424"/>
      <c r="W90" s="77"/>
      <c r="X90" s="77"/>
      <c r="Y90" s="77"/>
      <c r="Z90" s="77"/>
    </row>
    <row r="91" ht="16.5" customHeight="1">
      <c r="A91" s="31" t="s">
        <v>9487</v>
      </c>
      <c r="B91" s="31" t="s">
        <v>9488</v>
      </c>
      <c r="P91" s="424"/>
      <c r="Q91" s="424"/>
      <c r="R91" s="424"/>
      <c r="S91" s="424"/>
      <c r="T91" s="424"/>
      <c r="U91" s="424"/>
      <c r="V91" s="424"/>
      <c r="W91" s="77"/>
      <c r="X91" s="77"/>
      <c r="Y91" s="77"/>
      <c r="Z91" s="77"/>
    </row>
    <row r="92" ht="16.5" customHeight="1">
      <c r="A92" s="31" t="s">
        <v>9489</v>
      </c>
      <c r="B92" s="31" t="s">
        <v>9490</v>
      </c>
      <c r="P92" s="424"/>
      <c r="Q92" s="424"/>
      <c r="R92" s="424"/>
      <c r="S92" s="424"/>
      <c r="T92" s="424"/>
      <c r="U92" s="424"/>
      <c r="V92" s="424"/>
      <c r="W92" s="77"/>
      <c r="X92" s="77"/>
      <c r="Y92" s="77"/>
      <c r="Z92" s="77"/>
    </row>
    <row r="93" ht="16.5" customHeight="1">
      <c r="A93" s="31" t="s">
        <v>9491</v>
      </c>
      <c r="B93" s="31" t="s">
        <v>9492</v>
      </c>
      <c r="P93" s="424"/>
      <c r="Q93" s="424"/>
      <c r="R93" s="424"/>
      <c r="S93" s="424"/>
      <c r="T93" s="424"/>
      <c r="U93" s="424"/>
      <c r="V93" s="424"/>
      <c r="W93" s="77"/>
      <c r="X93" s="77"/>
      <c r="Y93" s="77"/>
      <c r="Z93" s="77"/>
    </row>
    <row r="94" ht="16.5" customHeight="1">
      <c r="A94" s="423" t="s">
        <v>9493</v>
      </c>
      <c r="P94" s="424"/>
      <c r="Q94" s="424"/>
      <c r="R94" s="424"/>
      <c r="S94" s="424"/>
      <c r="T94" s="424"/>
      <c r="U94" s="424"/>
      <c r="V94" s="424"/>
      <c r="W94" s="77"/>
      <c r="X94" s="77"/>
      <c r="Y94" s="77"/>
      <c r="Z94" s="77"/>
    </row>
    <row r="95" ht="16.5" customHeight="1">
      <c r="A95" s="425" t="s">
        <v>9415</v>
      </c>
      <c r="B95" s="425" t="s">
        <v>9414</v>
      </c>
      <c r="C95" s="426" t="s">
        <v>9363</v>
      </c>
      <c r="P95" s="424"/>
      <c r="Q95" s="424"/>
      <c r="R95" s="424"/>
      <c r="S95" s="424"/>
      <c r="T95" s="424"/>
      <c r="U95" s="424"/>
      <c r="V95" s="424"/>
      <c r="W95" s="77"/>
      <c r="X95" s="77"/>
      <c r="Y95" s="77"/>
      <c r="Z95" s="77"/>
    </row>
    <row r="96" ht="16.5" customHeight="1">
      <c r="A96" s="198" t="s">
        <v>9494</v>
      </c>
      <c r="B96" s="198" t="s">
        <v>1787</v>
      </c>
      <c r="C96" s="427" t="s">
        <v>9365</v>
      </c>
      <c r="D96" s="427" t="s">
        <v>8952</v>
      </c>
      <c r="E96" s="427" t="s">
        <v>4702</v>
      </c>
      <c r="F96" s="427" t="s">
        <v>4703</v>
      </c>
      <c r="G96" s="427" t="s">
        <v>4320</v>
      </c>
      <c r="H96" s="427" t="s">
        <v>436</v>
      </c>
      <c r="I96" s="427" t="s">
        <v>4704</v>
      </c>
      <c r="J96" s="427" t="s">
        <v>135</v>
      </c>
      <c r="K96" s="427" t="s">
        <v>128</v>
      </c>
      <c r="L96" s="8"/>
      <c r="M96" s="8"/>
      <c r="P96" s="424"/>
      <c r="Q96" s="424"/>
      <c r="R96" s="424"/>
      <c r="S96" s="424"/>
      <c r="T96" s="424"/>
      <c r="U96" s="424"/>
      <c r="V96" s="424"/>
      <c r="W96" s="77"/>
      <c r="X96" s="77"/>
      <c r="Y96" s="77"/>
      <c r="Z96" s="77"/>
    </row>
    <row r="97" ht="16.5" customHeight="1">
      <c r="A97" s="31" t="s">
        <v>9495</v>
      </c>
      <c r="B97" s="31" t="s">
        <v>9496</v>
      </c>
      <c r="C97" s="4" t="s">
        <v>9441</v>
      </c>
      <c r="D97" s="4" t="s">
        <v>9109</v>
      </c>
      <c r="E97" s="4" t="s">
        <v>9497</v>
      </c>
      <c r="F97" s="4" t="s">
        <v>2881</v>
      </c>
      <c r="G97" s="4" t="s">
        <v>103</v>
      </c>
      <c r="H97" s="4" t="s">
        <v>9498</v>
      </c>
      <c r="I97" s="4" t="s">
        <v>8081</v>
      </c>
      <c r="J97" s="4" t="s">
        <v>9499</v>
      </c>
      <c r="K97" s="4" t="s">
        <v>9500</v>
      </c>
      <c r="L97" s="8"/>
      <c r="M97" s="8"/>
      <c r="P97" s="424"/>
      <c r="Q97" s="424"/>
      <c r="R97" s="424"/>
      <c r="S97" s="424"/>
      <c r="T97" s="424"/>
      <c r="U97" s="424"/>
      <c r="V97" s="424"/>
      <c r="W97" s="77"/>
      <c r="X97" s="77"/>
      <c r="Y97" s="77"/>
      <c r="Z97" s="77"/>
    </row>
    <row r="98" ht="16.5" customHeight="1">
      <c r="A98" s="31" t="s">
        <v>9501</v>
      </c>
      <c r="B98" s="31" t="s">
        <v>1869</v>
      </c>
      <c r="C98" s="4" t="s">
        <v>9466</v>
      </c>
      <c r="D98" s="4" t="s">
        <v>9109</v>
      </c>
      <c r="E98" s="4" t="s">
        <v>8914</v>
      </c>
      <c r="F98" s="4" t="s">
        <v>2881</v>
      </c>
      <c r="G98" s="4" t="s">
        <v>115</v>
      </c>
      <c r="H98" s="4" t="s">
        <v>9498</v>
      </c>
      <c r="I98" s="4" t="s">
        <v>9502</v>
      </c>
      <c r="J98" s="4" t="s">
        <v>9502</v>
      </c>
      <c r="K98" s="4" t="s">
        <v>8076</v>
      </c>
      <c r="L98" s="8"/>
      <c r="M98" s="8"/>
      <c r="P98" s="424"/>
      <c r="Q98" s="424"/>
      <c r="R98" s="424"/>
      <c r="S98" s="424"/>
      <c r="T98" s="424"/>
      <c r="U98" s="424"/>
      <c r="V98" s="424"/>
      <c r="W98" s="77"/>
      <c r="X98" s="77"/>
      <c r="Y98" s="77"/>
      <c r="Z98" s="77"/>
    </row>
    <row r="99" ht="16.5" customHeight="1">
      <c r="A99" s="31" t="s">
        <v>9503</v>
      </c>
      <c r="B99" s="31" t="s">
        <v>9504</v>
      </c>
      <c r="C99" s="4" t="s">
        <v>9472</v>
      </c>
      <c r="D99" s="4" t="s">
        <v>9109</v>
      </c>
      <c r="E99" s="4" t="s">
        <v>8938</v>
      </c>
      <c r="F99" s="4" t="s">
        <v>2881</v>
      </c>
      <c r="G99" s="4" t="s">
        <v>115</v>
      </c>
      <c r="H99" s="4" t="s">
        <v>9505</v>
      </c>
      <c r="I99" s="4" t="s">
        <v>9506</v>
      </c>
      <c r="J99" s="4" t="s">
        <v>9507</v>
      </c>
      <c r="K99" s="4" t="s">
        <v>9506</v>
      </c>
      <c r="L99" s="8"/>
      <c r="M99" s="8"/>
      <c r="P99" s="424"/>
      <c r="Q99" s="424"/>
      <c r="R99" s="424"/>
      <c r="S99" s="424"/>
      <c r="T99" s="424"/>
      <c r="U99" s="424"/>
      <c r="V99" s="424"/>
      <c r="W99" s="77"/>
      <c r="X99" s="77"/>
      <c r="Y99" s="77"/>
      <c r="Z99" s="77"/>
    </row>
    <row r="100" ht="16.5" customHeight="1">
      <c r="A100" s="31" t="s">
        <v>9508</v>
      </c>
      <c r="B100" s="31" t="s">
        <v>9509</v>
      </c>
      <c r="C100" s="108" t="s">
        <v>9510</v>
      </c>
      <c r="L100" s="8"/>
      <c r="M100" s="8"/>
      <c r="P100" s="424"/>
      <c r="Q100" s="424"/>
      <c r="R100" s="424"/>
      <c r="S100" s="424"/>
      <c r="T100" s="424"/>
      <c r="U100" s="424"/>
      <c r="V100" s="424"/>
      <c r="W100" s="77"/>
      <c r="X100" s="77"/>
      <c r="Y100" s="77"/>
      <c r="Z100" s="77"/>
    </row>
    <row r="101" ht="16.5" customHeight="1">
      <c r="A101" s="31" t="s">
        <v>9511</v>
      </c>
      <c r="B101" s="31" t="s">
        <v>9512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P101" s="424"/>
      <c r="Q101" s="424"/>
      <c r="R101" s="424"/>
      <c r="S101" s="424"/>
      <c r="T101" s="424"/>
      <c r="U101" s="424"/>
      <c r="V101" s="424"/>
      <c r="W101" s="77"/>
      <c r="X101" s="77"/>
      <c r="Y101" s="77"/>
      <c r="Z101" s="77"/>
    </row>
    <row r="102" ht="16.5" customHeight="1">
      <c r="A102" s="31" t="s">
        <v>9513</v>
      </c>
      <c r="B102" s="31" t="s">
        <v>1891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P102" s="424"/>
      <c r="Q102" s="424"/>
      <c r="R102" s="424"/>
      <c r="S102" s="424"/>
      <c r="T102" s="424"/>
      <c r="U102" s="424"/>
      <c r="V102" s="424"/>
      <c r="W102" s="77"/>
      <c r="X102" s="77"/>
      <c r="Y102" s="77"/>
      <c r="Z102" s="77"/>
    </row>
    <row r="103" ht="16.5" customHeight="1">
      <c r="A103" s="31" t="s">
        <v>9514</v>
      </c>
      <c r="B103" s="31" t="s">
        <v>9515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P103" s="424"/>
      <c r="Q103" s="424"/>
      <c r="R103" s="424"/>
      <c r="S103" s="424"/>
      <c r="T103" s="424"/>
      <c r="U103" s="424"/>
      <c r="V103" s="424"/>
      <c r="W103" s="77"/>
      <c r="X103" s="77"/>
      <c r="Y103" s="77"/>
      <c r="Z103" s="77"/>
    </row>
    <row r="104" ht="16.5" customHeight="1">
      <c r="A104" s="31" t="s">
        <v>9516</v>
      </c>
      <c r="B104" s="31" t="s">
        <v>9517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P104" s="424"/>
      <c r="Q104" s="424"/>
      <c r="R104" s="424"/>
      <c r="S104" s="424"/>
      <c r="T104" s="424"/>
      <c r="U104" s="424"/>
      <c r="V104" s="424"/>
      <c r="W104" s="77"/>
      <c r="X104" s="77"/>
      <c r="Y104" s="77"/>
      <c r="Z104" s="77"/>
    </row>
    <row r="105" ht="16.5" customHeight="1">
      <c r="A105" s="31" t="s">
        <v>9518</v>
      </c>
      <c r="B105" s="31" t="s">
        <v>9519</v>
      </c>
      <c r="C105" s="8"/>
      <c r="D105" s="8"/>
      <c r="E105" s="8"/>
      <c r="F105" s="8"/>
      <c r="G105" s="8"/>
      <c r="H105" s="8"/>
      <c r="I105" s="8"/>
      <c r="J105" s="8"/>
      <c r="K105" s="8"/>
      <c r="P105" s="424"/>
      <c r="Q105" s="424"/>
      <c r="R105" s="424"/>
      <c r="S105" s="424"/>
      <c r="T105" s="424"/>
      <c r="U105" s="424"/>
      <c r="V105" s="424"/>
      <c r="W105" s="77"/>
      <c r="X105" s="77"/>
      <c r="Y105" s="77"/>
      <c r="Z105" s="77"/>
    </row>
    <row r="106" ht="16.5" customHeight="1">
      <c r="A106" s="31" t="s">
        <v>9520</v>
      </c>
      <c r="B106" s="31" t="s">
        <v>9521</v>
      </c>
      <c r="P106" s="424"/>
      <c r="Q106" s="424"/>
      <c r="R106" s="424"/>
      <c r="S106" s="424"/>
      <c r="T106" s="424"/>
      <c r="U106" s="424"/>
      <c r="V106" s="424"/>
      <c r="W106" s="77"/>
      <c r="X106" s="77"/>
      <c r="Y106" s="77"/>
      <c r="Z106" s="77"/>
    </row>
    <row r="107" ht="16.5" customHeight="1">
      <c r="A107" s="31" t="s">
        <v>9435</v>
      </c>
      <c r="B107" s="31" t="s">
        <v>9522</v>
      </c>
      <c r="P107" s="424"/>
      <c r="Q107" s="424"/>
      <c r="R107" s="424"/>
      <c r="S107" s="424"/>
      <c r="T107" s="424"/>
      <c r="U107" s="424"/>
      <c r="V107" s="424"/>
      <c r="W107" s="77"/>
      <c r="X107" s="77"/>
      <c r="Y107" s="77"/>
      <c r="Z107" s="77"/>
    </row>
    <row r="108" ht="16.5" customHeight="1">
      <c r="A108" s="31" t="s">
        <v>9523</v>
      </c>
      <c r="B108" s="31" t="s">
        <v>9524</v>
      </c>
      <c r="P108" s="424"/>
      <c r="Q108" s="424"/>
      <c r="R108" s="424"/>
      <c r="S108" s="424"/>
      <c r="T108" s="424"/>
      <c r="U108" s="424"/>
      <c r="V108" s="424"/>
      <c r="W108" s="77"/>
      <c r="X108" s="77"/>
      <c r="Y108" s="77"/>
      <c r="Z108" s="77"/>
    </row>
    <row r="109" ht="16.5" customHeight="1">
      <c r="A109" s="31" t="s">
        <v>9525</v>
      </c>
      <c r="B109" s="31" t="s">
        <v>9526</v>
      </c>
      <c r="P109" s="424"/>
      <c r="Q109" s="424"/>
      <c r="R109" s="424"/>
      <c r="S109" s="424"/>
      <c r="T109" s="424"/>
      <c r="U109" s="424"/>
      <c r="V109" s="424"/>
      <c r="W109" s="77"/>
      <c r="X109" s="77"/>
      <c r="Y109" s="77"/>
      <c r="Z109" s="77"/>
    </row>
    <row r="110" ht="16.5" customHeight="1">
      <c r="A110" s="31" t="s">
        <v>9527</v>
      </c>
      <c r="B110" s="31" t="s">
        <v>9528</v>
      </c>
      <c r="P110" s="424"/>
      <c r="Q110" s="424"/>
      <c r="R110" s="424"/>
      <c r="S110" s="424"/>
      <c r="T110" s="424"/>
      <c r="U110" s="424"/>
      <c r="V110" s="424"/>
      <c r="W110" s="77"/>
      <c r="X110" s="77"/>
      <c r="Y110" s="77"/>
      <c r="Z110" s="77"/>
    </row>
    <row r="111" ht="16.5" customHeight="1">
      <c r="A111" s="423" t="s">
        <v>9529</v>
      </c>
      <c r="P111" s="424"/>
      <c r="Q111" s="424"/>
      <c r="R111" s="424"/>
      <c r="S111" s="424"/>
      <c r="T111" s="424"/>
      <c r="U111" s="424"/>
      <c r="V111" s="424"/>
      <c r="W111" s="77"/>
      <c r="X111" s="77"/>
      <c r="Y111" s="77"/>
      <c r="Z111" s="77"/>
    </row>
    <row r="112" ht="16.5" customHeight="1">
      <c r="A112" s="425" t="s">
        <v>9530</v>
      </c>
      <c r="B112" s="425" t="s">
        <v>9459</v>
      </c>
      <c r="C112" s="425" t="s">
        <v>9531</v>
      </c>
      <c r="D112" s="425" t="s">
        <v>9532</v>
      </c>
      <c r="E112" s="425" t="s">
        <v>9533</v>
      </c>
      <c r="F112" s="425" t="s">
        <v>9534</v>
      </c>
      <c r="G112" s="426" t="s">
        <v>9363</v>
      </c>
      <c r="P112" s="424"/>
      <c r="Q112" s="424"/>
      <c r="R112" s="424"/>
      <c r="S112" s="424"/>
      <c r="T112" s="424"/>
      <c r="U112" s="424"/>
      <c r="V112" s="424"/>
      <c r="W112" s="77"/>
      <c r="X112" s="77"/>
      <c r="Y112" s="77"/>
      <c r="Z112" s="77"/>
    </row>
    <row r="113" ht="16.5" customHeight="1">
      <c r="A113" s="428" t="s">
        <v>4251</v>
      </c>
      <c r="B113" s="428" t="s">
        <v>9535</v>
      </c>
      <c r="C113" s="31" t="s">
        <v>9536</v>
      </c>
      <c r="D113" s="31" t="s">
        <v>9537</v>
      </c>
      <c r="E113" s="31" t="s">
        <v>9538</v>
      </c>
      <c r="F113" s="31" t="s">
        <v>2057</v>
      </c>
      <c r="G113" s="427" t="s">
        <v>9365</v>
      </c>
      <c r="H113" s="427" t="s">
        <v>8952</v>
      </c>
      <c r="I113" s="427" t="s">
        <v>4702</v>
      </c>
      <c r="J113" s="427" t="s">
        <v>4703</v>
      </c>
      <c r="K113" s="427" t="s">
        <v>4320</v>
      </c>
      <c r="L113" s="427" t="s">
        <v>436</v>
      </c>
      <c r="M113" s="427" t="s">
        <v>4704</v>
      </c>
      <c r="N113" s="427" t="s">
        <v>135</v>
      </c>
      <c r="O113" s="427" t="s">
        <v>128</v>
      </c>
      <c r="P113" s="424"/>
      <c r="Q113" s="424"/>
      <c r="R113" s="424"/>
      <c r="S113" s="424"/>
      <c r="T113" s="424"/>
      <c r="U113" s="424"/>
      <c r="V113" s="424"/>
      <c r="W113" s="77"/>
      <c r="X113" s="77"/>
      <c r="Y113" s="77"/>
      <c r="Z113" s="77"/>
    </row>
    <row r="114" ht="16.5" customHeight="1">
      <c r="A114" s="31" t="s">
        <v>9539</v>
      </c>
      <c r="B114" s="31" t="s">
        <v>9540</v>
      </c>
      <c r="C114" s="31" t="s">
        <v>1265</v>
      </c>
      <c r="D114" s="31" t="s">
        <v>3866</v>
      </c>
      <c r="E114" s="31" t="s">
        <v>2174</v>
      </c>
      <c r="F114" s="31" t="s">
        <v>856</v>
      </c>
      <c r="G114" s="4" t="s">
        <v>9541</v>
      </c>
      <c r="H114" s="4" t="s">
        <v>9109</v>
      </c>
      <c r="I114" s="4" t="s">
        <v>9497</v>
      </c>
      <c r="J114" s="4" t="s">
        <v>9542</v>
      </c>
      <c r="K114" s="4" t="s">
        <v>18</v>
      </c>
      <c r="L114" s="4" t="s">
        <v>8058</v>
      </c>
      <c r="M114" s="4" t="s">
        <v>9543</v>
      </c>
      <c r="N114" s="4" t="s">
        <v>9543</v>
      </c>
      <c r="O114" s="4" t="s">
        <v>9544</v>
      </c>
      <c r="P114" s="424"/>
      <c r="Q114" s="424"/>
      <c r="R114" s="424"/>
      <c r="S114" s="424"/>
      <c r="T114" s="424"/>
      <c r="U114" s="424"/>
      <c r="V114" s="424"/>
      <c r="W114" s="77"/>
      <c r="X114" s="77"/>
      <c r="Y114" s="77"/>
      <c r="Z114" s="77"/>
    </row>
    <row r="115" ht="16.5" customHeight="1">
      <c r="A115" s="31" t="s">
        <v>9545</v>
      </c>
      <c r="B115" s="31" t="s">
        <v>9546</v>
      </c>
      <c r="C115" s="31" t="s">
        <v>9547</v>
      </c>
      <c r="D115" s="31" t="s">
        <v>9548</v>
      </c>
      <c r="E115" s="31" t="s">
        <v>9549</v>
      </c>
      <c r="F115" s="31" t="s">
        <v>9550</v>
      </c>
      <c r="G115" s="4" t="s">
        <v>9551</v>
      </c>
      <c r="H115" s="4" t="s">
        <v>9109</v>
      </c>
      <c r="I115" s="4" t="s">
        <v>9497</v>
      </c>
      <c r="J115" s="4" t="s">
        <v>9552</v>
      </c>
      <c r="K115" s="4" t="s">
        <v>9277</v>
      </c>
      <c r="L115" s="26" t="s">
        <v>9553</v>
      </c>
      <c r="M115" s="26" t="s">
        <v>9554</v>
      </c>
      <c r="N115" s="424" t="s">
        <v>9555</v>
      </c>
      <c r="O115" s="424" t="s">
        <v>9556</v>
      </c>
      <c r="P115" s="424"/>
      <c r="Q115" s="424"/>
      <c r="R115" s="424"/>
      <c r="S115" s="424"/>
      <c r="T115" s="424"/>
      <c r="U115" s="424"/>
      <c r="V115" s="424"/>
      <c r="W115" s="77"/>
      <c r="X115" s="77"/>
      <c r="Y115" s="77"/>
      <c r="Z115" s="77"/>
    </row>
    <row r="116" ht="16.5" customHeight="1">
      <c r="A116" s="31" t="s">
        <v>9557</v>
      </c>
      <c r="B116" s="31" t="s">
        <v>9558</v>
      </c>
      <c r="C116" s="31" t="s">
        <v>9559</v>
      </c>
      <c r="D116" s="31" t="s">
        <v>9560</v>
      </c>
      <c r="E116" s="31" t="s">
        <v>9561</v>
      </c>
      <c r="F116" s="31" t="s">
        <v>9562</v>
      </c>
      <c r="G116" s="4" t="s">
        <v>9563</v>
      </c>
      <c r="H116" s="4" t="s">
        <v>9109</v>
      </c>
      <c r="I116" s="4" t="s">
        <v>8914</v>
      </c>
      <c r="J116" s="4" t="s">
        <v>9542</v>
      </c>
      <c r="K116" s="4" t="s">
        <v>19</v>
      </c>
      <c r="L116" s="26" t="s">
        <v>4393</v>
      </c>
      <c r="M116" s="26" t="s">
        <v>9564</v>
      </c>
      <c r="N116" s="26" t="s">
        <v>9564</v>
      </c>
      <c r="O116" s="424" t="s">
        <v>9565</v>
      </c>
      <c r="P116" s="424"/>
      <c r="Q116" s="424"/>
      <c r="R116" s="424"/>
      <c r="S116" s="424"/>
      <c r="T116" s="424"/>
      <c r="U116" s="424"/>
      <c r="V116" s="424"/>
      <c r="W116" s="77"/>
      <c r="X116" s="77"/>
      <c r="Y116" s="77"/>
      <c r="Z116" s="77"/>
    </row>
    <row r="117" ht="16.5" customHeight="1">
      <c r="A117" s="31" t="s">
        <v>9566</v>
      </c>
      <c r="B117" s="31" t="s">
        <v>9567</v>
      </c>
      <c r="C117" s="31" t="s">
        <v>9568</v>
      </c>
      <c r="D117" s="31" t="s">
        <v>563</v>
      </c>
      <c r="E117" s="31" t="s">
        <v>9569</v>
      </c>
      <c r="F117" s="31" t="s">
        <v>9570</v>
      </c>
      <c r="G117" s="4" t="s">
        <v>9571</v>
      </c>
      <c r="H117" s="4" t="s">
        <v>9109</v>
      </c>
      <c r="I117" s="4" t="s">
        <v>8914</v>
      </c>
      <c r="J117" s="4" t="s">
        <v>9552</v>
      </c>
      <c r="K117" s="4" t="s">
        <v>109</v>
      </c>
      <c r="L117" s="26" t="s">
        <v>7911</v>
      </c>
      <c r="M117" s="26" t="s">
        <v>9572</v>
      </c>
      <c r="N117" s="424" t="s">
        <v>9573</v>
      </c>
      <c r="O117" s="26" t="s">
        <v>9572</v>
      </c>
      <c r="P117" s="424"/>
      <c r="Q117" s="424"/>
      <c r="R117" s="424"/>
      <c r="S117" s="424"/>
      <c r="T117" s="424"/>
      <c r="U117" s="424"/>
      <c r="V117" s="424"/>
      <c r="W117" s="77"/>
      <c r="X117" s="77"/>
      <c r="Y117" s="77"/>
      <c r="Z117" s="77"/>
    </row>
    <row r="118" ht="16.5" customHeight="1">
      <c r="A118" s="31" t="s">
        <v>9574</v>
      </c>
      <c r="B118" s="31" t="s">
        <v>9575</v>
      </c>
      <c r="C118" s="31" t="s">
        <v>7963</v>
      </c>
      <c r="D118" s="31" t="s">
        <v>9576</v>
      </c>
      <c r="E118" s="31" t="s">
        <v>9577</v>
      </c>
      <c r="F118" s="31" t="s">
        <v>9578</v>
      </c>
      <c r="G118" s="4" t="s">
        <v>9579</v>
      </c>
      <c r="H118" s="4" t="s">
        <v>9109</v>
      </c>
      <c r="I118" s="4" t="s">
        <v>8938</v>
      </c>
      <c r="J118" s="4" t="s">
        <v>9542</v>
      </c>
      <c r="K118" s="4" t="s">
        <v>120</v>
      </c>
      <c r="L118" s="26" t="s">
        <v>4393</v>
      </c>
      <c r="M118" s="26" t="s">
        <v>9580</v>
      </c>
      <c r="N118" s="26" t="s">
        <v>9580</v>
      </c>
      <c r="O118" s="424" t="s">
        <v>9581</v>
      </c>
      <c r="P118" s="424"/>
      <c r="Q118" s="424"/>
      <c r="R118" s="424"/>
      <c r="S118" s="424"/>
      <c r="T118" s="424"/>
      <c r="U118" s="424"/>
      <c r="V118" s="424"/>
      <c r="W118" s="77"/>
      <c r="X118" s="77"/>
      <c r="Y118" s="77"/>
      <c r="Z118" s="77"/>
    </row>
    <row r="119" ht="16.5" customHeight="1">
      <c r="A119" s="31" t="s">
        <v>9582</v>
      </c>
      <c r="B119" s="31" t="s">
        <v>9583</v>
      </c>
      <c r="C119" s="31" t="s">
        <v>7968</v>
      </c>
      <c r="D119" s="31" t="s">
        <v>9584</v>
      </c>
      <c r="E119" s="31" t="s">
        <v>9585</v>
      </c>
      <c r="F119" s="31" t="s">
        <v>9586</v>
      </c>
      <c r="G119" s="4" t="s">
        <v>9587</v>
      </c>
      <c r="H119" s="4" t="s">
        <v>9109</v>
      </c>
      <c r="I119" s="4" t="s">
        <v>8938</v>
      </c>
      <c r="J119" s="4" t="s">
        <v>9552</v>
      </c>
      <c r="K119" s="4" t="s">
        <v>19</v>
      </c>
      <c r="L119" s="26" t="s">
        <v>9588</v>
      </c>
      <c r="M119" s="26" t="s">
        <v>9565</v>
      </c>
      <c r="N119" s="26" t="s">
        <v>9565</v>
      </c>
      <c r="O119" s="424" t="s">
        <v>9589</v>
      </c>
      <c r="P119" s="424"/>
      <c r="Q119" s="424"/>
      <c r="R119" s="424"/>
      <c r="S119" s="424"/>
      <c r="T119" s="424"/>
      <c r="U119" s="424"/>
      <c r="V119" s="424"/>
      <c r="W119" s="77"/>
      <c r="X119" s="77"/>
      <c r="Y119" s="77"/>
      <c r="Z119" s="77"/>
    </row>
    <row r="120" ht="16.5" customHeight="1">
      <c r="A120" s="31" t="s">
        <v>9590</v>
      </c>
      <c r="B120" s="31" t="s">
        <v>9591</v>
      </c>
      <c r="C120" s="31" t="s">
        <v>9592</v>
      </c>
      <c r="D120" s="31" t="s">
        <v>9593</v>
      </c>
      <c r="E120" s="31" t="s">
        <v>9594</v>
      </c>
      <c r="F120" s="31" t="s">
        <v>9595</v>
      </c>
      <c r="G120" s="4" t="s">
        <v>9596</v>
      </c>
      <c r="H120" s="4" t="s">
        <v>9109</v>
      </c>
      <c r="I120" s="4" t="s">
        <v>8931</v>
      </c>
      <c r="J120" s="4" t="s">
        <v>9542</v>
      </c>
      <c r="K120" s="4" t="s">
        <v>18</v>
      </c>
      <c r="L120" s="26" t="s">
        <v>8066</v>
      </c>
      <c r="M120" s="26" t="s">
        <v>9544</v>
      </c>
      <c r="N120" s="424" t="s">
        <v>9544</v>
      </c>
      <c r="O120" s="424" t="s">
        <v>9597</v>
      </c>
      <c r="P120" s="424"/>
      <c r="Q120" s="424"/>
      <c r="R120" s="424"/>
      <c r="S120" s="424"/>
      <c r="T120" s="424"/>
      <c r="U120" s="424"/>
      <c r="V120" s="424"/>
      <c r="W120" s="77"/>
      <c r="X120" s="77"/>
      <c r="Y120" s="77"/>
      <c r="Z120" s="77"/>
    </row>
    <row r="121" ht="16.5" customHeight="1">
      <c r="A121" s="31" t="s">
        <v>9598</v>
      </c>
      <c r="B121" s="31" t="s">
        <v>9599</v>
      </c>
      <c r="C121" s="31" t="s">
        <v>9600</v>
      </c>
      <c r="D121" s="31" t="s">
        <v>9601</v>
      </c>
      <c r="E121" s="31" t="s">
        <v>9602</v>
      </c>
      <c r="F121" s="31" t="s">
        <v>9603</v>
      </c>
      <c r="G121" s="4" t="s">
        <v>9604</v>
      </c>
      <c r="H121" s="4" t="s">
        <v>9109</v>
      </c>
      <c r="I121" s="4" t="s">
        <v>8931</v>
      </c>
      <c r="J121" s="4" t="s">
        <v>9552</v>
      </c>
      <c r="K121" s="4" t="s">
        <v>109</v>
      </c>
      <c r="L121" s="26" t="s">
        <v>4393</v>
      </c>
      <c r="M121" s="26" t="s">
        <v>9605</v>
      </c>
      <c r="N121" s="26" t="s">
        <v>9605</v>
      </c>
      <c r="O121" s="424" t="s">
        <v>9572</v>
      </c>
      <c r="P121" s="424"/>
      <c r="Q121" s="424"/>
      <c r="R121" s="424"/>
      <c r="S121" s="424"/>
      <c r="T121" s="424"/>
      <c r="U121" s="424"/>
      <c r="V121" s="424"/>
      <c r="W121" s="77"/>
      <c r="X121" s="77"/>
      <c r="Y121" s="77"/>
      <c r="Z121" s="77"/>
    </row>
    <row r="122" ht="16.5" customHeight="1">
      <c r="A122" s="31" t="s">
        <v>9606</v>
      </c>
      <c r="B122" s="31" t="s">
        <v>9607</v>
      </c>
      <c r="C122" s="31" t="s">
        <v>9608</v>
      </c>
      <c r="D122" s="31" t="s">
        <v>9609</v>
      </c>
      <c r="E122" s="31" t="s">
        <v>9610</v>
      </c>
      <c r="F122" s="31" t="s">
        <v>9611</v>
      </c>
      <c r="G122" s="4" t="s">
        <v>9612</v>
      </c>
      <c r="H122" s="4" t="s">
        <v>9109</v>
      </c>
      <c r="I122" s="4" t="s">
        <v>9613</v>
      </c>
      <c r="J122" s="4" t="s">
        <v>9542</v>
      </c>
      <c r="K122" s="8"/>
      <c r="L122" s="9"/>
      <c r="M122" s="9"/>
      <c r="N122" s="424"/>
      <c r="O122" s="424"/>
      <c r="P122" s="424"/>
      <c r="Q122" s="424"/>
      <c r="R122" s="424"/>
      <c r="S122" s="424"/>
      <c r="T122" s="424"/>
      <c r="U122" s="424"/>
      <c r="V122" s="424"/>
      <c r="W122" s="77"/>
      <c r="X122" s="77"/>
      <c r="Y122" s="77"/>
      <c r="Z122" s="77"/>
    </row>
    <row r="123" ht="16.5" customHeight="1">
      <c r="A123" s="31" t="s">
        <v>9614</v>
      </c>
      <c r="B123" s="31" t="s">
        <v>2125</v>
      </c>
      <c r="C123" s="31" t="s">
        <v>9615</v>
      </c>
      <c r="D123" s="31" t="s">
        <v>9616</v>
      </c>
      <c r="E123" s="31" t="s">
        <v>9617</v>
      </c>
      <c r="F123" s="31" t="s">
        <v>9618</v>
      </c>
      <c r="G123" s="4" t="s">
        <v>9619</v>
      </c>
      <c r="H123" s="4" t="s">
        <v>9109</v>
      </c>
      <c r="I123" s="4" t="s">
        <v>9613</v>
      </c>
      <c r="J123" s="4" t="s">
        <v>9552</v>
      </c>
      <c r="K123" s="8"/>
      <c r="L123" s="9"/>
      <c r="M123" s="9"/>
      <c r="N123" s="424"/>
      <c r="O123" s="424"/>
      <c r="P123" s="424"/>
      <c r="Q123" s="424"/>
      <c r="R123" s="424"/>
      <c r="S123" s="424"/>
      <c r="T123" s="424"/>
      <c r="U123" s="424"/>
      <c r="V123" s="424"/>
      <c r="W123" s="77"/>
      <c r="X123" s="77"/>
      <c r="Y123" s="77"/>
      <c r="Z123" s="77"/>
    </row>
    <row r="124" ht="16.5" customHeight="1">
      <c r="A124" s="31" t="s">
        <v>9620</v>
      </c>
      <c r="B124" s="31" t="s">
        <v>9621</v>
      </c>
      <c r="C124" s="31" t="s">
        <v>9622</v>
      </c>
      <c r="D124" s="31" t="s">
        <v>9623</v>
      </c>
      <c r="E124" s="31" t="s">
        <v>9624</v>
      </c>
      <c r="F124" s="31" t="s">
        <v>9625</v>
      </c>
      <c r="G124" s="4" t="s">
        <v>9626</v>
      </c>
      <c r="H124" s="4" t="s">
        <v>9109</v>
      </c>
      <c r="I124" s="4" t="s">
        <v>8934</v>
      </c>
      <c r="J124" s="4" t="s">
        <v>9542</v>
      </c>
      <c r="K124" s="8"/>
      <c r="L124" s="9"/>
      <c r="M124" s="9"/>
      <c r="N124" s="424"/>
      <c r="O124" s="424"/>
      <c r="P124" s="424"/>
      <c r="Q124" s="424"/>
      <c r="R124" s="424"/>
      <c r="S124" s="424"/>
      <c r="T124" s="424"/>
      <c r="U124" s="424"/>
      <c r="V124" s="424"/>
      <c r="W124" s="77"/>
      <c r="X124" s="77"/>
      <c r="Y124" s="77"/>
      <c r="Z124" s="77"/>
    </row>
    <row r="125" ht="16.5" customHeight="1">
      <c r="A125" s="31" t="s">
        <v>9627</v>
      </c>
      <c r="B125" s="31" t="s">
        <v>9628</v>
      </c>
      <c r="C125" s="31" t="s">
        <v>9629</v>
      </c>
      <c r="D125" s="31" t="s">
        <v>9630</v>
      </c>
      <c r="E125" s="31" t="s">
        <v>9631</v>
      </c>
      <c r="F125" s="31" t="s">
        <v>1430</v>
      </c>
      <c r="G125" s="4" t="s">
        <v>9632</v>
      </c>
      <c r="H125" s="4" t="s">
        <v>9109</v>
      </c>
      <c r="I125" s="4" t="s">
        <v>8934</v>
      </c>
      <c r="J125" s="4" t="s">
        <v>9552</v>
      </c>
      <c r="K125" s="8"/>
      <c r="L125" s="9"/>
      <c r="M125" s="9"/>
      <c r="N125" s="424"/>
      <c r="O125" s="424"/>
      <c r="P125" s="424"/>
      <c r="Q125" s="424"/>
      <c r="R125" s="424"/>
      <c r="S125" s="424"/>
      <c r="T125" s="424"/>
      <c r="U125" s="424"/>
      <c r="V125" s="424"/>
      <c r="W125" s="77"/>
      <c r="X125" s="77"/>
      <c r="Y125" s="77"/>
      <c r="Z125" s="77"/>
    </row>
    <row r="126" ht="16.5" customHeight="1">
      <c r="A126" s="31" t="s">
        <v>4295</v>
      </c>
      <c r="B126" s="31" t="s">
        <v>9633</v>
      </c>
      <c r="C126" s="31" t="s">
        <v>9634</v>
      </c>
      <c r="D126" s="31" t="s">
        <v>9635</v>
      </c>
      <c r="E126" s="31" t="s">
        <v>9636</v>
      </c>
      <c r="F126" s="31" t="s">
        <v>9637</v>
      </c>
      <c r="G126" s="4" t="s">
        <v>9638</v>
      </c>
      <c r="H126" s="4" t="s">
        <v>9109</v>
      </c>
      <c r="I126" s="4" t="s">
        <v>8568</v>
      </c>
      <c r="J126" s="4" t="s">
        <v>9542</v>
      </c>
      <c r="K126" s="8"/>
      <c r="L126" s="9"/>
      <c r="M126" s="9"/>
      <c r="N126" s="424"/>
      <c r="O126" s="424"/>
      <c r="P126" s="424"/>
      <c r="Q126" s="424"/>
      <c r="R126" s="424"/>
      <c r="S126" s="424"/>
      <c r="T126" s="424"/>
      <c r="U126" s="424"/>
      <c r="V126" s="424"/>
      <c r="W126" s="77"/>
      <c r="X126" s="77"/>
      <c r="Y126" s="77"/>
      <c r="Z126" s="77"/>
    </row>
    <row r="127" ht="16.5" customHeight="1">
      <c r="A127" s="31" t="s">
        <v>9639</v>
      </c>
      <c r="B127" s="31" t="s">
        <v>9640</v>
      </c>
      <c r="C127" s="31" t="s">
        <v>9641</v>
      </c>
      <c r="D127" s="31" t="s">
        <v>9642</v>
      </c>
      <c r="E127" s="31" t="s">
        <v>9643</v>
      </c>
      <c r="F127" s="31" t="s">
        <v>9644</v>
      </c>
      <c r="G127" s="4" t="s">
        <v>9645</v>
      </c>
      <c r="H127" s="4" t="s">
        <v>9109</v>
      </c>
      <c r="I127" s="4" t="s">
        <v>8568</v>
      </c>
      <c r="J127" s="4" t="s">
        <v>9552</v>
      </c>
      <c r="K127" s="8"/>
      <c r="L127" s="9"/>
      <c r="M127" s="9"/>
      <c r="N127" s="424"/>
      <c r="O127" s="424"/>
      <c r="P127" s="424"/>
      <c r="Q127" s="424"/>
      <c r="R127" s="424"/>
      <c r="S127" s="424"/>
      <c r="T127" s="424"/>
      <c r="U127" s="424"/>
      <c r="V127" s="424"/>
      <c r="W127" s="77"/>
      <c r="X127" s="77"/>
      <c r="Y127" s="77"/>
      <c r="Z127" s="77"/>
    </row>
    <row r="128" ht="16.5" customHeight="1">
      <c r="A128" s="31"/>
      <c r="B128" s="31"/>
      <c r="C128" s="31"/>
      <c r="D128" s="31"/>
      <c r="E128" s="31"/>
      <c r="F128" s="31"/>
      <c r="G128" s="4" t="s">
        <v>9646</v>
      </c>
      <c r="H128" s="4" t="s">
        <v>9109</v>
      </c>
      <c r="I128" s="4" t="s">
        <v>9647</v>
      </c>
      <c r="J128" s="4" t="s">
        <v>9542</v>
      </c>
      <c r="K128" s="8"/>
      <c r="L128" s="9"/>
      <c r="M128" s="9"/>
      <c r="N128" s="424"/>
      <c r="O128" s="424"/>
      <c r="P128" s="424"/>
      <c r="Q128" s="424"/>
      <c r="R128" s="424"/>
      <c r="S128" s="424"/>
      <c r="T128" s="424"/>
      <c r="U128" s="424"/>
      <c r="V128" s="424"/>
      <c r="W128" s="77"/>
      <c r="X128" s="77"/>
      <c r="Y128" s="77"/>
      <c r="Z128" s="77"/>
    </row>
    <row r="129" ht="16.5" customHeight="1">
      <c r="A129" s="31"/>
      <c r="B129" s="31"/>
      <c r="C129" s="31"/>
      <c r="D129" s="31"/>
      <c r="E129" s="31"/>
      <c r="F129" s="31"/>
      <c r="G129" s="4" t="s">
        <v>9648</v>
      </c>
      <c r="H129" s="4" t="s">
        <v>9109</v>
      </c>
      <c r="I129" s="4" t="s">
        <v>8942</v>
      </c>
      <c r="J129" s="4" t="s">
        <v>9552</v>
      </c>
      <c r="K129" s="8"/>
      <c r="L129" s="9"/>
      <c r="M129" s="9"/>
      <c r="N129" s="424"/>
      <c r="O129" s="424"/>
      <c r="P129" s="424"/>
      <c r="Q129" s="424"/>
      <c r="R129" s="424"/>
      <c r="S129" s="424"/>
      <c r="T129" s="424"/>
      <c r="U129" s="424"/>
      <c r="V129" s="424"/>
      <c r="W129" s="77"/>
      <c r="X129" s="77"/>
      <c r="Y129" s="77"/>
      <c r="Z129" s="77"/>
    </row>
    <row r="130" ht="16.5" customHeight="1">
      <c r="A130" s="423" t="s">
        <v>9649</v>
      </c>
      <c r="L130" s="77"/>
      <c r="M130" s="77"/>
      <c r="N130" s="424"/>
      <c r="O130" s="424"/>
      <c r="P130" s="424"/>
      <c r="Q130" s="424"/>
      <c r="R130" s="424"/>
      <c r="S130" s="424"/>
      <c r="T130" s="424"/>
      <c r="U130" s="424"/>
      <c r="V130" s="424"/>
      <c r="W130" s="77"/>
      <c r="X130" s="77"/>
      <c r="Y130" s="77"/>
      <c r="Z130" s="77"/>
    </row>
    <row r="131" ht="16.5" customHeight="1">
      <c r="A131" s="425" t="s">
        <v>9414</v>
      </c>
      <c r="B131" s="425" t="s">
        <v>9531</v>
      </c>
      <c r="C131" s="426" t="s">
        <v>9363</v>
      </c>
      <c r="L131" s="77"/>
      <c r="M131" s="77"/>
      <c r="N131" s="424"/>
      <c r="O131" s="424"/>
      <c r="P131" s="424"/>
      <c r="Q131" s="424"/>
      <c r="R131" s="424"/>
      <c r="S131" s="424"/>
      <c r="T131" s="424"/>
      <c r="U131" s="424"/>
      <c r="V131" s="424"/>
      <c r="W131" s="77"/>
      <c r="X131" s="77"/>
      <c r="Y131" s="77"/>
      <c r="Z131" s="77"/>
    </row>
    <row r="132" ht="16.5" customHeight="1">
      <c r="A132" s="198" t="s">
        <v>1787</v>
      </c>
      <c r="B132" s="198" t="s">
        <v>1263</v>
      </c>
      <c r="C132" s="427" t="s">
        <v>9365</v>
      </c>
      <c r="D132" s="427" t="s">
        <v>8952</v>
      </c>
      <c r="E132" s="427" t="s">
        <v>4702</v>
      </c>
      <c r="F132" s="427" t="s">
        <v>4703</v>
      </c>
      <c r="G132" s="427" t="s">
        <v>4320</v>
      </c>
      <c r="H132" s="427" t="s">
        <v>436</v>
      </c>
      <c r="I132" s="427" t="s">
        <v>4704</v>
      </c>
      <c r="J132" s="427" t="s">
        <v>135</v>
      </c>
      <c r="K132" s="427" t="s">
        <v>128</v>
      </c>
      <c r="L132" s="77"/>
      <c r="M132" s="77"/>
      <c r="N132" s="424"/>
      <c r="O132" s="424"/>
      <c r="P132" s="424"/>
      <c r="Q132" s="424"/>
      <c r="R132" s="424"/>
      <c r="S132" s="424"/>
      <c r="T132" s="424"/>
      <c r="U132" s="424"/>
      <c r="V132" s="424"/>
      <c r="W132" s="77"/>
      <c r="X132" s="77"/>
      <c r="Y132" s="77"/>
      <c r="Z132" s="77"/>
    </row>
    <row r="133" ht="16.5" customHeight="1">
      <c r="A133" s="31" t="s">
        <v>9650</v>
      </c>
      <c r="B133" s="31" t="s">
        <v>1265</v>
      </c>
      <c r="C133" s="4" t="s">
        <v>9441</v>
      </c>
      <c r="D133" s="4" t="s">
        <v>9109</v>
      </c>
      <c r="E133" s="4" t="s">
        <v>8921</v>
      </c>
      <c r="F133" s="4" t="s">
        <v>9651</v>
      </c>
      <c r="G133" s="4" t="s">
        <v>19</v>
      </c>
      <c r="H133" s="4" t="s">
        <v>9652</v>
      </c>
      <c r="I133" s="4" t="s">
        <v>9653</v>
      </c>
      <c r="J133" s="4" t="s">
        <v>9589</v>
      </c>
      <c r="K133" s="4" t="s">
        <v>9653</v>
      </c>
      <c r="L133" s="9"/>
      <c r="M133" s="9"/>
      <c r="N133" s="424"/>
      <c r="O133" s="424"/>
      <c r="P133" s="424"/>
      <c r="Q133" s="424"/>
      <c r="R133" s="424"/>
      <c r="S133" s="424"/>
      <c r="T133" s="424"/>
      <c r="U133" s="424"/>
      <c r="V133" s="424"/>
      <c r="W133" s="77"/>
      <c r="X133" s="77"/>
      <c r="Y133" s="77"/>
      <c r="Z133" s="77"/>
    </row>
    <row r="134" ht="16.5" customHeight="1">
      <c r="A134" s="31" t="s">
        <v>1869</v>
      </c>
      <c r="B134" s="31" t="s">
        <v>9654</v>
      </c>
      <c r="C134" s="108" t="s">
        <v>9655</v>
      </c>
      <c r="L134" s="9"/>
      <c r="M134" s="9"/>
      <c r="N134" s="424"/>
      <c r="O134" s="424"/>
      <c r="P134" s="424"/>
      <c r="Q134" s="424"/>
      <c r="R134" s="424"/>
      <c r="S134" s="424"/>
      <c r="T134" s="424"/>
      <c r="U134" s="424"/>
      <c r="V134" s="424"/>
      <c r="W134" s="77"/>
      <c r="X134" s="77"/>
      <c r="Y134" s="77"/>
      <c r="Z134" s="77"/>
    </row>
    <row r="135" ht="16.5" customHeight="1">
      <c r="A135" s="31" t="s">
        <v>9504</v>
      </c>
      <c r="B135" s="31" t="s">
        <v>9559</v>
      </c>
      <c r="C135" s="8"/>
      <c r="D135" s="8"/>
      <c r="E135" s="8"/>
      <c r="F135" s="8"/>
      <c r="G135" s="8"/>
      <c r="H135" s="8"/>
      <c r="I135" s="8"/>
      <c r="J135" s="8"/>
      <c r="K135" s="8"/>
      <c r="L135" s="9"/>
      <c r="M135" s="9"/>
      <c r="N135" s="424"/>
      <c r="O135" s="424"/>
      <c r="P135" s="424"/>
      <c r="Q135" s="424"/>
      <c r="R135" s="424"/>
      <c r="S135" s="424"/>
      <c r="T135" s="424"/>
      <c r="U135" s="424"/>
      <c r="V135" s="424"/>
      <c r="W135" s="77"/>
      <c r="X135" s="77"/>
      <c r="Y135" s="77"/>
      <c r="Z135" s="77"/>
    </row>
    <row r="136" ht="16.5" customHeight="1">
      <c r="A136" s="31" t="s">
        <v>5016</v>
      </c>
      <c r="B136" s="31" t="s">
        <v>9568</v>
      </c>
      <c r="C136" s="8"/>
      <c r="D136" s="8"/>
      <c r="E136" s="8"/>
      <c r="F136" s="8"/>
      <c r="G136" s="8"/>
      <c r="H136" s="8"/>
      <c r="I136" s="8"/>
      <c r="J136" s="8"/>
      <c r="K136" s="8"/>
      <c r="L136" s="9"/>
      <c r="M136" s="9"/>
      <c r="N136" s="424"/>
      <c r="O136" s="424"/>
      <c r="P136" s="424"/>
      <c r="Q136" s="424"/>
      <c r="R136" s="424"/>
      <c r="S136" s="424"/>
      <c r="T136" s="424"/>
      <c r="U136" s="424"/>
      <c r="V136" s="424"/>
      <c r="W136" s="77"/>
      <c r="X136" s="77"/>
      <c r="Y136" s="77"/>
      <c r="Z136" s="77"/>
    </row>
    <row r="137" ht="16.5" customHeight="1">
      <c r="A137" s="31" t="s">
        <v>9512</v>
      </c>
      <c r="B137" s="31" t="s">
        <v>7963</v>
      </c>
      <c r="C137" s="8"/>
      <c r="D137" s="8"/>
      <c r="E137" s="8"/>
      <c r="F137" s="8"/>
      <c r="G137" s="8"/>
      <c r="H137" s="8"/>
      <c r="I137" s="8"/>
      <c r="J137" s="8"/>
      <c r="K137" s="8"/>
      <c r="L137" s="9"/>
      <c r="M137" s="9"/>
      <c r="N137" s="424"/>
      <c r="O137" s="424"/>
      <c r="P137" s="424"/>
      <c r="Q137" s="424"/>
      <c r="R137" s="424"/>
      <c r="S137" s="424"/>
      <c r="T137" s="424"/>
      <c r="U137" s="424"/>
      <c r="V137" s="424"/>
      <c r="W137" s="77"/>
      <c r="X137" s="77"/>
      <c r="Y137" s="77"/>
      <c r="Z137" s="77"/>
    </row>
    <row r="138" ht="16.5" customHeight="1">
      <c r="A138" s="31" t="s">
        <v>1891</v>
      </c>
      <c r="B138" s="31" t="s">
        <v>9656</v>
      </c>
      <c r="C138" s="8"/>
      <c r="D138" s="8"/>
      <c r="E138" s="8"/>
      <c r="F138" s="8"/>
      <c r="G138" s="8"/>
      <c r="H138" s="8"/>
      <c r="I138" s="8"/>
      <c r="J138" s="8"/>
      <c r="K138" s="8"/>
      <c r="L138" s="9"/>
      <c r="M138" s="9"/>
      <c r="N138" s="424"/>
      <c r="O138" s="424"/>
      <c r="P138" s="424"/>
      <c r="Q138" s="424"/>
      <c r="R138" s="424"/>
      <c r="S138" s="424"/>
      <c r="T138" s="424"/>
      <c r="U138" s="424"/>
      <c r="V138" s="424"/>
      <c r="W138" s="77"/>
      <c r="X138" s="77"/>
      <c r="Y138" s="77"/>
      <c r="Z138" s="77"/>
    </row>
    <row r="139" ht="16.5" customHeight="1">
      <c r="A139" s="31" t="s">
        <v>9515</v>
      </c>
      <c r="B139" s="31" t="s">
        <v>9592</v>
      </c>
      <c r="C139" s="8"/>
      <c r="D139" s="8"/>
      <c r="E139" s="8"/>
      <c r="F139" s="8"/>
      <c r="G139" s="8"/>
      <c r="H139" s="8"/>
      <c r="I139" s="8"/>
      <c r="J139" s="8"/>
      <c r="K139" s="8"/>
      <c r="L139" s="9"/>
      <c r="M139" s="9"/>
      <c r="N139" s="424"/>
      <c r="O139" s="424"/>
      <c r="P139" s="424"/>
      <c r="Q139" s="424"/>
      <c r="R139" s="424"/>
      <c r="S139" s="424"/>
      <c r="T139" s="424"/>
      <c r="U139" s="424"/>
      <c r="V139" s="424"/>
      <c r="W139" s="77"/>
      <c r="X139" s="77"/>
      <c r="Y139" s="77"/>
      <c r="Z139" s="77"/>
    </row>
    <row r="140" ht="16.5" customHeight="1">
      <c r="A140" s="31" t="s">
        <v>9657</v>
      </c>
      <c r="B140" s="31" t="s">
        <v>9658</v>
      </c>
      <c r="C140" s="8"/>
      <c r="D140" s="8"/>
      <c r="E140" s="8"/>
      <c r="F140" s="8"/>
      <c r="G140" s="8"/>
      <c r="H140" s="8"/>
      <c r="I140" s="8"/>
      <c r="J140" s="8"/>
      <c r="K140" s="8"/>
      <c r="L140" s="9"/>
      <c r="M140" s="9"/>
      <c r="N140" s="424"/>
      <c r="O140" s="424"/>
      <c r="P140" s="424"/>
      <c r="Q140" s="424"/>
      <c r="R140" s="424"/>
      <c r="S140" s="424"/>
      <c r="T140" s="424"/>
      <c r="U140" s="424"/>
      <c r="V140" s="424"/>
      <c r="W140" s="77"/>
      <c r="X140" s="77"/>
      <c r="Y140" s="77"/>
      <c r="Z140" s="77"/>
    </row>
    <row r="141" ht="16.5" customHeight="1">
      <c r="A141" s="31" t="s">
        <v>9519</v>
      </c>
      <c r="B141" s="31" t="s">
        <v>9659</v>
      </c>
      <c r="L141" s="77"/>
      <c r="M141" s="77"/>
      <c r="N141" s="424"/>
      <c r="O141" s="424"/>
      <c r="P141" s="424"/>
      <c r="Q141" s="424"/>
      <c r="R141" s="424"/>
      <c r="S141" s="424"/>
      <c r="T141" s="424"/>
      <c r="U141" s="424"/>
      <c r="V141" s="424"/>
      <c r="W141" s="77"/>
      <c r="X141" s="77"/>
      <c r="Y141" s="77"/>
      <c r="Z141" s="77"/>
    </row>
    <row r="142" ht="16.5" customHeight="1">
      <c r="A142" s="31" t="s">
        <v>9660</v>
      </c>
      <c r="B142" s="31" t="s">
        <v>9661</v>
      </c>
      <c r="L142" s="77"/>
      <c r="M142" s="77"/>
      <c r="N142" s="424"/>
      <c r="O142" s="424"/>
      <c r="P142" s="424"/>
      <c r="Q142" s="424"/>
      <c r="R142" s="424"/>
      <c r="S142" s="424"/>
      <c r="T142" s="424"/>
      <c r="U142" s="424"/>
      <c r="V142" s="424"/>
      <c r="W142" s="77"/>
      <c r="X142" s="77"/>
      <c r="Y142" s="77"/>
      <c r="Z142" s="77"/>
    </row>
    <row r="143" ht="16.5" customHeight="1">
      <c r="A143" s="31" t="s">
        <v>9662</v>
      </c>
      <c r="B143" s="31" t="s">
        <v>9663</v>
      </c>
      <c r="L143" s="77"/>
      <c r="M143" s="77"/>
      <c r="N143" s="424"/>
      <c r="O143" s="424"/>
      <c r="P143" s="424"/>
      <c r="Q143" s="424"/>
      <c r="R143" s="424"/>
      <c r="S143" s="424"/>
      <c r="T143" s="424"/>
      <c r="U143" s="424"/>
      <c r="V143" s="424"/>
      <c r="W143" s="77"/>
      <c r="X143" s="77"/>
      <c r="Y143" s="77"/>
      <c r="Z143" s="77"/>
    </row>
    <row r="144" ht="16.5" customHeight="1">
      <c r="A144" s="31" t="s">
        <v>9664</v>
      </c>
      <c r="B144" s="31" t="s">
        <v>9665</v>
      </c>
      <c r="L144" s="77"/>
      <c r="M144" s="77"/>
      <c r="N144" s="424"/>
      <c r="O144" s="424"/>
      <c r="P144" s="424"/>
      <c r="Q144" s="424"/>
      <c r="R144" s="424"/>
      <c r="S144" s="424"/>
      <c r="T144" s="424"/>
      <c r="U144" s="424"/>
      <c r="V144" s="424"/>
      <c r="W144" s="77"/>
      <c r="X144" s="77"/>
      <c r="Y144" s="77"/>
      <c r="Z144" s="77"/>
    </row>
    <row r="145" ht="16.5" customHeight="1">
      <c r="A145" s="31" t="s">
        <v>9526</v>
      </c>
      <c r="B145" s="31" t="s">
        <v>9666</v>
      </c>
      <c r="L145" s="77"/>
      <c r="M145" s="77"/>
      <c r="N145" s="424"/>
      <c r="O145" s="424"/>
      <c r="P145" s="424"/>
      <c r="Q145" s="424"/>
      <c r="R145" s="424"/>
      <c r="S145" s="424"/>
      <c r="T145" s="424"/>
      <c r="U145" s="424"/>
      <c r="V145" s="424"/>
      <c r="W145" s="77"/>
      <c r="X145" s="77"/>
      <c r="Y145" s="77"/>
      <c r="Z145" s="77"/>
    </row>
    <row r="146" ht="16.5" customHeight="1">
      <c r="A146" s="31" t="s">
        <v>9528</v>
      </c>
      <c r="B146" s="31" t="s">
        <v>9667</v>
      </c>
      <c r="L146" s="77"/>
      <c r="M146" s="77"/>
      <c r="N146" s="424"/>
      <c r="O146" s="424"/>
      <c r="P146" s="424"/>
      <c r="Q146" s="424"/>
      <c r="R146" s="424"/>
      <c r="S146" s="424"/>
      <c r="T146" s="424"/>
      <c r="U146" s="424"/>
      <c r="V146" s="424"/>
      <c r="W146" s="77"/>
      <c r="X146" s="77"/>
      <c r="Y146" s="77"/>
      <c r="Z146" s="77"/>
    </row>
    <row r="147" ht="16.5" customHeight="1">
      <c r="A147" s="423" t="s">
        <v>9668</v>
      </c>
      <c r="L147" s="77"/>
      <c r="M147" s="77"/>
      <c r="N147" s="424"/>
      <c r="O147" s="424"/>
      <c r="P147" s="424"/>
      <c r="Q147" s="424"/>
      <c r="R147" s="424"/>
      <c r="S147" s="424"/>
      <c r="T147" s="424"/>
      <c r="U147" s="424"/>
      <c r="V147" s="424"/>
      <c r="W147" s="77"/>
      <c r="X147" s="77"/>
      <c r="Y147" s="77"/>
      <c r="Z147" s="77"/>
    </row>
    <row r="148" ht="16.5" customHeight="1">
      <c r="A148" s="425" t="s">
        <v>9459</v>
      </c>
      <c r="B148" s="425" t="s">
        <v>9362</v>
      </c>
      <c r="C148" s="426" t="s">
        <v>9363</v>
      </c>
      <c r="L148" s="77"/>
      <c r="M148" s="77"/>
      <c r="N148" s="424"/>
      <c r="O148" s="424"/>
      <c r="P148" s="424"/>
      <c r="Q148" s="424"/>
      <c r="R148" s="424"/>
      <c r="S148" s="424"/>
      <c r="T148" s="424"/>
      <c r="U148" s="424"/>
      <c r="V148" s="424"/>
      <c r="W148" s="77"/>
      <c r="X148" s="77"/>
      <c r="Y148" s="77"/>
      <c r="Z148" s="77"/>
    </row>
    <row r="149" ht="16.5" customHeight="1">
      <c r="A149" s="198" t="s">
        <v>9669</v>
      </c>
      <c r="B149" s="198" t="s">
        <v>9364</v>
      </c>
      <c r="C149" s="427" t="s">
        <v>9365</v>
      </c>
      <c r="D149" s="427" t="s">
        <v>8952</v>
      </c>
      <c r="E149" s="427" t="s">
        <v>4702</v>
      </c>
      <c r="F149" s="427" t="s">
        <v>4703</v>
      </c>
      <c r="G149" s="427" t="s">
        <v>4320</v>
      </c>
      <c r="H149" s="427" t="s">
        <v>436</v>
      </c>
      <c r="I149" s="427" t="s">
        <v>4704</v>
      </c>
      <c r="J149" s="427" t="s">
        <v>135</v>
      </c>
      <c r="K149" s="427" t="s">
        <v>128</v>
      </c>
      <c r="L149" s="77"/>
      <c r="M149" s="77"/>
      <c r="N149" s="424"/>
      <c r="O149" s="424"/>
      <c r="P149" s="424"/>
      <c r="Q149" s="424"/>
      <c r="R149" s="424"/>
      <c r="S149" s="424"/>
      <c r="T149" s="424"/>
      <c r="U149" s="424"/>
      <c r="V149" s="424"/>
      <c r="W149" s="77"/>
      <c r="X149" s="77"/>
      <c r="Y149" s="77"/>
      <c r="Z149" s="77"/>
    </row>
    <row r="150" ht="16.5" customHeight="1">
      <c r="A150" s="31" t="s">
        <v>1864</v>
      </c>
      <c r="B150" s="31" t="s">
        <v>9670</v>
      </c>
      <c r="C150" s="4" t="s">
        <v>9441</v>
      </c>
      <c r="D150" s="4" t="s">
        <v>9130</v>
      </c>
      <c r="E150" s="4" t="s">
        <v>8921</v>
      </c>
      <c r="F150" s="4" t="s">
        <v>9671</v>
      </c>
      <c r="G150" s="4" t="s">
        <v>9277</v>
      </c>
      <c r="H150" s="4" t="s">
        <v>9672</v>
      </c>
      <c r="I150" s="4" t="s">
        <v>9673</v>
      </c>
      <c r="J150" s="4" t="s">
        <v>9673</v>
      </c>
      <c r="K150" s="4" t="s">
        <v>9674</v>
      </c>
      <c r="L150" s="9"/>
      <c r="M150" s="9"/>
      <c r="N150" s="424"/>
      <c r="O150" s="424"/>
      <c r="P150" s="424"/>
      <c r="Q150" s="424"/>
      <c r="R150" s="424"/>
      <c r="S150" s="424"/>
      <c r="T150" s="424"/>
      <c r="U150" s="424"/>
      <c r="V150" s="424"/>
      <c r="W150" s="77"/>
      <c r="X150" s="77"/>
      <c r="Y150" s="77"/>
      <c r="Z150" s="77"/>
    </row>
    <row r="151" ht="16.5" customHeight="1">
      <c r="A151" s="31" t="s">
        <v>2101</v>
      </c>
      <c r="B151" s="31" t="s">
        <v>9675</v>
      </c>
      <c r="C151" s="108" t="s">
        <v>9676</v>
      </c>
      <c r="L151" s="9"/>
      <c r="M151" s="9"/>
      <c r="N151" s="424"/>
      <c r="O151" s="424"/>
      <c r="P151" s="424"/>
      <c r="Q151" s="424"/>
      <c r="R151" s="424"/>
      <c r="S151" s="424"/>
      <c r="T151" s="424"/>
      <c r="U151" s="424"/>
      <c r="V151" s="424"/>
      <c r="W151" s="77"/>
      <c r="X151" s="77"/>
      <c r="Y151" s="77"/>
      <c r="Z151" s="77"/>
    </row>
    <row r="152" ht="16.5" customHeight="1">
      <c r="A152" s="31" t="s">
        <v>9677</v>
      </c>
      <c r="B152" s="31" t="s">
        <v>9678</v>
      </c>
      <c r="C152" s="8"/>
      <c r="D152" s="8"/>
      <c r="E152" s="8"/>
      <c r="F152" s="8"/>
      <c r="G152" s="8"/>
      <c r="H152" s="8"/>
      <c r="I152" s="8"/>
      <c r="J152" s="8"/>
      <c r="K152" s="8"/>
      <c r="L152" s="9"/>
      <c r="M152" s="9"/>
      <c r="N152" s="424"/>
      <c r="O152" s="424"/>
      <c r="P152" s="424"/>
      <c r="Q152" s="424"/>
      <c r="R152" s="424"/>
      <c r="S152" s="424"/>
      <c r="T152" s="424"/>
      <c r="U152" s="424"/>
      <c r="V152" s="424"/>
      <c r="W152" s="77"/>
      <c r="X152" s="77"/>
      <c r="Y152" s="77"/>
      <c r="Z152" s="77"/>
    </row>
    <row r="153" ht="16.5" customHeight="1">
      <c r="A153" s="31" t="s">
        <v>9679</v>
      </c>
      <c r="B153" s="31" t="s">
        <v>2158</v>
      </c>
      <c r="C153" s="8"/>
      <c r="D153" s="8"/>
      <c r="E153" s="8"/>
      <c r="F153" s="8"/>
      <c r="G153" s="8"/>
      <c r="H153" s="8"/>
      <c r="I153" s="8"/>
      <c r="J153" s="8"/>
      <c r="K153" s="8"/>
      <c r="L153" s="9"/>
      <c r="M153" s="9"/>
      <c r="N153" s="424"/>
      <c r="O153" s="424"/>
      <c r="P153" s="424"/>
      <c r="Q153" s="424"/>
      <c r="R153" s="424"/>
      <c r="S153" s="424"/>
      <c r="T153" s="424"/>
      <c r="U153" s="424"/>
      <c r="V153" s="424"/>
      <c r="W153" s="77"/>
      <c r="X153" s="77"/>
      <c r="Y153" s="77"/>
      <c r="Z153" s="77"/>
    </row>
    <row r="154" ht="16.5" customHeight="1">
      <c r="A154" s="31" t="s">
        <v>9680</v>
      </c>
      <c r="B154" s="31" t="s">
        <v>2160</v>
      </c>
      <c r="C154" s="8"/>
      <c r="D154" s="8"/>
      <c r="E154" s="8"/>
      <c r="F154" s="8"/>
      <c r="G154" s="8"/>
      <c r="H154" s="8"/>
      <c r="I154" s="8"/>
      <c r="J154" s="8"/>
      <c r="K154" s="8"/>
      <c r="L154" s="9"/>
      <c r="M154" s="9"/>
      <c r="N154" s="424"/>
      <c r="O154" s="424"/>
      <c r="P154" s="424"/>
      <c r="Q154" s="424"/>
      <c r="R154" s="424"/>
      <c r="S154" s="424"/>
      <c r="T154" s="424"/>
      <c r="U154" s="424"/>
      <c r="V154" s="424"/>
      <c r="W154" s="77"/>
      <c r="X154" s="77"/>
      <c r="Y154" s="77"/>
      <c r="Z154" s="77"/>
    </row>
    <row r="155" ht="16.5" customHeight="1">
      <c r="A155" s="31" t="s">
        <v>9681</v>
      </c>
      <c r="B155" s="31" t="s">
        <v>9682</v>
      </c>
      <c r="C155" s="8"/>
      <c r="D155" s="8"/>
      <c r="E155" s="8"/>
      <c r="F155" s="8"/>
      <c r="G155" s="8"/>
      <c r="H155" s="8"/>
      <c r="I155" s="8"/>
      <c r="J155" s="8"/>
      <c r="K155" s="8"/>
      <c r="L155" s="9"/>
      <c r="M155" s="9"/>
      <c r="N155" s="424"/>
      <c r="O155" s="424"/>
      <c r="P155" s="424"/>
      <c r="Q155" s="424"/>
      <c r="R155" s="424"/>
      <c r="S155" s="424"/>
      <c r="T155" s="424"/>
      <c r="U155" s="424"/>
      <c r="V155" s="424"/>
      <c r="W155" s="77"/>
      <c r="X155" s="77"/>
      <c r="Y155" s="77"/>
      <c r="Z155" s="77"/>
    </row>
    <row r="156" ht="16.5" customHeight="1">
      <c r="A156" s="31" t="s">
        <v>9683</v>
      </c>
      <c r="B156" s="31" t="s">
        <v>9684</v>
      </c>
      <c r="C156" s="8"/>
      <c r="D156" s="8"/>
      <c r="E156" s="8"/>
      <c r="F156" s="8"/>
      <c r="G156" s="8"/>
      <c r="H156" s="8"/>
      <c r="I156" s="8"/>
      <c r="J156" s="8"/>
      <c r="K156" s="8"/>
      <c r="L156" s="9"/>
      <c r="M156" s="9"/>
      <c r="N156" s="424"/>
      <c r="O156" s="424"/>
      <c r="P156" s="424"/>
      <c r="Q156" s="424"/>
      <c r="R156" s="424"/>
      <c r="S156" s="424"/>
      <c r="T156" s="424"/>
      <c r="U156" s="424"/>
      <c r="V156" s="424"/>
      <c r="W156" s="77"/>
      <c r="X156" s="77"/>
      <c r="Y156" s="77"/>
      <c r="Z156" s="77"/>
    </row>
    <row r="157" ht="16.5" customHeight="1">
      <c r="A157" s="31" t="s">
        <v>9685</v>
      </c>
      <c r="B157" s="31" t="s">
        <v>9686</v>
      </c>
      <c r="C157" s="8"/>
      <c r="D157" s="8"/>
      <c r="E157" s="8"/>
      <c r="F157" s="8"/>
      <c r="G157" s="8"/>
      <c r="H157" s="8"/>
      <c r="I157" s="8"/>
      <c r="J157" s="8"/>
      <c r="K157" s="8"/>
      <c r="L157" s="9"/>
      <c r="M157" s="9"/>
      <c r="N157" s="424"/>
      <c r="O157" s="424"/>
      <c r="P157" s="424"/>
      <c r="Q157" s="424"/>
      <c r="R157" s="424"/>
      <c r="S157" s="424"/>
      <c r="T157" s="424"/>
      <c r="U157" s="424"/>
      <c r="V157" s="424"/>
      <c r="W157" s="77"/>
      <c r="X157" s="77"/>
      <c r="Y157" s="77"/>
      <c r="Z157" s="77"/>
    </row>
    <row r="158" ht="16.5" customHeight="1">
      <c r="A158" s="31" t="s">
        <v>9687</v>
      </c>
      <c r="B158" s="31" t="s">
        <v>9688</v>
      </c>
      <c r="L158" s="9"/>
      <c r="M158" s="77"/>
      <c r="N158" s="424"/>
      <c r="O158" s="424"/>
      <c r="P158" s="424"/>
      <c r="Q158" s="424"/>
      <c r="R158" s="424"/>
      <c r="S158" s="424"/>
      <c r="T158" s="424"/>
      <c r="U158" s="424"/>
      <c r="V158" s="424"/>
      <c r="W158" s="77"/>
      <c r="X158" s="77"/>
      <c r="Y158" s="77"/>
      <c r="Z158" s="77"/>
    </row>
    <row r="159" ht="16.5" customHeight="1">
      <c r="A159" s="31" t="s">
        <v>9689</v>
      </c>
      <c r="B159" s="31" t="s">
        <v>9690</v>
      </c>
      <c r="L159" s="9"/>
      <c r="M159" s="77"/>
      <c r="N159" s="424"/>
      <c r="O159" s="424"/>
      <c r="P159" s="424"/>
      <c r="Q159" s="424"/>
      <c r="R159" s="424"/>
      <c r="S159" s="424"/>
      <c r="T159" s="424"/>
      <c r="U159" s="424"/>
      <c r="V159" s="424"/>
      <c r="W159" s="77"/>
      <c r="X159" s="77"/>
      <c r="Y159" s="77"/>
      <c r="Z159" s="77"/>
    </row>
    <row r="160" ht="16.5" customHeight="1">
      <c r="A160" s="31" t="s">
        <v>9691</v>
      </c>
      <c r="B160" s="31" t="s">
        <v>9692</v>
      </c>
      <c r="L160" s="9"/>
      <c r="M160" s="77"/>
      <c r="N160" s="424"/>
      <c r="O160" s="424"/>
      <c r="P160" s="424"/>
      <c r="Q160" s="424"/>
      <c r="R160" s="424"/>
      <c r="S160" s="424"/>
      <c r="T160" s="424"/>
      <c r="U160" s="424"/>
      <c r="V160" s="424"/>
      <c r="W160" s="77"/>
      <c r="X160" s="77"/>
      <c r="Y160" s="77"/>
      <c r="Z160" s="77"/>
    </row>
    <row r="161" ht="16.5" customHeight="1">
      <c r="A161" s="423" t="s">
        <v>9693</v>
      </c>
      <c r="L161" s="9"/>
      <c r="M161" s="77"/>
      <c r="N161" s="424"/>
      <c r="O161" s="424"/>
      <c r="P161" s="424"/>
      <c r="Q161" s="424"/>
      <c r="R161" s="424"/>
      <c r="S161" s="424"/>
      <c r="T161" s="424"/>
      <c r="U161" s="424"/>
      <c r="V161" s="424"/>
      <c r="W161" s="77"/>
      <c r="X161" s="77"/>
      <c r="Y161" s="77"/>
      <c r="Z161" s="77"/>
    </row>
    <row r="162" ht="16.5" customHeight="1">
      <c r="A162" s="425" t="s">
        <v>9414</v>
      </c>
      <c r="B162" s="425" t="s">
        <v>9531</v>
      </c>
      <c r="C162" s="426" t="s">
        <v>9363</v>
      </c>
      <c r="L162" s="9"/>
      <c r="M162" s="77"/>
      <c r="N162" s="424"/>
      <c r="O162" s="424"/>
      <c r="P162" s="424"/>
      <c r="Q162" s="424"/>
      <c r="R162" s="424"/>
      <c r="S162" s="424"/>
      <c r="T162" s="424"/>
      <c r="U162" s="424"/>
      <c r="V162" s="424"/>
      <c r="W162" s="77"/>
      <c r="X162" s="77"/>
      <c r="Y162" s="77"/>
      <c r="Z162" s="77"/>
    </row>
    <row r="163" ht="16.5" customHeight="1">
      <c r="A163" s="198" t="s">
        <v>1787</v>
      </c>
      <c r="B163" s="198" t="s">
        <v>1263</v>
      </c>
      <c r="C163" s="427" t="s">
        <v>9365</v>
      </c>
      <c r="D163" s="427" t="s">
        <v>8952</v>
      </c>
      <c r="E163" s="427" t="s">
        <v>4702</v>
      </c>
      <c r="F163" s="427" t="s">
        <v>4703</v>
      </c>
      <c r="G163" s="427" t="s">
        <v>4320</v>
      </c>
      <c r="H163" s="427" t="s">
        <v>436</v>
      </c>
      <c r="I163" s="427" t="s">
        <v>4704</v>
      </c>
      <c r="J163" s="427" t="s">
        <v>135</v>
      </c>
      <c r="K163" s="427" t="s">
        <v>128</v>
      </c>
      <c r="L163" s="9"/>
      <c r="M163" s="77"/>
      <c r="N163" s="424"/>
      <c r="O163" s="424"/>
      <c r="P163" s="424"/>
      <c r="Q163" s="424"/>
      <c r="R163" s="424"/>
      <c r="S163" s="424"/>
      <c r="T163" s="424"/>
      <c r="U163" s="424"/>
      <c r="V163" s="424"/>
      <c r="W163" s="77"/>
      <c r="X163" s="77"/>
      <c r="Y163" s="77"/>
      <c r="Z163" s="77"/>
    </row>
    <row r="164" ht="16.5" customHeight="1">
      <c r="A164" s="31" t="s">
        <v>9650</v>
      </c>
      <c r="B164" s="31" t="s">
        <v>1265</v>
      </c>
      <c r="C164" s="4" t="s">
        <v>9441</v>
      </c>
      <c r="D164" s="4" t="s">
        <v>9109</v>
      </c>
      <c r="E164" s="4" t="s">
        <v>9316</v>
      </c>
      <c r="F164" s="4" t="s">
        <v>1871</v>
      </c>
      <c r="G164" s="4" t="s">
        <v>103</v>
      </c>
      <c r="H164" s="4" t="s">
        <v>1500</v>
      </c>
      <c r="I164" s="4" t="s">
        <v>8081</v>
      </c>
      <c r="J164" s="4" t="s">
        <v>8081</v>
      </c>
      <c r="K164" s="4" t="s">
        <v>8081</v>
      </c>
      <c r="L164" s="9"/>
      <c r="M164" s="77"/>
      <c r="N164" s="424"/>
      <c r="O164" s="424"/>
      <c r="P164" s="424"/>
      <c r="Q164" s="424"/>
      <c r="R164" s="424"/>
      <c r="S164" s="424"/>
      <c r="T164" s="424"/>
      <c r="U164" s="424"/>
      <c r="V164" s="424"/>
      <c r="W164" s="77"/>
      <c r="X164" s="77"/>
      <c r="Y164" s="77"/>
      <c r="Z164" s="77"/>
    </row>
    <row r="165" ht="16.5" customHeight="1">
      <c r="A165" s="31" t="s">
        <v>1869</v>
      </c>
      <c r="B165" s="31" t="s">
        <v>9654</v>
      </c>
      <c r="C165" s="108" t="s">
        <v>9694</v>
      </c>
      <c r="L165" s="77"/>
      <c r="M165" s="77"/>
      <c r="N165" s="424"/>
      <c r="O165" s="424"/>
      <c r="P165" s="424"/>
      <c r="Q165" s="424"/>
      <c r="R165" s="424"/>
      <c r="S165" s="424"/>
      <c r="T165" s="424"/>
      <c r="U165" s="424"/>
      <c r="V165" s="424"/>
      <c r="W165" s="77"/>
      <c r="X165" s="77"/>
      <c r="Y165" s="77"/>
      <c r="Z165" s="77"/>
    </row>
    <row r="166" ht="16.5" customHeight="1">
      <c r="A166" s="31" t="s">
        <v>9504</v>
      </c>
      <c r="B166" s="31" t="s">
        <v>9559</v>
      </c>
      <c r="C166" s="8"/>
      <c r="D166" s="8"/>
      <c r="E166" s="8"/>
      <c r="F166" s="8"/>
      <c r="G166" s="8"/>
      <c r="H166" s="8"/>
      <c r="I166" s="8"/>
      <c r="J166" s="8"/>
      <c r="K166" s="8"/>
      <c r="L166" s="77"/>
      <c r="M166" s="77"/>
      <c r="N166" s="424"/>
      <c r="O166" s="424"/>
      <c r="P166" s="424"/>
      <c r="Q166" s="424"/>
      <c r="R166" s="424"/>
      <c r="S166" s="424"/>
      <c r="T166" s="424"/>
      <c r="U166" s="424"/>
      <c r="V166" s="424"/>
      <c r="W166" s="77"/>
      <c r="X166" s="77"/>
      <c r="Y166" s="77"/>
      <c r="Z166" s="77"/>
    </row>
    <row r="167" ht="16.5" customHeight="1">
      <c r="A167" s="31" t="s">
        <v>5016</v>
      </c>
      <c r="B167" s="31" t="s">
        <v>9568</v>
      </c>
      <c r="C167" s="8"/>
      <c r="D167" s="8"/>
      <c r="E167" s="8"/>
      <c r="F167" s="8"/>
      <c r="G167" s="8"/>
      <c r="H167" s="8"/>
      <c r="I167" s="8"/>
      <c r="J167" s="8"/>
      <c r="K167" s="8"/>
      <c r="L167" s="77"/>
      <c r="M167" s="77"/>
      <c r="N167" s="424"/>
      <c r="O167" s="424"/>
      <c r="P167" s="424"/>
      <c r="Q167" s="424"/>
      <c r="R167" s="424"/>
      <c r="S167" s="424"/>
      <c r="T167" s="424"/>
      <c r="U167" s="424"/>
      <c r="V167" s="424"/>
      <c r="W167" s="77"/>
      <c r="X167" s="77"/>
      <c r="Y167" s="77"/>
      <c r="Z167" s="77"/>
    </row>
    <row r="168" ht="16.5" customHeight="1">
      <c r="A168" s="31" t="s">
        <v>9512</v>
      </c>
      <c r="B168" s="31" t="s">
        <v>7963</v>
      </c>
      <c r="C168" s="8"/>
      <c r="D168" s="8"/>
      <c r="E168" s="8"/>
      <c r="F168" s="8"/>
      <c r="G168" s="8"/>
      <c r="H168" s="8"/>
      <c r="I168" s="8"/>
      <c r="J168" s="8"/>
      <c r="K168" s="8"/>
      <c r="L168" s="77"/>
      <c r="M168" s="77"/>
      <c r="N168" s="424"/>
      <c r="O168" s="424"/>
      <c r="P168" s="424"/>
      <c r="Q168" s="424"/>
      <c r="R168" s="424"/>
      <c r="S168" s="424"/>
      <c r="T168" s="424"/>
      <c r="U168" s="424"/>
      <c r="V168" s="424"/>
      <c r="W168" s="77"/>
      <c r="X168" s="77"/>
      <c r="Y168" s="77"/>
      <c r="Z168" s="77"/>
    </row>
    <row r="169" ht="16.5" customHeight="1">
      <c r="A169" s="31" t="s">
        <v>1891</v>
      </c>
      <c r="B169" s="31" t="s">
        <v>9656</v>
      </c>
      <c r="C169" s="8"/>
      <c r="D169" s="8"/>
      <c r="E169" s="8"/>
      <c r="F169" s="8"/>
      <c r="G169" s="8"/>
      <c r="H169" s="8"/>
      <c r="I169" s="8"/>
      <c r="J169" s="8"/>
      <c r="K169" s="8"/>
      <c r="L169" s="77"/>
      <c r="M169" s="77"/>
      <c r="N169" s="424"/>
      <c r="O169" s="424"/>
      <c r="P169" s="424"/>
      <c r="Q169" s="424"/>
      <c r="R169" s="424"/>
      <c r="S169" s="424"/>
      <c r="T169" s="424"/>
      <c r="U169" s="424"/>
      <c r="V169" s="424"/>
      <c r="W169" s="77"/>
      <c r="X169" s="77"/>
      <c r="Y169" s="77"/>
      <c r="Z169" s="77"/>
    </row>
    <row r="170" ht="16.5" customHeight="1">
      <c r="A170" s="31" t="s">
        <v>9515</v>
      </c>
      <c r="B170" s="31" t="s">
        <v>9592</v>
      </c>
      <c r="C170" s="8"/>
      <c r="D170" s="8"/>
      <c r="E170" s="8"/>
      <c r="F170" s="8"/>
      <c r="G170" s="8"/>
      <c r="H170" s="8"/>
      <c r="I170" s="8"/>
      <c r="J170" s="8"/>
      <c r="K170" s="8"/>
      <c r="L170" s="77"/>
      <c r="M170" s="77"/>
      <c r="N170" s="424"/>
      <c r="O170" s="424"/>
      <c r="P170" s="424"/>
      <c r="Q170" s="424"/>
      <c r="R170" s="424"/>
      <c r="S170" s="424"/>
      <c r="T170" s="424"/>
      <c r="U170" s="424"/>
      <c r="V170" s="424"/>
      <c r="W170" s="77"/>
      <c r="X170" s="77"/>
      <c r="Y170" s="77"/>
      <c r="Z170" s="77"/>
    </row>
    <row r="171" ht="16.5" customHeight="1">
      <c r="A171" s="31" t="s">
        <v>9657</v>
      </c>
      <c r="B171" s="31" t="s">
        <v>9658</v>
      </c>
      <c r="C171" s="8"/>
      <c r="D171" s="8"/>
      <c r="E171" s="8"/>
      <c r="F171" s="8"/>
      <c r="G171" s="8"/>
      <c r="H171" s="8"/>
      <c r="I171" s="8"/>
      <c r="J171" s="8"/>
      <c r="K171" s="8"/>
      <c r="L171" s="77"/>
      <c r="M171" s="77"/>
      <c r="N171" s="424"/>
      <c r="O171" s="424"/>
      <c r="P171" s="424"/>
      <c r="Q171" s="424"/>
      <c r="R171" s="424"/>
      <c r="S171" s="424"/>
      <c r="T171" s="424"/>
      <c r="U171" s="424"/>
      <c r="V171" s="424"/>
      <c r="W171" s="77"/>
      <c r="X171" s="77"/>
      <c r="Y171" s="77"/>
      <c r="Z171" s="77"/>
    </row>
    <row r="172" ht="16.5" customHeight="1">
      <c r="A172" s="31" t="s">
        <v>9519</v>
      </c>
      <c r="B172" s="31" t="s">
        <v>9659</v>
      </c>
      <c r="C172" s="8"/>
      <c r="D172" s="8"/>
      <c r="E172" s="8"/>
      <c r="F172" s="8"/>
      <c r="G172" s="8"/>
      <c r="H172" s="8"/>
      <c r="I172" s="8"/>
      <c r="J172" s="8"/>
      <c r="K172" s="8"/>
      <c r="L172" s="77"/>
      <c r="M172" s="77"/>
      <c r="N172" s="424"/>
      <c r="O172" s="424"/>
      <c r="P172" s="424"/>
      <c r="Q172" s="424"/>
      <c r="R172" s="424"/>
      <c r="S172" s="424"/>
      <c r="T172" s="424"/>
      <c r="U172" s="424"/>
      <c r="V172" s="424"/>
      <c r="W172" s="77"/>
      <c r="X172" s="77"/>
      <c r="Y172" s="77"/>
      <c r="Z172" s="77"/>
    </row>
    <row r="173" ht="16.5" customHeight="1">
      <c r="A173" s="31" t="s">
        <v>9660</v>
      </c>
      <c r="B173" s="31" t="s">
        <v>9661</v>
      </c>
      <c r="C173" s="8"/>
      <c r="D173" s="8"/>
      <c r="E173" s="8"/>
      <c r="F173" s="8"/>
      <c r="G173" s="8"/>
      <c r="H173" s="8"/>
      <c r="I173" s="8"/>
      <c r="J173" s="8"/>
      <c r="K173" s="8"/>
      <c r="L173" s="77"/>
      <c r="M173" s="77"/>
      <c r="N173" s="424"/>
      <c r="O173" s="424"/>
      <c r="P173" s="424"/>
      <c r="Q173" s="424"/>
      <c r="R173" s="424"/>
      <c r="S173" s="424"/>
      <c r="T173" s="424"/>
      <c r="U173" s="424"/>
      <c r="V173" s="424"/>
      <c r="W173" s="77"/>
      <c r="X173" s="77"/>
      <c r="Y173" s="77"/>
      <c r="Z173" s="77"/>
    </row>
    <row r="174" ht="16.5" customHeight="1">
      <c r="A174" s="31" t="s">
        <v>9662</v>
      </c>
      <c r="B174" s="31" t="s">
        <v>9663</v>
      </c>
      <c r="C174" s="8"/>
      <c r="D174" s="8"/>
      <c r="E174" s="8"/>
      <c r="F174" s="8"/>
      <c r="G174" s="8"/>
      <c r="H174" s="8"/>
      <c r="I174" s="8"/>
      <c r="J174" s="8"/>
      <c r="K174" s="8"/>
      <c r="L174" s="77"/>
      <c r="M174" s="77"/>
      <c r="N174" s="424"/>
      <c r="O174" s="424"/>
      <c r="P174" s="424"/>
      <c r="Q174" s="424"/>
      <c r="R174" s="424"/>
      <c r="S174" s="424"/>
      <c r="T174" s="424"/>
      <c r="U174" s="424"/>
      <c r="V174" s="424"/>
      <c r="W174" s="77"/>
      <c r="X174" s="77"/>
      <c r="Y174" s="77"/>
      <c r="Z174" s="77"/>
    </row>
    <row r="175" ht="16.5" customHeight="1">
      <c r="A175" s="31" t="s">
        <v>9664</v>
      </c>
      <c r="B175" s="31" t="s">
        <v>9665</v>
      </c>
      <c r="C175" s="8"/>
      <c r="D175" s="8"/>
      <c r="E175" s="8"/>
      <c r="F175" s="8"/>
      <c r="G175" s="8"/>
      <c r="H175" s="8"/>
      <c r="I175" s="8"/>
      <c r="J175" s="8"/>
      <c r="K175" s="8"/>
      <c r="L175" s="77"/>
      <c r="M175" s="77"/>
      <c r="N175" s="424"/>
      <c r="O175" s="424"/>
      <c r="P175" s="424"/>
      <c r="Q175" s="424"/>
      <c r="R175" s="424"/>
      <c r="S175" s="424"/>
      <c r="T175" s="424"/>
      <c r="U175" s="424"/>
      <c r="V175" s="424"/>
      <c r="W175" s="77"/>
      <c r="X175" s="77"/>
      <c r="Y175" s="77"/>
      <c r="Z175" s="77"/>
    </row>
    <row r="176" ht="16.5" customHeight="1">
      <c r="A176" s="31" t="s">
        <v>9526</v>
      </c>
      <c r="B176" s="31" t="s">
        <v>9666</v>
      </c>
      <c r="C176" s="8"/>
      <c r="D176" s="8"/>
      <c r="E176" s="8"/>
      <c r="F176" s="8"/>
      <c r="G176" s="8"/>
      <c r="H176" s="8"/>
      <c r="I176" s="8"/>
      <c r="J176" s="8"/>
      <c r="K176" s="8"/>
      <c r="L176" s="77"/>
      <c r="M176" s="77"/>
      <c r="N176" s="424"/>
      <c r="O176" s="424"/>
      <c r="P176" s="424"/>
      <c r="Q176" s="424"/>
      <c r="R176" s="424"/>
      <c r="S176" s="424"/>
      <c r="T176" s="424"/>
      <c r="U176" s="424"/>
      <c r="V176" s="424"/>
      <c r="W176" s="77"/>
      <c r="X176" s="77"/>
      <c r="Y176" s="77"/>
      <c r="Z176" s="77"/>
    </row>
    <row r="177" ht="16.5" customHeight="1">
      <c r="A177" s="31" t="s">
        <v>9528</v>
      </c>
      <c r="B177" s="31" t="s">
        <v>9667</v>
      </c>
      <c r="L177" s="77"/>
      <c r="M177" s="77"/>
      <c r="N177" s="424"/>
      <c r="O177" s="424"/>
      <c r="P177" s="424"/>
      <c r="Q177" s="424"/>
      <c r="R177" s="424"/>
      <c r="S177" s="424"/>
      <c r="T177" s="424"/>
      <c r="U177" s="424"/>
      <c r="V177" s="424"/>
      <c r="W177" s="77"/>
      <c r="X177" s="77"/>
      <c r="Y177" s="77"/>
      <c r="Z177" s="77"/>
    </row>
    <row r="178" ht="16.5" customHeight="1">
      <c r="A178" s="423" t="s">
        <v>9695</v>
      </c>
      <c r="L178" s="77"/>
      <c r="M178" s="77"/>
      <c r="N178" s="424"/>
      <c r="O178" s="424"/>
      <c r="P178" s="424"/>
      <c r="Q178" s="424"/>
      <c r="R178" s="424"/>
      <c r="S178" s="424"/>
      <c r="T178" s="424"/>
      <c r="U178" s="424"/>
      <c r="V178" s="424"/>
      <c r="W178" s="77"/>
      <c r="X178" s="77"/>
      <c r="Y178" s="77"/>
      <c r="Z178" s="77"/>
    </row>
    <row r="179" ht="16.5" customHeight="1">
      <c r="A179" s="425" t="s">
        <v>9361</v>
      </c>
      <c r="B179" s="425" t="s">
        <v>9383</v>
      </c>
      <c r="C179" s="426" t="s">
        <v>9363</v>
      </c>
      <c r="L179" s="77"/>
      <c r="M179" s="77"/>
      <c r="N179" s="424"/>
      <c r="O179" s="424"/>
      <c r="P179" s="424"/>
      <c r="Q179" s="424"/>
      <c r="R179" s="424"/>
      <c r="S179" s="424"/>
      <c r="T179" s="424"/>
      <c r="U179" s="424"/>
      <c r="V179" s="424"/>
      <c r="W179" s="77"/>
      <c r="X179" s="77"/>
      <c r="Y179" s="77"/>
      <c r="Z179" s="77"/>
    </row>
    <row r="180" ht="16.5" customHeight="1">
      <c r="A180" s="198" t="s">
        <v>4219</v>
      </c>
      <c r="B180" s="198" t="s">
        <v>9696</v>
      </c>
      <c r="C180" s="427" t="s">
        <v>9365</v>
      </c>
      <c r="D180" s="427" t="s">
        <v>8952</v>
      </c>
      <c r="E180" s="427" t="s">
        <v>4702</v>
      </c>
      <c r="F180" s="427" t="s">
        <v>4703</v>
      </c>
      <c r="G180" s="427" t="s">
        <v>4320</v>
      </c>
      <c r="H180" s="427" t="s">
        <v>436</v>
      </c>
      <c r="I180" s="427" t="s">
        <v>4704</v>
      </c>
      <c r="J180" s="427" t="s">
        <v>135</v>
      </c>
      <c r="K180" s="427" t="s">
        <v>128</v>
      </c>
      <c r="L180" s="77"/>
      <c r="M180" s="77"/>
      <c r="N180" s="424"/>
      <c r="O180" s="424"/>
      <c r="P180" s="424"/>
      <c r="Q180" s="424"/>
      <c r="R180" s="424"/>
      <c r="S180" s="424"/>
      <c r="T180" s="424"/>
      <c r="U180" s="424"/>
      <c r="V180" s="424"/>
      <c r="W180" s="77"/>
      <c r="X180" s="77"/>
      <c r="Y180" s="77"/>
      <c r="Z180" s="77"/>
    </row>
    <row r="181" ht="16.5" customHeight="1">
      <c r="A181" s="31" t="s">
        <v>8112</v>
      </c>
      <c r="B181" s="31" t="s">
        <v>9697</v>
      </c>
      <c r="C181" s="4" t="s">
        <v>9441</v>
      </c>
      <c r="D181" s="4" t="s">
        <v>9130</v>
      </c>
      <c r="E181" s="4" t="s">
        <v>9316</v>
      </c>
      <c r="F181" s="4" t="s">
        <v>9698</v>
      </c>
      <c r="G181" s="4" t="s">
        <v>123</v>
      </c>
      <c r="H181" s="4" t="s">
        <v>9699</v>
      </c>
      <c r="I181" s="4" t="s">
        <v>9700</v>
      </c>
      <c r="J181" s="4" t="s">
        <v>9701</v>
      </c>
      <c r="K181" s="4" t="s">
        <v>9700</v>
      </c>
      <c r="L181" s="9"/>
      <c r="M181" s="77"/>
      <c r="N181" s="424"/>
      <c r="O181" s="424"/>
      <c r="P181" s="424"/>
      <c r="Q181" s="424"/>
      <c r="R181" s="424"/>
      <c r="S181" s="424"/>
      <c r="T181" s="424"/>
      <c r="U181" s="424"/>
      <c r="V181" s="424"/>
      <c r="W181" s="77"/>
      <c r="X181" s="77"/>
      <c r="Y181" s="77"/>
      <c r="Z181" s="77"/>
    </row>
    <row r="182" ht="16.5" customHeight="1">
      <c r="A182" s="31" t="s">
        <v>4188</v>
      </c>
      <c r="B182" s="31" t="s">
        <v>9702</v>
      </c>
      <c r="C182" s="4" t="s">
        <v>9466</v>
      </c>
      <c r="D182" s="4" t="s">
        <v>9130</v>
      </c>
      <c r="E182" s="4" t="s">
        <v>8921</v>
      </c>
      <c r="F182" s="4" t="s">
        <v>9698</v>
      </c>
      <c r="G182" s="4" t="s">
        <v>123</v>
      </c>
      <c r="H182" s="4" t="s">
        <v>1500</v>
      </c>
      <c r="I182" s="4" t="s">
        <v>9703</v>
      </c>
      <c r="J182" s="4" t="s">
        <v>9704</v>
      </c>
      <c r="K182" s="4" t="s">
        <v>9705</v>
      </c>
      <c r="L182" s="9"/>
      <c r="M182" s="77"/>
      <c r="N182" s="424"/>
      <c r="O182" s="424"/>
      <c r="P182" s="424"/>
      <c r="Q182" s="424"/>
      <c r="R182" s="424"/>
      <c r="S182" s="424"/>
      <c r="T182" s="424"/>
      <c r="U182" s="424"/>
      <c r="V182" s="424"/>
      <c r="W182" s="77"/>
      <c r="X182" s="77"/>
      <c r="Y182" s="77"/>
      <c r="Z182" s="77"/>
    </row>
    <row r="183" ht="16.5" customHeight="1">
      <c r="A183" s="31" t="s">
        <v>9706</v>
      </c>
      <c r="B183" s="31" t="s">
        <v>9707</v>
      </c>
      <c r="C183" s="4" t="s">
        <v>9472</v>
      </c>
      <c r="D183" s="4" t="s">
        <v>9130</v>
      </c>
      <c r="E183" s="4" t="s">
        <v>9497</v>
      </c>
      <c r="F183" s="4" t="s">
        <v>9698</v>
      </c>
      <c r="G183" s="4" t="s">
        <v>123</v>
      </c>
      <c r="H183" s="4" t="s">
        <v>1500</v>
      </c>
      <c r="I183" s="4" t="s">
        <v>9708</v>
      </c>
      <c r="J183" s="4" t="s">
        <v>9709</v>
      </c>
      <c r="K183" s="4" t="s">
        <v>9708</v>
      </c>
      <c r="L183" s="9"/>
      <c r="M183" s="77"/>
      <c r="N183" s="424"/>
      <c r="O183" s="424"/>
      <c r="P183" s="424"/>
      <c r="Q183" s="424"/>
      <c r="R183" s="424"/>
      <c r="S183" s="424"/>
      <c r="T183" s="424"/>
      <c r="U183" s="424"/>
      <c r="V183" s="424"/>
      <c r="W183" s="77"/>
      <c r="X183" s="77"/>
      <c r="Y183" s="77"/>
      <c r="Z183" s="77"/>
    </row>
    <row r="184" ht="16.5" customHeight="1">
      <c r="A184" s="31" t="s">
        <v>9710</v>
      </c>
      <c r="B184" s="31" t="s">
        <v>9711</v>
      </c>
      <c r="C184" s="4" t="s">
        <v>9712</v>
      </c>
      <c r="D184" s="4" t="s">
        <v>9130</v>
      </c>
      <c r="E184" s="4" t="s">
        <v>8914</v>
      </c>
      <c r="F184" s="4" t="s">
        <v>9698</v>
      </c>
      <c r="G184" s="4" t="s">
        <v>123</v>
      </c>
      <c r="H184" s="4" t="s">
        <v>1500</v>
      </c>
      <c r="I184" s="4" t="s">
        <v>9708</v>
      </c>
      <c r="J184" s="4" t="s">
        <v>9713</v>
      </c>
      <c r="K184" s="4" t="s">
        <v>9708</v>
      </c>
      <c r="L184" s="9"/>
      <c r="M184" s="77"/>
      <c r="N184" s="424"/>
      <c r="O184" s="424"/>
      <c r="P184" s="424"/>
      <c r="Q184" s="424"/>
      <c r="R184" s="424"/>
      <c r="S184" s="424"/>
      <c r="T184" s="424"/>
      <c r="U184" s="424"/>
      <c r="V184" s="424"/>
      <c r="W184" s="77"/>
      <c r="X184" s="77"/>
      <c r="Y184" s="77"/>
      <c r="Z184" s="77"/>
    </row>
    <row r="185" ht="16.5" customHeight="1">
      <c r="A185" s="31" t="s">
        <v>9714</v>
      </c>
      <c r="B185" s="31" t="s">
        <v>9715</v>
      </c>
      <c r="C185" s="4" t="s">
        <v>9716</v>
      </c>
      <c r="D185" s="4" t="s">
        <v>9130</v>
      </c>
      <c r="E185" s="4" t="s">
        <v>8938</v>
      </c>
      <c r="F185" s="4" t="s">
        <v>9698</v>
      </c>
      <c r="G185" s="4" t="s">
        <v>123</v>
      </c>
      <c r="H185" s="4" t="s">
        <v>1500</v>
      </c>
      <c r="I185" s="4" t="s">
        <v>9708</v>
      </c>
      <c r="J185" s="4" t="s">
        <v>9717</v>
      </c>
      <c r="K185" s="4" t="s">
        <v>9708</v>
      </c>
      <c r="L185" s="9"/>
      <c r="M185" s="77"/>
      <c r="N185" s="424"/>
      <c r="O185" s="424"/>
      <c r="P185" s="424"/>
      <c r="Q185" s="424"/>
      <c r="R185" s="424"/>
      <c r="S185" s="424"/>
      <c r="T185" s="424"/>
      <c r="U185" s="424"/>
      <c r="V185" s="424"/>
      <c r="W185" s="77"/>
      <c r="X185" s="77"/>
      <c r="Y185" s="77"/>
      <c r="Z185" s="77"/>
    </row>
    <row r="186" ht="16.5" customHeight="1">
      <c r="A186" s="31" t="s">
        <v>9718</v>
      </c>
      <c r="B186" s="31" t="s">
        <v>9719</v>
      </c>
      <c r="C186" s="108" t="s">
        <v>9720</v>
      </c>
      <c r="L186" s="9"/>
      <c r="M186" s="77"/>
      <c r="N186" s="424"/>
      <c r="O186" s="424"/>
      <c r="P186" s="424"/>
      <c r="Q186" s="424"/>
      <c r="R186" s="424"/>
      <c r="S186" s="424"/>
      <c r="T186" s="424"/>
      <c r="U186" s="424"/>
      <c r="V186" s="424"/>
      <c r="W186" s="77"/>
      <c r="X186" s="77"/>
      <c r="Y186" s="77"/>
      <c r="Z186" s="77"/>
    </row>
    <row r="187" ht="16.5" customHeight="1">
      <c r="A187" s="31" t="s">
        <v>9721</v>
      </c>
      <c r="B187" s="31" t="s">
        <v>9722</v>
      </c>
      <c r="C187" s="8"/>
      <c r="D187" s="8"/>
      <c r="E187" s="8"/>
      <c r="F187" s="8"/>
      <c r="G187" s="8"/>
      <c r="H187" s="8"/>
      <c r="I187" s="8"/>
      <c r="J187" s="8"/>
      <c r="K187" s="8"/>
      <c r="L187" s="9"/>
      <c r="M187" s="77"/>
      <c r="N187" s="424"/>
      <c r="O187" s="424"/>
      <c r="P187" s="424"/>
      <c r="Q187" s="424"/>
      <c r="R187" s="424"/>
      <c r="S187" s="424"/>
      <c r="T187" s="424"/>
      <c r="U187" s="424"/>
      <c r="V187" s="424"/>
      <c r="W187" s="77"/>
      <c r="X187" s="77"/>
      <c r="Y187" s="77"/>
      <c r="Z187" s="77"/>
    </row>
    <row r="188" ht="16.5" customHeight="1">
      <c r="A188" s="31" t="s">
        <v>8177</v>
      </c>
      <c r="B188" s="31" t="s">
        <v>9723</v>
      </c>
      <c r="C188" s="8"/>
      <c r="D188" s="8"/>
      <c r="E188" s="8"/>
      <c r="F188" s="8"/>
      <c r="G188" s="8"/>
      <c r="H188" s="8"/>
      <c r="I188" s="8"/>
      <c r="J188" s="8"/>
      <c r="K188" s="8"/>
      <c r="L188" s="9"/>
      <c r="M188" s="77"/>
      <c r="N188" s="424"/>
      <c r="O188" s="424"/>
      <c r="P188" s="424"/>
      <c r="Q188" s="424"/>
      <c r="R188" s="424"/>
      <c r="S188" s="424"/>
      <c r="T188" s="424"/>
      <c r="U188" s="424"/>
      <c r="V188" s="424"/>
      <c r="W188" s="77"/>
      <c r="X188" s="77"/>
      <c r="Y188" s="77"/>
      <c r="Z188" s="77"/>
    </row>
    <row r="189" ht="16.5" customHeight="1">
      <c r="A189" s="31" t="s">
        <v>9724</v>
      </c>
      <c r="B189" s="31" t="s">
        <v>9725</v>
      </c>
      <c r="L189" s="77"/>
      <c r="M189" s="77"/>
      <c r="N189" s="424"/>
      <c r="O189" s="424"/>
      <c r="P189" s="424"/>
      <c r="Q189" s="424"/>
      <c r="R189" s="424"/>
      <c r="S189" s="424"/>
      <c r="T189" s="424"/>
      <c r="U189" s="424"/>
      <c r="V189" s="424"/>
      <c r="W189" s="77"/>
      <c r="X189" s="77"/>
      <c r="Y189" s="77"/>
      <c r="Z189" s="77"/>
    </row>
    <row r="190" ht="16.5" customHeight="1">
      <c r="A190" s="31" t="s">
        <v>9726</v>
      </c>
      <c r="B190" s="31" t="s">
        <v>9727</v>
      </c>
      <c r="L190" s="77"/>
      <c r="M190" s="77"/>
      <c r="N190" s="424"/>
      <c r="O190" s="424"/>
      <c r="P190" s="424"/>
      <c r="Q190" s="424"/>
      <c r="R190" s="424"/>
      <c r="S190" s="424"/>
      <c r="T190" s="424"/>
      <c r="U190" s="424"/>
      <c r="V190" s="424"/>
      <c r="W190" s="77"/>
      <c r="X190" s="77"/>
      <c r="Y190" s="77"/>
      <c r="Z190" s="77"/>
    </row>
    <row r="191" ht="16.5" customHeight="1">
      <c r="A191" s="31" t="s">
        <v>9728</v>
      </c>
      <c r="B191" s="31" t="s">
        <v>9729</v>
      </c>
      <c r="L191" s="77"/>
      <c r="M191" s="77"/>
      <c r="N191" s="424"/>
      <c r="O191" s="424"/>
      <c r="P191" s="424"/>
      <c r="Q191" s="424"/>
      <c r="R191" s="424"/>
      <c r="S191" s="424"/>
      <c r="T191" s="424"/>
      <c r="U191" s="424"/>
      <c r="V191" s="424"/>
      <c r="W191" s="77"/>
      <c r="X191" s="77"/>
      <c r="Y191" s="77"/>
      <c r="Z191" s="77"/>
    </row>
    <row r="192" ht="16.5" customHeight="1">
      <c r="A192" s="423" t="s">
        <v>9730</v>
      </c>
      <c r="L192" s="77"/>
      <c r="M192" s="77"/>
      <c r="N192" s="424"/>
      <c r="O192" s="424"/>
      <c r="P192" s="424"/>
      <c r="Q192" s="424"/>
      <c r="R192" s="424"/>
      <c r="S192" s="424"/>
      <c r="T192" s="424"/>
      <c r="U192" s="424"/>
      <c r="V192" s="424"/>
      <c r="W192" s="77"/>
      <c r="X192" s="77"/>
      <c r="Y192" s="77"/>
      <c r="Z192" s="77"/>
    </row>
    <row r="193" ht="16.5" customHeight="1">
      <c r="A193" s="425" t="s">
        <v>9437</v>
      </c>
      <c r="B193" s="425" t="s">
        <v>9361</v>
      </c>
      <c r="C193" s="426" t="s">
        <v>9363</v>
      </c>
      <c r="L193" s="77"/>
      <c r="M193" s="77"/>
      <c r="N193" s="424"/>
      <c r="O193" s="424"/>
      <c r="P193" s="424"/>
      <c r="Q193" s="424"/>
      <c r="R193" s="424"/>
      <c r="S193" s="424"/>
      <c r="T193" s="424"/>
      <c r="U193" s="424"/>
      <c r="V193" s="424"/>
      <c r="W193" s="77"/>
      <c r="X193" s="77"/>
      <c r="Y193" s="77"/>
      <c r="Z193" s="77"/>
    </row>
    <row r="194" ht="16.5" customHeight="1">
      <c r="A194" s="428" t="s">
        <v>2071</v>
      </c>
      <c r="B194" s="428" t="s">
        <v>9731</v>
      </c>
      <c r="C194" s="427" t="s">
        <v>9365</v>
      </c>
      <c r="D194" s="427" t="s">
        <v>8952</v>
      </c>
      <c r="E194" s="427" t="s">
        <v>4702</v>
      </c>
      <c r="F194" s="427" t="s">
        <v>4703</v>
      </c>
      <c r="G194" s="427" t="s">
        <v>4320</v>
      </c>
      <c r="H194" s="427" t="s">
        <v>436</v>
      </c>
      <c r="I194" s="427" t="s">
        <v>4704</v>
      </c>
      <c r="J194" s="427" t="s">
        <v>135</v>
      </c>
      <c r="K194" s="427" t="s">
        <v>128</v>
      </c>
      <c r="L194" s="77"/>
      <c r="M194" s="77"/>
      <c r="N194" s="424"/>
      <c r="O194" s="424"/>
      <c r="P194" s="424"/>
      <c r="Q194" s="424"/>
      <c r="R194" s="424"/>
      <c r="S194" s="424"/>
      <c r="T194" s="424"/>
      <c r="U194" s="424"/>
      <c r="V194" s="424"/>
      <c r="W194" s="77"/>
      <c r="X194" s="77"/>
      <c r="Y194" s="77"/>
      <c r="Z194" s="77"/>
    </row>
    <row r="195" ht="16.5" customHeight="1">
      <c r="A195" s="31" t="s">
        <v>9732</v>
      </c>
      <c r="B195" s="31" t="s">
        <v>9733</v>
      </c>
      <c r="C195" s="4" t="s">
        <v>9441</v>
      </c>
      <c r="D195" s="4" t="s">
        <v>9109</v>
      </c>
      <c r="E195" s="4" t="s">
        <v>9316</v>
      </c>
      <c r="F195" s="4" t="s">
        <v>9734</v>
      </c>
      <c r="G195" s="4" t="s">
        <v>8</v>
      </c>
      <c r="H195" s="4" t="s">
        <v>1500</v>
      </c>
      <c r="I195" s="4" t="s">
        <v>9735</v>
      </c>
      <c r="J195" s="4" t="s">
        <v>9735</v>
      </c>
      <c r="K195" s="4" t="s">
        <v>8490</v>
      </c>
      <c r="L195" s="9"/>
      <c r="M195" s="9"/>
      <c r="N195" s="424"/>
      <c r="O195" s="424"/>
      <c r="P195" s="424"/>
      <c r="Q195" s="424"/>
      <c r="R195" s="424"/>
      <c r="S195" s="424"/>
      <c r="T195" s="424"/>
      <c r="U195" s="424"/>
      <c r="V195" s="424"/>
      <c r="W195" s="77"/>
      <c r="X195" s="77"/>
      <c r="Y195" s="77"/>
      <c r="Z195" s="77"/>
    </row>
    <row r="196" ht="16.5" customHeight="1">
      <c r="A196" s="31" t="s">
        <v>9736</v>
      </c>
      <c r="B196" s="31" t="s">
        <v>4227</v>
      </c>
      <c r="C196" s="108" t="s">
        <v>9448</v>
      </c>
      <c r="L196" s="9"/>
      <c r="M196" s="9"/>
      <c r="N196" s="424"/>
      <c r="O196" s="424"/>
      <c r="P196" s="424"/>
      <c r="Q196" s="424"/>
      <c r="R196" s="424"/>
      <c r="S196" s="424"/>
      <c r="T196" s="424"/>
      <c r="U196" s="424"/>
      <c r="V196" s="424"/>
      <c r="W196" s="77"/>
      <c r="X196" s="77"/>
      <c r="Y196" s="77"/>
      <c r="Z196" s="77"/>
    </row>
    <row r="197" ht="16.5" customHeight="1">
      <c r="A197" s="31" t="s">
        <v>9737</v>
      </c>
      <c r="B197" s="31" t="s">
        <v>9738</v>
      </c>
      <c r="C197" s="8"/>
      <c r="D197" s="8"/>
      <c r="E197" s="8"/>
      <c r="F197" s="8"/>
      <c r="G197" s="8"/>
      <c r="H197" s="8"/>
      <c r="I197" s="8"/>
      <c r="J197" s="8"/>
      <c r="K197" s="8"/>
      <c r="L197" s="9"/>
      <c r="M197" s="9"/>
      <c r="N197" s="424"/>
      <c r="O197" s="424"/>
      <c r="P197" s="424"/>
      <c r="Q197" s="424"/>
      <c r="R197" s="424"/>
      <c r="S197" s="424"/>
      <c r="T197" s="424"/>
      <c r="U197" s="424"/>
      <c r="V197" s="424"/>
      <c r="W197" s="77"/>
      <c r="X197" s="77"/>
      <c r="Y197" s="77"/>
      <c r="Z197" s="77"/>
    </row>
    <row r="198" ht="16.5" customHeight="1">
      <c r="A198" s="31" t="s">
        <v>2002</v>
      </c>
      <c r="B198" s="31" t="s">
        <v>9739</v>
      </c>
      <c r="C198" s="8"/>
      <c r="D198" s="8"/>
      <c r="E198" s="8"/>
      <c r="F198" s="8"/>
      <c r="G198" s="8"/>
      <c r="H198" s="8"/>
      <c r="I198" s="8"/>
      <c r="J198" s="8"/>
      <c r="K198" s="8"/>
      <c r="L198" s="9"/>
      <c r="M198" s="9"/>
      <c r="N198" s="424"/>
      <c r="O198" s="424"/>
      <c r="P198" s="424"/>
      <c r="Q198" s="424"/>
      <c r="R198" s="424"/>
      <c r="S198" s="424"/>
      <c r="T198" s="424"/>
      <c r="U198" s="424"/>
      <c r="V198" s="424"/>
      <c r="W198" s="77"/>
      <c r="X198" s="77"/>
      <c r="Y198" s="77"/>
      <c r="Z198" s="77"/>
    </row>
    <row r="199" ht="16.5" customHeight="1">
      <c r="A199" s="31" t="s">
        <v>8140</v>
      </c>
      <c r="B199" s="31" t="s">
        <v>9373</v>
      </c>
      <c r="C199" s="8"/>
      <c r="D199" s="8"/>
      <c r="E199" s="8"/>
      <c r="F199" s="8"/>
      <c r="G199" s="8"/>
      <c r="H199" s="8"/>
      <c r="I199" s="8"/>
      <c r="J199" s="8"/>
      <c r="K199" s="8"/>
      <c r="L199" s="9"/>
      <c r="M199" s="9"/>
      <c r="N199" s="424"/>
      <c r="O199" s="424"/>
      <c r="P199" s="424"/>
      <c r="Q199" s="424"/>
      <c r="R199" s="424"/>
      <c r="S199" s="424"/>
      <c r="T199" s="424"/>
      <c r="U199" s="424"/>
      <c r="V199" s="424"/>
      <c r="W199" s="77"/>
      <c r="X199" s="77"/>
      <c r="Y199" s="77"/>
      <c r="Z199" s="77"/>
    </row>
    <row r="200" ht="16.5" customHeight="1">
      <c r="A200" s="31" t="s">
        <v>8152</v>
      </c>
      <c r="B200" s="31" t="s">
        <v>7263</v>
      </c>
      <c r="C200" s="8"/>
      <c r="D200" s="8"/>
      <c r="E200" s="8"/>
      <c r="F200" s="8"/>
      <c r="G200" s="8"/>
      <c r="H200" s="8"/>
      <c r="I200" s="8"/>
      <c r="J200" s="8"/>
      <c r="K200" s="8"/>
      <c r="L200" s="9"/>
      <c r="M200" s="9"/>
      <c r="N200" s="424"/>
      <c r="O200" s="424"/>
      <c r="P200" s="424"/>
      <c r="Q200" s="424"/>
      <c r="R200" s="424"/>
      <c r="S200" s="424"/>
      <c r="T200" s="424"/>
      <c r="U200" s="424"/>
      <c r="V200" s="424"/>
      <c r="W200" s="77"/>
      <c r="X200" s="77"/>
      <c r="Y200" s="77"/>
      <c r="Z200" s="77"/>
    </row>
    <row r="201" ht="16.5" customHeight="1">
      <c r="A201" s="31" t="s">
        <v>9740</v>
      </c>
      <c r="B201" s="31" t="s">
        <v>9741</v>
      </c>
      <c r="C201" s="8"/>
      <c r="D201" s="8"/>
      <c r="E201" s="8"/>
      <c r="F201" s="8"/>
      <c r="G201" s="8"/>
      <c r="H201" s="8"/>
      <c r="I201" s="8"/>
      <c r="J201" s="8"/>
      <c r="K201" s="8"/>
      <c r="L201" s="9"/>
      <c r="M201" s="9"/>
      <c r="N201" s="424"/>
      <c r="O201" s="424"/>
      <c r="P201" s="424"/>
      <c r="Q201" s="424"/>
      <c r="R201" s="424"/>
      <c r="S201" s="424"/>
      <c r="T201" s="424"/>
      <c r="U201" s="424"/>
      <c r="V201" s="424"/>
      <c r="W201" s="77"/>
      <c r="X201" s="77"/>
      <c r="Y201" s="77"/>
      <c r="Z201" s="77"/>
    </row>
    <row r="202" ht="16.5" customHeight="1">
      <c r="A202" s="31" t="s">
        <v>8171</v>
      </c>
      <c r="B202" s="31" t="s">
        <v>9742</v>
      </c>
      <c r="C202" s="8"/>
      <c r="D202" s="8"/>
      <c r="E202" s="8"/>
      <c r="F202" s="8"/>
      <c r="G202" s="8"/>
      <c r="H202" s="8"/>
      <c r="I202" s="8"/>
      <c r="J202" s="8"/>
      <c r="K202" s="8"/>
      <c r="L202" s="9"/>
      <c r="M202" s="9"/>
      <c r="N202" s="424"/>
      <c r="O202" s="424"/>
      <c r="P202" s="424"/>
      <c r="Q202" s="424"/>
      <c r="R202" s="424"/>
      <c r="S202" s="424"/>
      <c r="T202" s="424"/>
      <c r="U202" s="424"/>
      <c r="V202" s="424"/>
      <c r="W202" s="77"/>
      <c r="X202" s="77"/>
      <c r="Y202" s="77"/>
      <c r="Z202" s="77"/>
    </row>
    <row r="203" ht="16.5" customHeight="1">
      <c r="A203" s="31" t="s">
        <v>9743</v>
      </c>
      <c r="B203" s="31" t="s">
        <v>9744</v>
      </c>
      <c r="C203" s="8"/>
      <c r="D203" s="8"/>
      <c r="E203" s="8"/>
      <c r="F203" s="8"/>
      <c r="G203" s="8"/>
      <c r="H203" s="8"/>
      <c r="I203" s="8"/>
      <c r="J203" s="8"/>
      <c r="K203" s="8"/>
      <c r="L203" s="9"/>
      <c r="M203" s="9"/>
      <c r="N203" s="424"/>
      <c r="O203" s="424"/>
      <c r="P203" s="424"/>
      <c r="Q203" s="424"/>
      <c r="R203" s="424"/>
      <c r="S203" s="424"/>
      <c r="T203" s="424"/>
      <c r="U203" s="424"/>
      <c r="V203" s="424"/>
      <c r="W203" s="77"/>
      <c r="X203" s="77"/>
      <c r="Y203" s="77"/>
      <c r="Z203" s="77"/>
    </row>
    <row r="204" ht="16.5" customHeight="1">
      <c r="A204" s="31" t="s">
        <v>9745</v>
      </c>
      <c r="B204" s="31" t="s">
        <v>9746</v>
      </c>
      <c r="L204" s="77"/>
      <c r="M204" s="77"/>
      <c r="N204" s="424"/>
      <c r="O204" s="424"/>
      <c r="P204" s="424"/>
      <c r="Q204" s="424"/>
      <c r="R204" s="424"/>
      <c r="S204" s="424"/>
      <c r="T204" s="424"/>
      <c r="U204" s="424"/>
      <c r="V204" s="424"/>
      <c r="W204" s="77"/>
      <c r="X204" s="77"/>
      <c r="Y204" s="77"/>
      <c r="Z204" s="77"/>
    </row>
    <row r="205" ht="16.5" customHeight="1">
      <c r="A205" s="31" t="s">
        <v>9747</v>
      </c>
      <c r="B205" s="31" t="s">
        <v>9748</v>
      </c>
      <c r="L205" s="77"/>
      <c r="M205" s="77"/>
      <c r="N205" s="424"/>
      <c r="O205" s="424"/>
      <c r="P205" s="424"/>
      <c r="Q205" s="424"/>
      <c r="R205" s="424"/>
      <c r="S205" s="424"/>
      <c r="T205" s="424"/>
      <c r="U205" s="424"/>
      <c r="V205" s="424"/>
      <c r="W205" s="77"/>
      <c r="X205" s="77"/>
      <c r="Y205" s="77"/>
      <c r="Z205" s="77"/>
    </row>
    <row r="206" ht="16.5" customHeight="1">
      <c r="A206" s="31" t="s">
        <v>4527</v>
      </c>
      <c r="B206" s="31" t="s">
        <v>9749</v>
      </c>
      <c r="L206" s="77"/>
      <c r="M206" s="77"/>
      <c r="N206" s="424"/>
      <c r="O206" s="424"/>
      <c r="P206" s="424"/>
      <c r="Q206" s="424"/>
      <c r="R206" s="424"/>
      <c r="S206" s="424"/>
      <c r="T206" s="424"/>
      <c r="U206" s="424"/>
      <c r="V206" s="424"/>
      <c r="W206" s="77"/>
      <c r="X206" s="77"/>
      <c r="Y206" s="77"/>
      <c r="Z206" s="77"/>
    </row>
    <row r="207" ht="16.5" customHeight="1">
      <c r="A207" s="31" t="s">
        <v>9750</v>
      </c>
      <c r="B207" s="31" t="s">
        <v>9751</v>
      </c>
      <c r="L207" s="77"/>
      <c r="M207" s="77"/>
      <c r="N207" s="424"/>
      <c r="O207" s="424"/>
      <c r="P207" s="424"/>
      <c r="Q207" s="424"/>
      <c r="R207" s="424"/>
      <c r="S207" s="424"/>
      <c r="T207" s="424"/>
      <c r="U207" s="424"/>
      <c r="V207" s="424"/>
      <c r="W207" s="77"/>
      <c r="X207" s="77"/>
      <c r="Y207" s="77"/>
      <c r="Z207" s="77"/>
    </row>
    <row r="208" ht="16.5" customHeight="1">
      <c r="A208" s="31" t="s">
        <v>8234</v>
      </c>
      <c r="B208" s="31" t="s">
        <v>9752</v>
      </c>
      <c r="L208" s="77"/>
      <c r="M208" s="77"/>
      <c r="N208" s="424"/>
      <c r="O208" s="424"/>
      <c r="P208" s="424"/>
      <c r="Q208" s="424"/>
      <c r="R208" s="424"/>
      <c r="S208" s="424"/>
      <c r="T208" s="424"/>
      <c r="U208" s="424"/>
      <c r="V208" s="424"/>
      <c r="W208" s="77"/>
      <c r="X208" s="77"/>
      <c r="Y208" s="77"/>
      <c r="Z208" s="77"/>
    </row>
    <row r="209" ht="16.5" customHeight="1">
      <c r="A209" s="423" t="s">
        <v>9753</v>
      </c>
      <c r="L209" s="77"/>
      <c r="M209" s="77"/>
      <c r="N209" s="424"/>
      <c r="O209" s="424"/>
      <c r="P209" s="424"/>
      <c r="Q209" s="424"/>
      <c r="R209" s="424"/>
      <c r="S209" s="424"/>
      <c r="T209" s="424"/>
      <c r="U209" s="424"/>
      <c r="V209" s="424"/>
      <c r="W209" s="77"/>
      <c r="X209" s="77"/>
      <c r="Y209" s="77"/>
      <c r="Z209" s="77"/>
    </row>
    <row r="210" ht="16.5" customHeight="1">
      <c r="A210" s="425" t="s">
        <v>9459</v>
      </c>
      <c r="B210" s="425" t="s">
        <v>9362</v>
      </c>
      <c r="C210" s="426" t="s">
        <v>9363</v>
      </c>
      <c r="L210" s="77"/>
      <c r="M210" s="77"/>
      <c r="N210" s="424"/>
      <c r="O210" s="424"/>
      <c r="P210" s="424"/>
      <c r="Q210" s="424"/>
      <c r="R210" s="424"/>
      <c r="S210" s="424"/>
      <c r="T210" s="424"/>
      <c r="U210" s="424"/>
      <c r="V210" s="424"/>
      <c r="W210" s="77"/>
      <c r="X210" s="77"/>
      <c r="Y210" s="77"/>
      <c r="Z210" s="77"/>
    </row>
    <row r="211" ht="16.5" customHeight="1">
      <c r="A211" s="428" t="s">
        <v>3756</v>
      </c>
      <c r="B211" s="428" t="s">
        <v>9364</v>
      </c>
      <c r="C211" s="427" t="s">
        <v>9365</v>
      </c>
      <c r="D211" s="427" t="s">
        <v>8952</v>
      </c>
      <c r="E211" s="427" t="s">
        <v>4702</v>
      </c>
      <c r="F211" s="427" t="s">
        <v>4703</v>
      </c>
      <c r="G211" s="427" t="s">
        <v>4320</v>
      </c>
      <c r="H211" s="427" t="s">
        <v>436</v>
      </c>
      <c r="I211" s="427" t="s">
        <v>4704</v>
      </c>
      <c r="J211" s="427" t="s">
        <v>135</v>
      </c>
      <c r="K211" s="427" t="s">
        <v>128</v>
      </c>
      <c r="L211" s="77"/>
      <c r="M211" s="77"/>
      <c r="N211" s="424"/>
      <c r="O211" s="424"/>
      <c r="P211" s="424"/>
      <c r="Q211" s="424"/>
      <c r="R211" s="424"/>
      <c r="S211" s="424"/>
      <c r="T211" s="424"/>
      <c r="U211" s="424"/>
      <c r="V211" s="424"/>
      <c r="W211" s="77"/>
      <c r="X211" s="77"/>
      <c r="Y211" s="77"/>
      <c r="Z211" s="77"/>
    </row>
    <row r="212" ht="16.5" customHeight="1">
      <c r="A212" s="31" t="s">
        <v>9540</v>
      </c>
      <c r="B212" s="31" t="s">
        <v>9670</v>
      </c>
      <c r="C212" s="4" t="s">
        <v>9441</v>
      </c>
      <c r="D212" s="4" t="s">
        <v>9183</v>
      </c>
      <c r="E212" s="4" t="s">
        <v>9316</v>
      </c>
      <c r="F212" s="4" t="s">
        <v>9671</v>
      </c>
      <c r="G212" s="4" t="s">
        <v>9277</v>
      </c>
      <c r="H212" s="4" t="s">
        <v>9754</v>
      </c>
      <c r="I212" s="4" t="s">
        <v>9673</v>
      </c>
      <c r="J212" s="4" t="s">
        <v>9755</v>
      </c>
      <c r="K212" s="4" t="s">
        <v>9673</v>
      </c>
      <c r="L212" s="9"/>
      <c r="M212" s="9"/>
      <c r="N212" s="424"/>
      <c r="O212" s="424"/>
      <c r="P212" s="424"/>
      <c r="Q212" s="424"/>
      <c r="R212" s="424"/>
      <c r="S212" s="424"/>
      <c r="T212" s="424"/>
      <c r="U212" s="424"/>
      <c r="V212" s="424"/>
      <c r="W212" s="77"/>
      <c r="X212" s="77"/>
      <c r="Y212" s="77"/>
      <c r="Z212" s="77"/>
    </row>
    <row r="213" ht="16.5" customHeight="1">
      <c r="A213" s="31" t="s">
        <v>9756</v>
      </c>
      <c r="B213" s="31" t="s">
        <v>9675</v>
      </c>
      <c r="C213" s="108" t="s">
        <v>9676</v>
      </c>
      <c r="L213" s="9"/>
      <c r="M213" s="9"/>
      <c r="N213" s="424"/>
      <c r="O213" s="424"/>
      <c r="P213" s="424"/>
      <c r="Q213" s="424"/>
      <c r="R213" s="424"/>
      <c r="S213" s="424"/>
      <c r="T213" s="424"/>
      <c r="U213" s="424"/>
      <c r="V213" s="424"/>
      <c r="W213" s="77"/>
      <c r="X213" s="77"/>
      <c r="Y213" s="77"/>
      <c r="Z213" s="77"/>
    </row>
    <row r="214" ht="16.5" customHeight="1">
      <c r="A214" s="31" t="s">
        <v>4455</v>
      </c>
      <c r="B214" s="31" t="s">
        <v>9678</v>
      </c>
      <c r="C214" s="8"/>
      <c r="D214" s="8"/>
      <c r="E214" s="8"/>
      <c r="F214" s="8"/>
      <c r="G214" s="8"/>
      <c r="H214" s="8"/>
      <c r="I214" s="8"/>
      <c r="J214" s="8"/>
      <c r="K214" s="8"/>
      <c r="L214" s="9"/>
      <c r="M214" s="9"/>
      <c r="N214" s="424"/>
      <c r="O214" s="424"/>
      <c r="P214" s="424"/>
      <c r="Q214" s="424"/>
      <c r="R214" s="424"/>
      <c r="S214" s="424"/>
      <c r="T214" s="424"/>
      <c r="U214" s="424"/>
      <c r="V214" s="424"/>
      <c r="W214" s="77"/>
      <c r="X214" s="77"/>
      <c r="Y214" s="77"/>
      <c r="Z214" s="77"/>
    </row>
    <row r="215" ht="16.5" customHeight="1">
      <c r="A215" s="31" t="s">
        <v>9757</v>
      </c>
      <c r="B215" s="31" t="s">
        <v>9758</v>
      </c>
      <c r="C215" s="8"/>
      <c r="D215" s="8"/>
      <c r="E215" s="8"/>
      <c r="F215" s="8"/>
      <c r="G215" s="8"/>
      <c r="H215" s="8"/>
      <c r="I215" s="8"/>
      <c r="J215" s="8"/>
      <c r="K215" s="8"/>
      <c r="L215" s="9"/>
      <c r="M215" s="9"/>
      <c r="N215" s="424"/>
      <c r="O215" s="424"/>
      <c r="P215" s="424"/>
      <c r="Q215" s="424"/>
      <c r="R215" s="424"/>
      <c r="S215" s="424"/>
      <c r="T215" s="424"/>
      <c r="U215" s="424"/>
      <c r="V215" s="424"/>
      <c r="W215" s="77"/>
      <c r="X215" s="77"/>
      <c r="Y215" s="77"/>
      <c r="Z215" s="77"/>
    </row>
    <row r="216" ht="16.5" customHeight="1">
      <c r="A216" s="31" t="s">
        <v>9759</v>
      </c>
      <c r="B216" s="31" t="s">
        <v>9760</v>
      </c>
      <c r="C216" s="8"/>
      <c r="D216" s="8"/>
      <c r="E216" s="8"/>
      <c r="F216" s="8"/>
      <c r="G216" s="8"/>
      <c r="H216" s="8"/>
      <c r="I216" s="8"/>
      <c r="J216" s="8"/>
      <c r="K216" s="8"/>
      <c r="L216" s="9"/>
      <c r="M216" s="9"/>
      <c r="N216" s="424"/>
      <c r="O216" s="424"/>
      <c r="P216" s="424"/>
      <c r="Q216" s="424"/>
      <c r="R216" s="424"/>
      <c r="S216" s="424"/>
      <c r="T216" s="424"/>
      <c r="U216" s="424"/>
      <c r="V216" s="424"/>
      <c r="W216" s="77"/>
      <c r="X216" s="77"/>
      <c r="Y216" s="77"/>
      <c r="Z216" s="77"/>
    </row>
    <row r="217" ht="16.5" customHeight="1">
      <c r="A217" s="31" t="s">
        <v>9761</v>
      </c>
      <c r="B217" s="31" t="s">
        <v>9762</v>
      </c>
      <c r="L217" s="77"/>
      <c r="M217" s="77"/>
      <c r="N217" s="424"/>
      <c r="O217" s="424"/>
      <c r="P217" s="424"/>
      <c r="Q217" s="424"/>
      <c r="R217" s="424"/>
      <c r="S217" s="424"/>
      <c r="T217" s="424"/>
      <c r="U217" s="424"/>
      <c r="V217" s="424"/>
      <c r="W217" s="77"/>
      <c r="X217" s="77"/>
      <c r="Y217" s="77"/>
      <c r="Z217" s="77"/>
    </row>
    <row r="218" ht="16.5" customHeight="1">
      <c r="A218" s="31" t="s">
        <v>9763</v>
      </c>
      <c r="B218" s="31" t="s">
        <v>9764</v>
      </c>
      <c r="L218" s="77"/>
      <c r="M218" s="77"/>
      <c r="N218" s="424"/>
      <c r="O218" s="424"/>
      <c r="P218" s="424"/>
      <c r="Q218" s="424"/>
      <c r="R218" s="424"/>
      <c r="S218" s="424"/>
      <c r="T218" s="424"/>
      <c r="U218" s="424"/>
      <c r="V218" s="424"/>
      <c r="W218" s="77"/>
      <c r="X218" s="77"/>
      <c r="Y218" s="77"/>
      <c r="Z218" s="77"/>
    </row>
    <row r="219" ht="16.5" customHeight="1">
      <c r="A219" s="31" t="s">
        <v>9765</v>
      </c>
      <c r="B219" s="31" t="s">
        <v>9766</v>
      </c>
      <c r="L219" s="77"/>
      <c r="M219" s="77"/>
      <c r="N219" s="424"/>
      <c r="O219" s="424"/>
      <c r="P219" s="424"/>
      <c r="Q219" s="424"/>
      <c r="R219" s="424"/>
      <c r="S219" s="424"/>
      <c r="T219" s="424"/>
      <c r="U219" s="424"/>
      <c r="V219" s="424"/>
      <c r="W219" s="77"/>
      <c r="X219" s="77"/>
      <c r="Y219" s="77"/>
      <c r="Z219" s="77"/>
    </row>
    <row r="220" ht="16.5" customHeight="1">
      <c r="A220" s="31" t="s">
        <v>9767</v>
      </c>
      <c r="B220" s="31" t="s">
        <v>9768</v>
      </c>
      <c r="L220" s="77"/>
      <c r="M220" s="77"/>
      <c r="N220" s="424"/>
      <c r="O220" s="424"/>
      <c r="P220" s="424"/>
      <c r="Q220" s="424"/>
      <c r="R220" s="424"/>
      <c r="S220" s="424"/>
      <c r="T220" s="424"/>
      <c r="U220" s="424"/>
      <c r="V220" s="424"/>
      <c r="W220" s="77"/>
      <c r="X220" s="77"/>
      <c r="Y220" s="77"/>
      <c r="Z220" s="77"/>
    </row>
    <row r="221" ht="16.5" customHeight="1">
      <c r="A221" s="423" t="s">
        <v>9769</v>
      </c>
      <c r="L221" s="77"/>
      <c r="M221" s="77"/>
      <c r="N221" s="424"/>
      <c r="O221" s="424"/>
      <c r="P221" s="424"/>
      <c r="Q221" s="424"/>
      <c r="R221" s="424"/>
      <c r="S221" s="424"/>
      <c r="T221" s="424"/>
      <c r="U221" s="424"/>
      <c r="V221" s="424"/>
      <c r="W221" s="77"/>
      <c r="X221" s="77"/>
      <c r="Y221" s="77"/>
      <c r="Z221" s="77"/>
    </row>
    <row r="222" ht="16.5" customHeight="1">
      <c r="A222" s="425" t="s">
        <v>9770</v>
      </c>
      <c r="B222" s="425" t="s">
        <v>9415</v>
      </c>
      <c r="C222" s="426" t="s">
        <v>9363</v>
      </c>
      <c r="L222" s="77"/>
      <c r="M222" s="77"/>
      <c r="N222" s="424"/>
      <c r="O222" s="424"/>
      <c r="P222" s="424"/>
      <c r="Q222" s="424"/>
      <c r="R222" s="424"/>
      <c r="S222" s="424"/>
      <c r="T222" s="424"/>
      <c r="U222" s="424"/>
      <c r="V222" s="424"/>
      <c r="W222" s="77"/>
      <c r="X222" s="77"/>
      <c r="Y222" s="77"/>
      <c r="Z222" s="77"/>
    </row>
    <row r="223" ht="16.5" customHeight="1">
      <c r="A223" s="428" t="s">
        <v>9771</v>
      </c>
      <c r="B223" s="428" t="s">
        <v>2867</v>
      </c>
      <c r="C223" s="427" t="s">
        <v>9365</v>
      </c>
      <c r="D223" s="427" t="s">
        <v>8952</v>
      </c>
      <c r="E223" s="427" t="s">
        <v>4702</v>
      </c>
      <c r="F223" s="427" t="s">
        <v>4703</v>
      </c>
      <c r="G223" s="427" t="s">
        <v>4320</v>
      </c>
      <c r="H223" s="427" t="s">
        <v>436</v>
      </c>
      <c r="I223" s="427" t="s">
        <v>4704</v>
      </c>
      <c r="J223" s="427" t="s">
        <v>135</v>
      </c>
      <c r="K223" s="427" t="s">
        <v>128</v>
      </c>
      <c r="L223" s="77"/>
      <c r="M223" s="77"/>
      <c r="N223" s="424"/>
      <c r="O223" s="424"/>
      <c r="P223" s="424"/>
      <c r="Q223" s="424"/>
      <c r="R223" s="424"/>
      <c r="S223" s="424"/>
      <c r="T223" s="424"/>
      <c r="U223" s="424"/>
      <c r="V223" s="424"/>
      <c r="W223" s="77"/>
      <c r="X223" s="77"/>
      <c r="Y223" s="77"/>
      <c r="Z223" s="77"/>
    </row>
    <row r="224" ht="16.5" customHeight="1">
      <c r="A224" s="31" t="s">
        <v>9772</v>
      </c>
      <c r="B224" s="31" t="s">
        <v>9773</v>
      </c>
      <c r="C224" s="4" t="s">
        <v>9441</v>
      </c>
      <c r="D224" s="4" t="s">
        <v>9102</v>
      </c>
      <c r="E224" s="4" t="s">
        <v>9316</v>
      </c>
      <c r="F224" s="4" t="s">
        <v>9774</v>
      </c>
      <c r="G224" s="4" t="s">
        <v>16</v>
      </c>
      <c r="H224" s="4" t="s">
        <v>6288</v>
      </c>
      <c r="I224" s="4" t="s">
        <v>8779</v>
      </c>
      <c r="J224" s="4" t="s">
        <v>8779</v>
      </c>
      <c r="K224" s="4" t="s">
        <v>9775</v>
      </c>
      <c r="L224" s="9"/>
      <c r="M224" s="77"/>
      <c r="N224" s="424"/>
      <c r="O224" s="424"/>
      <c r="P224" s="424"/>
      <c r="Q224" s="424"/>
      <c r="R224" s="424"/>
      <c r="S224" s="424"/>
      <c r="T224" s="424"/>
      <c r="U224" s="424"/>
      <c r="V224" s="424"/>
      <c r="W224" s="77"/>
      <c r="X224" s="77"/>
      <c r="Y224" s="77"/>
      <c r="Z224" s="77"/>
    </row>
    <row r="225" ht="16.5" customHeight="1">
      <c r="A225" s="31" t="s">
        <v>9776</v>
      </c>
      <c r="B225" s="31" t="s">
        <v>9777</v>
      </c>
      <c r="C225" s="108" t="s">
        <v>9778</v>
      </c>
      <c r="L225" s="9"/>
      <c r="M225" s="77"/>
      <c r="N225" s="424"/>
      <c r="O225" s="424"/>
      <c r="P225" s="424"/>
      <c r="Q225" s="424"/>
      <c r="R225" s="424"/>
      <c r="S225" s="424"/>
      <c r="T225" s="424"/>
      <c r="U225" s="424"/>
      <c r="V225" s="424"/>
      <c r="W225" s="77"/>
      <c r="X225" s="77"/>
      <c r="Y225" s="77"/>
      <c r="Z225" s="77"/>
    </row>
    <row r="226" ht="16.5" customHeight="1">
      <c r="A226" s="31" t="s">
        <v>9779</v>
      </c>
      <c r="B226" s="31" t="s">
        <v>9780</v>
      </c>
      <c r="C226" s="8"/>
      <c r="D226" s="8"/>
      <c r="E226" s="8"/>
      <c r="F226" s="8"/>
      <c r="G226" s="8"/>
      <c r="H226" s="8"/>
      <c r="I226" s="8"/>
      <c r="J226" s="8"/>
      <c r="K226" s="8"/>
      <c r="L226" s="9"/>
      <c r="M226" s="77"/>
      <c r="N226" s="424"/>
      <c r="O226" s="424"/>
      <c r="P226" s="424"/>
      <c r="Q226" s="424"/>
      <c r="R226" s="424"/>
      <c r="S226" s="424"/>
      <c r="T226" s="424"/>
      <c r="U226" s="424"/>
      <c r="V226" s="424"/>
      <c r="W226" s="77"/>
      <c r="X226" s="77"/>
      <c r="Y226" s="77"/>
      <c r="Z226" s="77"/>
    </row>
    <row r="227" ht="16.5" customHeight="1">
      <c r="A227" s="31" t="s">
        <v>9781</v>
      </c>
      <c r="B227" s="31" t="s">
        <v>9782</v>
      </c>
      <c r="C227" s="8"/>
      <c r="D227" s="8"/>
      <c r="E227" s="8"/>
      <c r="F227" s="8"/>
      <c r="G227" s="8"/>
      <c r="H227" s="8"/>
      <c r="I227" s="8"/>
      <c r="J227" s="8"/>
      <c r="K227" s="8"/>
      <c r="L227" s="9"/>
      <c r="M227" s="77"/>
      <c r="N227" s="424"/>
      <c r="O227" s="424"/>
      <c r="P227" s="424"/>
      <c r="Q227" s="424"/>
      <c r="R227" s="424"/>
      <c r="S227" s="424"/>
      <c r="T227" s="424"/>
      <c r="U227" s="424"/>
      <c r="V227" s="424"/>
      <c r="W227" s="77"/>
      <c r="X227" s="77"/>
      <c r="Y227" s="77"/>
      <c r="Z227" s="77"/>
    </row>
    <row r="228" ht="16.5" customHeight="1">
      <c r="A228" s="31" t="s">
        <v>9783</v>
      </c>
      <c r="B228" s="31" t="s">
        <v>2887</v>
      </c>
      <c r="C228" s="8"/>
      <c r="D228" s="8"/>
      <c r="E228" s="8"/>
      <c r="F228" s="8"/>
      <c r="G228" s="8"/>
      <c r="H228" s="8"/>
      <c r="I228" s="8"/>
      <c r="J228" s="8"/>
      <c r="K228" s="8"/>
      <c r="L228" s="9"/>
      <c r="M228" s="77"/>
      <c r="N228" s="424"/>
      <c r="O228" s="424"/>
      <c r="P228" s="424"/>
      <c r="Q228" s="424"/>
      <c r="R228" s="424"/>
      <c r="S228" s="424"/>
      <c r="T228" s="424"/>
      <c r="U228" s="424"/>
      <c r="V228" s="424"/>
      <c r="W228" s="77"/>
      <c r="X228" s="77"/>
      <c r="Y228" s="77"/>
      <c r="Z228" s="77"/>
    </row>
    <row r="229" ht="16.5" customHeight="1">
      <c r="A229" s="31" t="s">
        <v>9784</v>
      </c>
      <c r="B229" s="31" t="s">
        <v>2890</v>
      </c>
      <c r="C229" s="8"/>
      <c r="D229" s="8"/>
      <c r="E229" s="8"/>
      <c r="F229" s="8"/>
      <c r="G229" s="8"/>
      <c r="H229" s="8"/>
      <c r="I229" s="8"/>
      <c r="J229" s="8"/>
      <c r="K229" s="8"/>
      <c r="L229" s="9"/>
      <c r="M229" s="77"/>
      <c r="N229" s="424"/>
      <c r="O229" s="424"/>
      <c r="P229" s="424"/>
      <c r="Q229" s="424"/>
      <c r="R229" s="424"/>
      <c r="S229" s="424"/>
      <c r="T229" s="424"/>
      <c r="U229" s="424"/>
      <c r="V229" s="424"/>
      <c r="W229" s="77"/>
      <c r="X229" s="77"/>
      <c r="Y229" s="77"/>
      <c r="Z229" s="77"/>
    </row>
    <row r="230" ht="16.5" customHeight="1">
      <c r="A230" s="31" t="s">
        <v>9785</v>
      </c>
      <c r="B230" s="31" t="s">
        <v>9786</v>
      </c>
      <c r="C230" s="8"/>
      <c r="D230" s="8"/>
      <c r="E230" s="8"/>
      <c r="F230" s="8"/>
      <c r="G230" s="8"/>
      <c r="H230" s="8"/>
      <c r="I230" s="8"/>
      <c r="J230" s="8"/>
      <c r="K230" s="8"/>
      <c r="L230" s="9"/>
      <c r="M230" s="77"/>
      <c r="N230" s="424"/>
      <c r="O230" s="424"/>
      <c r="P230" s="424"/>
      <c r="Q230" s="424"/>
      <c r="R230" s="424"/>
      <c r="S230" s="424"/>
      <c r="T230" s="424"/>
      <c r="U230" s="424"/>
      <c r="V230" s="424"/>
      <c r="W230" s="77"/>
      <c r="X230" s="77"/>
      <c r="Y230" s="77"/>
      <c r="Z230" s="77"/>
    </row>
    <row r="231" ht="16.5" customHeight="1">
      <c r="A231" s="31" t="s">
        <v>9787</v>
      </c>
      <c r="B231" s="31" t="s">
        <v>9788</v>
      </c>
      <c r="C231" s="8"/>
      <c r="D231" s="8"/>
      <c r="E231" s="8"/>
      <c r="F231" s="8"/>
      <c r="G231" s="8"/>
      <c r="H231" s="8"/>
      <c r="I231" s="8"/>
      <c r="J231" s="8"/>
      <c r="K231" s="8"/>
      <c r="L231" s="9"/>
      <c r="M231" s="77"/>
      <c r="N231" s="424"/>
      <c r="O231" s="424"/>
      <c r="P231" s="424"/>
      <c r="Q231" s="424"/>
      <c r="R231" s="424"/>
      <c r="S231" s="424"/>
      <c r="T231" s="424"/>
      <c r="U231" s="424"/>
      <c r="V231" s="424"/>
      <c r="W231" s="77"/>
      <c r="X231" s="77"/>
      <c r="Y231" s="77"/>
      <c r="Z231" s="77"/>
    </row>
    <row r="232" ht="16.5" customHeight="1">
      <c r="A232" s="31" t="s">
        <v>9789</v>
      </c>
      <c r="B232" s="31" t="s">
        <v>9790</v>
      </c>
      <c r="C232" s="8"/>
      <c r="D232" s="8"/>
      <c r="E232" s="8"/>
      <c r="F232" s="8"/>
      <c r="G232" s="8"/>
      <c r="H232" s="8"/>
      <c r="I232" s="8"/>
      <c r="J232" s="8"/>
      <c r="K232" s="8"/>
      <c r="L232" s="9"/>
      <c r="M232" s="77"/>
      <c r="N232" s="424"/>
      <c r="O232" s="424"/>
      <c r="P232" s="424"/>
      <c r="Q232" s="424"/>
      <c r="R232" s="424"/>
      <c r="S232" s="424"/>
      <c r="T232" s="424"/>
      <c r="U232" s="424"/>
      <c r="V232" s="424"/>
      <c r="W232" s="77"/>
      <c r="X232" s="77"/>
      <c r="Y232" s="77"/>
      <c r="Z232" s="77"/>
    </row>
    <row r="233" ht="16.5" customHeight="1">
      <c r="A233" s="31" t="s">
        <v>3790</v>
      </c>
      <c r="B233" s="31" t="s">
        <v>9791</v>
      </c>
      <c r="C233" s="8"/>
      <c r="D233" s="8"/>
      <c r="E233" s="8"/>
      <c r="F233" s="8"/>
      <c r="G233" s="8"/>
      <c r="H233" s="8"/>
      <c r="I233" s="8"/>
      <c r="J233" s="8"/>
      <c r="K233" s="8"/>
      <c r="L233" s="9"/>
      <c r="M233" s="77"/>
      <c r="N233" s="424"/>
      <c r="O233" s="424"/>
      <c r="P233" s="424"/>
      <c r="Q233" s="424"/>
      <c r="R233" s="424"/>
      <c r="S233" s="424"/>
      <c r="T233" s="424"/>
      <c r="U233" s="424"/>
      <c r="V233" s="424"/>
      <c r="W233" s="77"/>
      <c r="X233" s="77"/>
      <c r="Y233" s="77"/>
      <c r="Z233" s="77"/>
    </row>
    <row r="234" ht="16.5" customHeight="1">
      <c r="A234" s="31" t="s">
        <v>3796</v>
      </c>
      <c r="B234" s="31" t="s">
        <v>9792</v>
      </c>
      <c r="C234" s="8"/>
      <c r="D234" s="8"/>
      <c r="E234" s="8"/>
      <c r="F234" s="8"/>
      <c r="G234" s="8"/>
      <c r="H234" s="8"/>
      <c r="I234" s="8"/>
      <c r="J234" s="8"/>
      <c r="K234" s="8"/>
      <c r="L234" s="9"/>
      <c r="M234" s="77"/>
      <c r="N234" s="424"/>
      <c r="O234" s="424"/>
      <c r="P234" s="424"/>
      <c r="Q234" s="424"/>
      <c r="R234" s="424"/>
      <c r="S234" s="424"/>
      <c r="T234" s="424"/>
      <c r="U234" s="424"/>
      <c r="V234" s="424"/>
      <c r="W234" s="77"/>
      <c r="X234" s="77"/>
      <c r="Y234" s="77"/>
      <c r="Z234" s="77"/>
    </row>
    <row r="235" ht="16.5" customHeight="1">
      <c r="A235" s="31" t="s">
        <v>9793</v>
      </c>
      <c r="B235" s="31" t="s">
        <v>2901</v>
      </c>
      <c r="C235" s="8"/>
      <c r="D235" s="8"/>
      <c r="E235" s="8"/>
      <c r="F235" s="8"/>
      <c r="G235" s="8"/>
      <c r="H235" s="8"/>
      <c r="I235" s="8"/>
      <c r="J235" s="8"/>
      <c r="K235" s="8"/>
      <c r="L235" s="9"/>
      <c r="M235" s="77"/>
      <c r="N235" s="424"/>
      <c r="O235" s="424"/>
      <c r="P235" s="424"/>
      <c r="Q235" s="424"/>
      <c r="R235" s="424"/>
      <c r="S235" s="424"/>
      <c r="T235" s="424"/>
      <c r="U235" s="424"/>
      <c r="V235" s="424"/>
      <c r="W235" s="77"/>
      <c r="X235" s="77"/>
      <c r="Y235" s="77"/>
      <c r="Z235" s="77"/>
    </row>
    <row r="236" ht="16.5" customHeight="1">
      <c r="A236" s="31" t="s">
        <v>9794</v>
      </c>
      <c r="B236" s="31" t="s">
        <v>2902</v>
      </c>
      <c r="L236" s="77"/>
      <c r="M236" s="77"/>
      <c r="N236" s="424"/>
      <c r="O236" s="424"/>
      <c r="P236" s="424"/>
      <c r="Q236" s="424"/>
      <c r="R236" s="424"/>
      <c r="S236" s="424"/>
      <c r="T236" s="424"/>
      <c r="U236" s="424"/>
      <c r="V236" s="424"/>
      <c r="W236" s="77"/>
      <c r="X236" s="77"/>
      <c r="Y236" s="77"/>
      <c r="Z236" s="77"/>
    </row>
    <row r="237" ht="16.5" customHeight="1">
      <c r="A237" s="31" t="s">
        <v>3804</v>
      </c>
      <c r="B237" s="31" t="s">
        <v>9795</v>
      </c>
      <c r="L237" s="77"/>
      <c r="M237" s="77"/>
      <c r="N237" s="424"/>
      <c r="O237" s="424"/>
      <c r="P237" s="424"/>
      <c r="Q237" s="424"/>
      <c r="R237" s="424"/>
      <c r="S237" s="424"/>
      <c r="T237" s="424"/>
      <c r="U237" s="424"/>
      <c r="V237" s="424"/>
      <c r="W237" s="77"/>
      <c r="X237" s="77"/>
      <c r="Y237" s="77"/>
      <c r="Z237" s="77"/>
    </row>
    <row r="238" ht="16.5" customHeight="1">
      <c r="A238" s="31" t="s">
        <v>3806</v>
      </c>
      <c r="B238" s="31" t="s">
        <v>9796</v>
      </c>
      <c r="L238" s="77"/>
      <c r="M238" s="77"/>
      <c r="N238" s="424"/>
      <c r="O238" s="424"/>
      <c r="P238" s="424"/>
      <c r="Q238" s="424"/>
      <c r="R238" s="424"/>
      <c r="S238" s="424"/>
      <c r="T238" s="424"/>
      <c r="U238" s="424"/>
      <c r="V238" s="424"/>
      <c r="W238" s="77"/>
      <c r="X238" s="77"/>
      <c r="Y238" s="77"/>
      <c r="Z238" s="77"/>
    </row>
    <row r="239" ht="16.5" customHeight="1">
      <c r="A239" s="31" t="s">
        <v>9797</v>
      </c>
      <c r="B239" s="31" t="s">
        <v>2905</v>
      </c>
      <c r="L239" s="77"/>
      <c r="M239" s="77"/>
      <c r="N239" s="424"/>
      <c r="O239" s="424"/>
      <c r="P239" s="424"/>
      <c r="Q239" s="424"/>
      <c r="R239" s="424"/>
      <c r="S239" s="424"/>
      <c r="T239" s="424"/>
      <c r="U239" s="424"/>
      <c r="V239" s="424"/>
      <c r="W239" s="77"/>
      <c r="X239" s="77"/>
      <c r="Y239" s="77"/>
      <c r="Z239" s="77"/>
    </row>
    <row r="240" ht="16.5" customHeight="1">
      <c r="A240" s="31" t="s">
        <v>9798</v>
      </c>
      <c r="B240" s="31" t="s">
        <v>9799</v>
      </c>
      <c r="L240" s="77"/>
      <c r="M240" s="77"/>
      <c r="N240" s="424"/>
      <c r="O240" s="424"/>
      <c r="P240" s="424"/>
      <c r="Q240" s="424"/>
      <c r="R240" s="424"/>
      <c r="S240" s="424"/>
      <c r="T240" s="424"/>
      <c r="U240" s="424"/>
      <c r="V240" s="424"/>
      <c r="W240" s="77"/>
      <c r="X240" s="77"/>
      <c r="Y240" s="77"/>
      <c r="Z240" s="77"/>
    </row>
    <row r="241" ht="16.5" customHeight="1">
      <c r="A241" s="423" t="s">
        <v>9800</v>
      </c>
      <c r="L241" s="77"/>
      <c r="M241" s="77"/>
      <c r="N241" s="424"/>
      <c r="O241" s="424"/>
      <c r="P241" s="424"/>
      <c r="Q241" s="424"/>
      <c r="R241" s="424"/>
      <c r="S241" s="424"/>
      <c r="T241" s="424"/>
      <c r="U241" s="424"/>
      <c r="V241" s="424"/>
      <c r="W241" s="77"/>
      <c r="X241" s="77"/>
      <c r="Y241" s="77"/>
      <c r="Z241" s="77"/>
    </row>
    <row r="242" ht="16.5" customHeight="1">
      <c r="A242" s="425" t="s">
        <v>9801</v>
      </c>
      <c r="B242" s="425" t="s">
        <v>9802</v>
      </c>
      <c r="C242" s="426" t="s">
        <v>9363</v>
      </c>
      <c r="L242" s="77"/>
      <c r="M242" s="77"/>
      <c r="N242" s="424"/>
      <c r="O242" s="424"/>
      <c r="P242" s="424"/>
      <c r="Q242" s="424"/>
      <c r="R242" s="424"/>
      <c r="S242" s="424"/>
      <c r="T242" s="424"/>
      <c r="U242" s="424"/>
      <c r="V242" s="424"/>
      <c r="W242" s="77"/>
      <c r="X242" s="77"/>
      <c r="Y242" s="77"/>
      <c r="Z242" s="77"/>
    </row>
    <row r="243" ht="16.5" customHeight="1">
      <c r="A243" s="428" t="s">
        <v>2338</v>
      </c>
      <c r="B243" s="428" t="s">
        <v>423</v>
      </c>
      <c r="C243" s="427" t="s">
        <v>9365</v>
      </c>
      <c r="D243" s="427" t="s">
        <v>8952</v>
      </c>
      <c r="E243" s="427" t="s">
        <v>4702</v>
      </c>
      <c r="F243" s="427" t="s">
        <v>4703</v>
      </c>
      <c r="G243" s="427" t="s">
        <v>4320</v>
      </c>
      <c r="H243" s="427" t="s">
        <v>436</v>
      </c>
      <c r="I243" s="427" t="s">
        <v>4704</v>
      </c>
      <c r="J243" s="427" t="s">
        <v>135</v>
      </c>
      <c r="K243" s="427" t="s">
        <v>128</v>
      </c>
      <c r="L243" s="77"/>
      <c r="M243" s="77"/>
      <c r="N243" s="424"/>
      <c r="O243" s="424"/>
      <c r="P243" s="424"/>
      <c r="Q243" s="424"/>
      <c r="R243" s="424"/>
      <c r="S243" s="424"/>
      <c r="T243" s="424"/>
      <c r="U243" s="424"/>
      <c r="V243" s="424"/>
      <c r="W243" s="77"/>
      <c r="X243" s="77"/>
      <c r="Y243" s="77"/>
      <c r="Z243" s="77"/>
    </row>
    <row r="244" ht="16.5" customHeight="1">
      <c r="A244" s="31" t="s">
        <v>5201</v>
      </c>
      <c r="B244" s="31" t="s">
        <v>425</v>
      </c>
      <c r="C244" s="4" t="s">
        <v>9441</v>
      </c>
      <c r="D244" s="4" t="s">
        <v>9109</v>
      </c>
      <c r="E244" s="4" t="s">
        <v>9316</v>
      </c>
      <c r="F244" s="4" t="s">
        <v>4717</v>
      </c>
      <c r="G244" s="4" t="s">
        <v>10</v>
      </c>
      <c r="H244" s="4" t="s">
        <v>9803</v>
      </c>
      <c r="I244" s="4" t="s">
        <v>9804</v>
      </c>
      <c r="J244" s="4" t="s">
        <v>9804</v>
      </c>
      <c r="K244" s="4" t="s">
        <v>9805</v>
      </c>
      <c r="L244" s="9"/>
      <c r="M244" s="77"/>
      <c r="N244" s="424"/>
      <c r="O244" s="424"/>
      <c r="P244" s="424"/>
      <c r="Q244" s="424"/>
      <c r="R244" s="424"/>
      <c r="S244" s="424"/>
      <c r="T244" s="424"/>
      <c r="U244" s="424"/>
      <c r="V244" s="424"/>
      <c r="W244" s="77"/>
      <c r="X244" s="77"/>
      <c r="Y244" s="77"/>
      <c r="Z244" s="77"/>
    </row>
    <row r="245" ht="16.5" customHeight="1">
      <c r="A245" s="31" t="s">
        <v>9806</v>
      </c>
      <c r="B245" s="31" t="s">
        <v>762</v>
      </c>
      <c r="C245" s="108" t="s">
        <v>9807</v>
      </c>
      <c r="L245" s="9"/>
      <c r="M245" s="77"/>
      <c r="N245" s="424"/>
      <c r="O245" s="424"/>
      <c r="P245" s="424"/>
      <c r="Q245" s="424"/>
      <c r="R245" s="424"/>
      <c r="S245" s="424"/>
      <c r="T245" s="424"/>
      <c r="U245" s="424"/>
      <c r="V245" s="424"/>
      <c r="W245" s="77"/>
      <c r="X245" s="77"/>
      <c r="Y245" s="77"/>
      <c r="Z245" s="77"/>
    </row>
    <row r="246" ht="16.5" customHeight="1">
      <c r="A246" s="31" t="s">
        <v>9808</v>
      </c>
      <c r="B246" s="31" t="s">
        <v>9809</v>
      </c>
      <c r="C246" s="8"/>
      <c r="D246" s="8"/>
      <c r="E246" s="8"/>
      <c r="F246" s="8"/>
      <c r="G246" s="8"/>
      <c r="H246" s="8"/>
      <c r="I246" s="8"/>
      <c r="J246" s="8"/>
      <c r="K246" s="8"/>
      <c r="L246" s="9"/>
      <c r="M246" s="77"/>
      <c r="N246" s="424"/>
      <c r="O246" s="424"/>
      <c r="P246" s="424"/>
      <c r="Q246" s="424"/>
      <c r="R246" s="424"/>
      <c r="S246" s="424"/>
      <c r="T246" s="424"/>
      <c r="U246" s="424"/>
      <c r="V246" s="424"/>
      <c r="W246" s="77"/>
      <c r="X246" s="77"/>
      <c r="Y246" s="77"/>
      <c r="Z246" s="77"/>
    </row>
    <row r="247" ht="16.5" customHeight="1">
      <c r="A247" s="31" t="s">
        <v>9810</v>
      </c>
      <c r="B247" s="31" t="s">
        <v>9811</v>
      </c>
      <c r="C247" s="8"/>
      <c r="D247" s="8"/>
      <c r="E247" s="8"/>
      <c r="F247" s="8"/>
      <c r="G247" s="8"/>
      <c r="H247" s="8"/>
      <c r="I247" s="8"/>
      <c r="J247" s="8"/>
      <c r="K247" s="8"/>
      <c r="L247" s="9"/>
      <c r="M247" s="77"/>
      <c r="N247" s="424"/>
      <c r="O247" s="424"/>
      <c r="P247" s="424"/>
      <c r="Q247" s="424"/>
      <c r="R247" s="424"/>
      <c r="S247" s="424"/>
      <c r="T247" s="424"/>
      <c r="U247" s="424"/>
      <c r="V247" s="424"/>
      <c r="W247" s="77"/>
      <c r="X247" s="77"/>
      <c r="Y247" s="77"/>
      <c r="Z247" s="77"/>
    </row>
    <row r="248" ht="16.5" customHeight="1">
      <c r="A248" s="31" t="s">
        <v>9812</v>
      </c>
      <c r="B248" s="31" t="s">
        <v>9813</v>
      </c>
      <c r="C248" s="8"/>
      <c r="D248" s="8"/>
      <c r="E248" s="8"/>
      <c r="F248" s="8"/>
      <c r="G248" s="8"/>
      <c r="H248" s="8"/>
      <c r="I248" s="8"/>
      <c r="J248" s="8"/>
      <c r="K248" s="8"/>
      <c r="L248" s="9"/>
      <c r="M248" s="77"/>
      <c r="N248" s="424"/>
      <c r="O248" s="424"/>
      <c r="P248" s="424"/>
      <c r="Q248" s="424"/>
      <c r="R248" s="424"/>
      <c r="S248" s="424"/>
      <c r="T248" s="424"/>
      <c r="U248" s="424"/>
      <c r="V248" s="424"/>
      <c r="W248" s="77"/>
      <c r="X248" s="77"/>
      <c r="Y248" s="77"/>
      <c r="Z248" s="77"/>
    </row>
    <row r="249" ht="16.5" customHeight="1">
      <c r="A249" s="31" t="s">
        <v>9814</v>
      </c>
      <c r="B249" s="31" t="s">
        <v>9815</v>
      </c>
      <c r="C249" s="8"/>
      <c r="D249" s="8"/>
      <c r="E249" s="8"/>
      <c r="F249" s="8"/>
      <c r="G249" s="8"/>
      <c r="H249" s="8"/>
      <c r="I249" s="8"/>
      <c r="J249" s="8"/>
      <c r="K249" s="8"/>
      <c r="L249" s="9"/>
      <c r="M249" s="77"/>
      <c r="N249" s="424"/>
      <c r="O249" s="424"/>
      <c r="P249" s="424"/>
      <c r="Q249" s="424"/>
      <c r="R249" s="424"/>
      <c r="S249" s="424"/>
      <c r="T249" s="424"/>
      <c r="U249" s="424"/>
      <c r="V249" s="424"/>
      <c r="W249" s="77"/>
      <c r="X249" s="77"/>
      <c r="Y249" s="77"/>
      <c r="Z249" s="77"/>
    </row>
    <row r="250" ht="16.5" customHeight="1">
      <c r="A250" s="31" t="s">
        <v>2482</v>
      </c>
      <c r="B250" s="31" t="s">
        <v>9816</v>
      </c>
      <c r="C250" s="8"/>
      <c r="D250" s="8"/>
      <c r="E250" s="8"/>
      <c r="F250" s="8"/>
      <c r="G250" s="8"/>
      <c r="H250" s="8"/>
      <c r="I250" s="8"/>
      <c r="J250" s="8"/>
      <c r="K250" s="8"/>
      <c r="L250" s="9"/>
      <c r="M250" s="77"/>
      <c r="N250" s="424"/>
      <c r="O250" s="424"/>
      <c r="P250" s="424"/>
      <c r="Q250" s="424"/>
      <c r="R250" s="424"/>
      <c r="S250" s="424"/>
      <c r="T250" s="424"/>
      <c r="U250" s="424"/>
      <c r="V250" s="424"/>
      <c r="W250" s="77"/>
      <c r="X250" s="77"/>
      <c r="Y250" s="77"/>
      <c r="Z250" s="77"/>
    </row>
    <row r="251" ht="16.5" customHeight="1">
      <c r="A251" s="31" t="s">
        <v>9817</v>
      </c>
      <c r="B251" s="31" t="s">
        <v>9818</v>
      </c>
      <c r="L251" s="77"/>
      <c r="M251" s="77"/>
      <c r="N251" s="424"/>
      <c r="O251" s="424"/>
      <c r="P251" s="424"/>
      <c r="Q251" s="424"/>
      <c r="R251" s="424"/>
      <c r="S251" s="424"/>
      <c r="T251" s="424"/>
      <c r="U251" s="424"/>
      <c r="V251" s="424"/>
      <c r="W251" s="77"/>
      <c r="X251" s="77"/>
      <c r="Y251" s="77"/>
      <c r="Z251" s="77"/>
    </row>
    <row r="252" ht="16.5" customHeight="1">
      <c r="A252" s="31" t="s">
        <v>9819</v>
      </c>
      <c r="B252" s="31" t="s">
        <v>9820</v>
      </c>
      <c r="L252" s="77"/>
      <c r="M252" s="77"/>
      <c r="N252" s="424"/>
      <c r="O252" s="424"/>
      <c r="P252" s="424"/>
      <c r="Q252" s="424"/>
      <c r="R252" s="424"/>
      <c r="S252" s="424"/>
      <c r="T252" s="424"/>
      <c r="U252" s="424"/>
      <c r="V252" s="424"/>
      <c r="W252" s="77"/>
      <c r="X252" s="77"/>
      <c r="Y252" s="77"/>
      <c r="Z252" s="77"/>
    </row>
    <row r="253" ht="16.5" customHeight="1">
      <c r="A253" s="31" t="s">
        <v>9821</v>
      </c>
      <c r="B253" s="31" t="s">
        <v>5983</v>
      </c>
      <c r="L253" s="77"/>
      <c r="M253" s="77"/>
      <c r="N253" s="424"/>
      <c r="O253" s="424"/>
      <c r="P253" s="424"/>
      <c r="Q253" s="424"/>
      <c r="R253" s="424"/>
      <c r="S253" s="424"/>
      <c r="T253" s="424"/>
      <c r="U253" s="424"/>
      <c r="V253" s="424"/>
      <c r="W253" s="77"/>
      <c r="X253" s="77"/>
      <c r="Y253" s="77"/>
      <c r="Z253" s="77"/>
    </row>
    <row r="254" ht="16.5" customHeight="1">
      <c r="A254" s="31" t="s">
        <v>9822</v>
      </c>
      <c r="B254" s="31" t="s">
        <v>9823</v>
      </c>
      <c r="L254" s="9"/>
      <c r="M254" s="9"/>
      <c r="N254" s="424"/>
      <c r="O254" s="424"/>
      <c r="P254" s="424"/>
      <c r="Q254" s="424"/>
      <c r="R254" s="424"/>
      <c r="S254" s="424"/>
      <c r="T254" s="424"/>
      <c r="U254" s="424"/>
      <c r="V254" s="424"/>
      <c r="W254" s="77"/>
      <c r="X254" s="77"/>
      <c r="Y254" s="77"/>
      <c r="Z254" s="77"/>
    </row>
    <row r="255" ht="16.5" customHeight="1">
      <c r="A255" s="31" t="s">
        <v>9824</v>
      </c>
      <c r="B255" s="31" t="s">
        <v>9825</v>
      </c>
      <c r="L255" s="9"/>
      <c r="M255" s="9"/>
      <c r="N255" s="424"/>
      <c r="O255" s="424"/>
      <c r="P255" s="424"/>
      <c r="Q255" s="424"/>
      <c r="R255" s="424"/>
      <c r="S255" s="424"/>
      <c r="T255" s="424"/>
      <c r="U255" s="424"/>
      <c r="V255" s="424"/>
      <c r="W255" s="77"/>
      <c r="X255" s="77"/>
      <c r="Y255" s="77"/>
      <c r="Z255" s="77"/>
    </row>
    <row r="256" ht="16.5" customHeight="1">
      <c r="A256" s="31" t="s">
        <v>9826</v>
      </c>
      <c r="B256" s="31" t="s">
        <v>9827</v>
      </c>
      <c r="L256" s="9"/>
      <c r="M256" s="9"/>
      <c r="N256" s="424"/>
      <c r="O256" s="424"/>
      <c r="P256" s="424"/>
      <c r="Q256" s="424"/>
      <c r="R256" s="424"/>
      <c r="S256" s="424"/>
      <c r="T256" s="424"/>
      <c r="U256" s="424"/>
      <c r="V256" s="424"/>
      <c r="W256" s="77"/>
      <c r="X256" s="77"/>
      <c r="Y256" s="77"/>
      <c r="Z256" s="77"/>
    </row>
    <row r="257" ht="16.5" customHeight="1">
      <c r="A257" s="31" t="s">
        <v>9828</v>
      </c>
      <c r="B257" s="31" t="s">
        <v>4544</v>
      </c>
      <c r="L257" s="9"/>
      <c r="M257" s="9"/>
      <c r="N257" s="424"/>
      <c r="O257" s="424"/>
      <c r="P257" s="424"/>
      <c r="Q257" s="424"/>
      <c r="R257" s="424"/>
      <c r="S257" s="424"/>
      <c r="T257" s="424"/>
      <c r="U257" s="424"/>
      <c r="V257" s="424"/>
      <c r="W257" s="77"/>
      <c r="X257" s="77"/>
      <c r="Y257" s="77"/>
      <c r="Z257" s="77"/>
    </row>
    <row r="258" ht="16.5" customHeight="1">
      <c r="A258" s="423" t="s">
        <v>9829</v>
      </c>
      <c r="L258" s="9"/>
      <c r="M258" s="9"/>
      <c r="N258" s="424"/>
      <c r="O258" s="424"/>
      <c r="P258" s="424"/>
      <c r="Q258" s="424"/>
      <c r="R258" s="424"/>
      <c r="S258" s="424"/>
      <c r="T258" s="424"/>
      <c r="U258" s="424"/>
      <c r="V258" s="424"/>
      <c r="W258" s="77"/>
      <c r="X258" s="77"/>
      <c r="Y258" s="77"/>
      <c r="Z258" s="77"/>
    </row>
    <row r="259" ht="16.5" customHeight="1">
      <c r="A259" s="425" t="s">
        <v>9384</v>
      </c>
      <c r="B259" s="425" t="s">
        <v>9532</v>
      </c>
      <c r="C259" s="426" t="s">
        <v>9363</v>
      </c>
      <c r="L259" s="9"/>
      <c r="M259" s="9"/>
      <c r="N259" s="424"/>
      <c r="O259" s="424"/>
      <c r="P259" s="424"/>
      <c r="Q259" s="424"/>
      <c r="R259" s="424"/>
      <c r="S259" s="424"/>
      <c r="T259" s="424"/>
      <c r="U259" s="424"/>
      <c r="V259" s="424"/>
      <c r="W259" s="77"/>
      <c r="X259" s="77"/>
      <c r="Y259" s="77"/>
      <c r="Z259" s="77"/>
    </row>
    <row r="260" ht="16.5" customHeight="1">
      <c r="A260" s="428" t="s">
        <v>9830</v>
      </c>
      <c r="B260" s="428" t="s">
        <v>9537</v>
      </c>
      <c r="C260" s="427" t="s">
        <v>9365</v>
      </c>
      <c r="D260" s="427" t="s">
        <v>8952</v>
      </c>
      <c r="E260" s="427" t="s">
        <v>4702</v>
      </c>
      <c r="F260" s="427" t="s">
        <v>4703</v>
      </c>
      <c r="G260" s="427" t="s">
        <v>4320</v>
      </c>
      <c r="H260" s="427" t="s">
        <v>436</v>
      </c>
      <c r="I260" s="427" t="s">
        <v>4704</v>
      </c>
      <c r="J260" s="427" t="s">
        <v>135</v>
      </c>
      <c r="K260" s="427" t="s">
        <v>128</v>
      </c>
      <c r="L260" s="9"/>
      <c r="M260" s="9"/>
      <c r="N260" s="424"/>
      <c r="O260" s="424"/>
      <c r="P260" s="424"/>
      <c r="Q260" s="424"/>
      <c r="R260" s="424"/>
      <c r="S260" s="424"/>
      <c r="T260" s="424"/>
      <c r="U260" s="424"/>
      <c r="V260" s="424"/>
      <c r="W260" s="77"/>
      <c r="X260" s="77"/>
      <c r="Y260" s="77"/>
      <c r="Z260" s="77"/>
    </row>
    <row r="261" ht="16.5" customHeight="1">
      <c r="A261" s="31" t="s">
        <v>3037</v>
      </c>
      <c r="B261" s="31" t="s">
        <v>3866</v>
      </c>
      <c r="C261" s="4" t="s">
        <v>9441</v>
      </c>
      <c r="D261" s="4" t="s">
        <v>9109</v>
      </c>
      <c r="E261" s="4" t="s">
        <v>9311</v>
      </c>
      <c r="F261" s="4" t="s">
        <v>9462</v>
      </c>
      <c r="G261" s="4" t="s">
        <v>105</v>
      </c>
      <c r="H261" s="4" t="s">
        <v>9831</v>
      </c>
      <c r="I261" s="4" t="s">
        <v>9832</v>
      </c>
      <c r="J261" s="4" t="s">
        <v>9832</v>
      </c>
      <c r="K261" s="4" t="s">
        <v>9833</v>
      </c>
      <c r="L261" s="9"/>
      <c r="M261" s="9"/>
      <c r="N261" s="424"/>
      <c r="O261" s="424"/>
      <c r="P261" s="424"/>
      <c r="Q261" s="424"/>
      <c r="R261" s="424"/>
      <c r="S261" s="424"/>
      <c r="T261" s="424"/>
      <c r="U261" s="424"/>
      <c r="V261" s="424"/>
      <c r="W261" s="77"/>
      <c r="X261" s="77"/>
      <c r="Y261" s="77"/>
      <c r="Z261" s="77"/>
    </row>
    <row r="262" ht="16.5" customHeight="1">
      <c r="A262" s="31" t="s">
        <v>9834</v>
      </c>
      <c r="B262" s="31" t="s">
        <v>3871</v>
      </c>
      <c r="C262" s="4" t="s">
        <v>9466</v>
      </c>
      <c r="D262" s="4" t="s">
        <v>9109</v>
      </c>
      <c r="E262" s="4" t="s">
        <v>9316</v>
      </c>
      <c r="F262" s="4" t="s">
        <v>9462</v>
      </c>
      <c r="G262" s="4" t="s">
        <v>105</v>
      </c>
      <c r="H262" s="4" t="s">
        <v>9831</v>
      </c>
      <c r="I262" s="4" t="s">
        <v>8055</v>
      </c>
      <c r="J262" s="4" t="s">
        <v>8055</v>
      </c>
      <c r="K262" s="4" t="s">
        <v>9835</v>
      </c>
      <c r="L262" s="9"/>
      <c r="M262" s="9"/>
      <c r="N262" s="424"/>
      <c r="O262" s="424"/>
      <c r="P262" s="424"/>
      <c r="Q262" s="424"/>
      <c r="R262" s="424"/>
      <c r="S262" s="424"/>
      <c r="T262" s="424"/>
      <c r="U262" s="424"/>
      <c r="V262" s="424"/>
      <c r="W262" s="77"/>
      <c r="X262" s="77"/>
      <c r="Y262" s="77"/>
      <c r="Z262" s="77"/>
    </row>
    <row r="263" ht="16.5" customHeight="1">
      <c r="A263" s="31" t="s">
        <v>9836</v>
      </c>
      <c r="B263" s="31" t="s">
        <v>3877</v>
      </c>
      <c r="C263" s="4" t="s">
        <v>9472</v>
      </c>
      <c r="D263" s="4" t="s">
        <v>9109</v>
      </c>
      <c r="E263" s="4" t="s">
        <v>8921</v>
      </c>
      <c r="F263" s="4" t="s">
        <v>9462</v>
      </c>
      <c r="G263" s="4" t="s">
        <v>9274</v>
      </c>
      <c r="H263" s="4" t="s">
        <v>9831</v>
      </c>
      <c r="I263" s="4" t="s">
        <v>9468</v>
      </c>
      <c r="J263" s="4" t="s">
        <v>9832</v>
      </c>
      <c r="K263" s="4" t="s">
        <v>9468</v>
      </c>
      <c r="L263" s="9"/>
      <c r="M263" s="9"/>
      <c r="N263" s="424"/>
      <c r="O263" s="424"/>
      <c r="P263" s="424"/>
      <c r="Q263" s="424"/>
      <c r="R263" s="424"/>
      <c r="S263" s="424"/>
      <c r="T263" s="424"/>
      <c r="U263" s="424"/>
      <c r="V263" s="424"/>
      <c r="W263" s="77"/>
      <c r="X263" s="77"/>
      <c r="Y263" s="77"/>
      <c r="Z263" s="77"/>
    </row>
    <row r="264" ht="16.5" customHeight="1">
      <c r="A264" s="31" t="s">
        <v>9837</v>
      </c>
      <c r="B264" s="31" t="s">
        <v>9838</v>
      </c>
      <c r="C264" s="108" t="s">
        <v>9839</v>
      </c>
      <c r="L264" s="9"/>
      <c r="M264" s="9"/>
      <c r="N264" s="424"/>
      <c r="O264" s="424"/>
      <c r="P264" s="424"/>
      <c r="Q264" s="424"/>
      <c r="R264" s="424"/>
      <c r="S264" s="424"/>
      <c r="T264" s="424"/>
      <c r="U264" s="424"/>
      <c r="V264" s="424"/>
      <c r="W264" s="77"/>
      <c r="X264" s="77"/>
      <c r="Y264" s="77"/>
      <c r="Z264" s="77"/>
    </row>
    <row r="265" ht="16.5" customHeight="1">
      <c r="A265" s="31" t="s">
        <v>9840</v>
      </c>
      <c r="B265" s="31" t="s">
        <v>3883</v>
      </c>
      <c r="C265" s="8"/>
      <c r="D265" s="8"/>
      <c r="E265" s="8"/>
      <c r="F265" s="8"/>
      <c r="G265" s="8"/>
      <c r="H265" s="8"/>
      <c r="I265" s="8"/>
      <c r="J265" s="8"/>
      <c r="K265" s="8"/>
      <c r="L265" s="9"/>
      <c r="M265" s="9"/>
      <c r="N265" s="424"/>
      <c r="O265" s="424"/>
      <c r="P265" s="424"/>
      <c r="Q265" s="424"/>
      <c r="R265" s="424"/>
      <c r="S265" s="424"/>
      <c r="T265" s="424"/>
      <c r="U265" s="424"/>
      <c r="V265" s="424"/>
      <c r="W265" s="77"/>
      <c r="X265" s="77"/>
      <c r="Y265" s="77"/>
      <c r="Z265" s="77"/>
    </row>
    <row r="266" ht="16.5" customHeight="1">
      <c r="A266" s="31" t="s">
        <v>9841</v>
      </c>
      <c r="B266" s="31" t="s">
        <v>8149</v>
      </c>
      <c r="C266" s="8"/>
      <c r="D266" s="8"/>
      <c r="E266" s="8"/>
      <c r="F266" s="8"/>
      <c r="G266" s="8"/>
      <c r="H266" s="8"/>
      <c r="I266" s="8"/>
      <c r="J266" s="8"/>
      <c r="K266" s="8"/>
      <c r="L266" s="9"/>
      <c r="M266" s="9"/>
      <c r="N266" s="424"/>
      <c r="O266" s="424"/>
      <c r="P266" s="424"/>
      <c r="Q266" s="424"/>
      <c r="R266" s="424"/>
      <c r="S266" s="424"/>
      <c r="T266" s="424"/>
      <c r="U266" s="424"/>
      <c r="V266" s="424"/>
      <c r="W266" s="77"/>
      <c r="X266" s="77"/>
      <c r="Y266" s="77"/>
      <c r="Z266" s="77"/>
    </row>
    <row r="267" ht="16.5" customHeight="1">
      <c r="A267" s="31" t="s">
        <v>9842</v>
      </c>
      <c r="B267" s="31" t="s">
        <v>9593</v>
      </c>
      <c r="C267" s="8"/>
      <c r="D267" s="8"/>
      <c r="E267" s="8"/>
      <c r="F267" s="8"/>
      <c r="G267" s="8"/>
      <c r="H267" s="8"/>
      <c r="I267" s="8"/>
      <c r="J267" s="8"/>
      <c r="K267" s="8"/>
      <c r="L267" s="9"/>
      <c r="M267" s="9"/>
      <c r="N267" s="424"/>
      <c r="O267" s="424"/>
      <c r="P267" s="424"/>
      <c r="Q267" s="424"/>
      <c r="R267" s="424"/>
      <c r="S267" s="424"/>
      <c r="T267" s="424"/>
      <c r="U267" s="424"/>
      <c r="V267" s="424"/>
      <c r="W267" s="77"/>
      <c r="X267" s="77"/>
      <c r="Y267" s="77"/>
      <c r="Z267" s="77"/>
    </row>
    <row r="268" ht="16.5" customHeight="1">
      <c r="A268" s="31" t="s">
        <v>9843</v>
      </c>
      <c r="B268" s="31" t="s">
        <v>9844</v>
      </c>
      <c r="C268" s="8"/>
      <c r="D268" s="8"/>
      <c r="E268" s="8"/>
      <c r="F268" s="8"/>
      <c r="G268" s="8"/>
      <c r="H268" s="8"/>
      <c r="I268" s="8"/>
      <c r="J268" s="8"/>
      <c r="K268" s="8"/>
      <c r="L268" s="77"/>
      <c r="M268" s="77"/>
      <c r="N268" s="424"/>
      <c r="O268" s="424"/>
      <c r="P268" s="424"/>
      <c r="Q268" s="424"/>
      <c r="R268" s="424"/>
      <c r="S268" s="424"/>
      <c r="T268" s="424"/>
      <c r="U268" s="424"/>
      <c r="V268" s="424"/>
      <c r="W268" s="77"/>
      <c r="X268" s="77"/>
      <c r="Y268" s="77"/>
      <c r="Z268" s="77"/>
    </row>
    <row r="269" ht="16.5" customHeight="1">
      <c r="A269" s="31" t="s">
        <v>9845</v>
      </c>
      <c r="B269" s="31" t="s">
        <v>9846</v>
      </c>
      <c r="C269" s="8"/>
      <c r="D269" s="8"/>
      <c r="E269" s="8"/>
      <c r="F269" s="8"/>
      <c r="G269" s="8"/>
      <c r="H269" s="8"/>
      <c r="I269" s="8"/>
      <c r="J269" s="8"/>
      <c r="K269" s="8"/>
      <c r="L269" s="77"/>
      <c r="M269" s="77"/>
      <c r="N269" s="424"/>
      <c r="O269" s="424"/>
      <c r="P269" s="424"/>
      <c r="Q269" s="424"/>
      <c r="R269" s="424"/>
      <c r="S269" s="424"/>
      <c r="T269" s="424"/>
      <c r="U269" s="424"/>
      <c r="V269" s="424"/>
      <c r="W269" s="77"/>
      <c r="X269" s="77"/>
      <c r="Y269" s="77"/>
      <c r="Z269" s="77"/>
    </row>
    <row r="270" ht="16.5" customHeight="1">
      <c r="A270" s="31" t="s">
        <v>8192</v>
      </c>
      <c r="B270" s="31" t="s">
        <v>9616</v>
      </c>
      <c r="C270" s="8"/>
      <c r="D270" s="8"/>
      <c r="E270" s="8"/>
      <c r="F270" s="8"/>
      <c r="G270" s="8"/>
      <c r="H270" s="8"/>
      <c r="I270" s="8"/>
      <c r="J270" s="8"/>
      <c r="K270" s="8"/>
      <c r="L270" s="77"/>
      <c r="M270" s="77"/>
      <c r="N270" s="424"/>
      <c r="O270" s="424"/>
      <c r="P270" s="424"/>
      <c r="Q270" s="424"/>
      <c r="R270" s="424"/>
      <c r="S270" s="424"/>
      <c r="T270" s="424"/>
      <c r="U270" s="424"/>
      <c r="V270" s="424"/>
      <c r="W270" s="77"/>
      <c r="X270" s="77"/>
      <c r="Y270" s="77"/>
      <c r="Z270" s="77"/>
    </row>
    <row r="271" ht="16.5" customHeight="1">
      <c r="A271" s="31" t="s">
        <v>9847</v>
      </c>
      <c r="B271" s="31" t="s">
        <v>9623</v>
      </c>
      <c r="C271" s="8"/>
      <c r="D271" s="8"/>
      <c r="E271" s="8"/>
      <c r="F271" s="8"/>
      <c r="G271" s="8"/>
      <c r="H271" s="8"/>
      <c r="I271" s="8"/>
      <c r="J271" s="8"/>
      <c r="K271" s="8"/>
      <c r="L271" s="77"/>
      <c r="M271" s="77"/>
      <c r="N271" s="424"/>
      <c r="O271" s="424"/>
      <c r="P271" s="424"/>
      <c r="Q271" s="424"/>
      <c r="R271" s="424"/>
      <c r="S271" s="424"/>
      <c r="T271" s="424"/>
      <c r="U271" s="424"/>
      <c r="V271" s="424"/>
      <c r="W271" s="77"/>
      <c r="X271" s="77"/>
      <c r="Y271" s="77"/>
      <c r="Z271" s="77"/>
    </row>
    <row r="272" ht="16.5" customHeight="1">
      <c r="A272" s="31" t="s">
        <v>9848</v>
      </c>
      <c r="B272" s="31" t="s">
        <v>9630</v>
      </c>
      <c r="C272" s="8"/>
      <c r="D272" s="8"/>
      <c r="E272" s="8"/>
      <c r="F272" s="8"/>
      <c r="G272" s="8"/>
      <c r="H272" s="8"/>
      <c r="I272" s="8"/>
      <c r="J272" s="8"/>
      <c r="K272" s="8"/>
      <c r="L272" s="77"/>
      <c r="M272" s="77"/>
      <c r="N272" s="424"/>
      <c r="O272" s="424"/>
      <c r="P272" s="424"/>
      <c r="Q272" s="424"/>
      <c r="R272" s="424"/>
      <c r="S272" s="424"/>
      <c r="T272" s="424"/>
      <c r="U272" s="424"/>
      <c r="V272" s="424"/>
      <c r="W272" s="77"/>
      <c r="X272" s="77"/>
      <c r="Y272" s="77"/>
      <c r="Z272" s="77"/>
    </row>
    <row r="273" ht="16.5" customHeight="1">
      <c r="A273" s="31" t="s">
        <v>9410</v>
      </c>
      <c r="B273" s="31" t="s">
        <v>9635</v>
      </c>
      <c r="C273" s="8"/>
      <c r="D273" s="8"/>
      <c r="E273" s="8"/>
      <c r="F273" s="8"/>
      <c r="G273" s="8"/>
      <c r="H273" s="8"/>
      <c r="I273" s="8"/>
      <c r="J273" s="8"/>
      <c r="K273" s="8"/>
      <c r="L273" s="77"/>
      <c r="M273" s="77"/>
      <c r="N273" s="424"/>
      <c r="O273" s="424"/>
      <c r="P273" s="424"/>
      <c r="Q273" s="424"/>
      <c r="R273" s="424"/>
      <c r="S273" s="424"/>
      <c r="T273" s="424"/>
      <c r="U273" s="424"/>
      <c r="V273" s="424"/>
      <c r="W273" s="77"/>
      <c r="X273" s="77"/>
      <c r="Y273" s="77"/>
      <c r="Z273" s="77"/>
    </row>
    <row r="274" ht="16.5" customHeight="1">
      <c r="A274" s="31" t="s">
        <v>9849</v>
      </c>
      <c r="B274" s="31" t="s">
        <v>9850</v>
      </c>
      <c r="C274" s="8"/>
      <c r="D274" s="8"/>
      <c r="E274" s="8"/>
      <c r="F274" s="8"/>
      <c r="G274" s="8"/>
      <c r="H274" s="8"/>
      <c r="I274" s="8"/>
      <c r="J274" s="8"/>
      <c r="K274" s="8"/>
      <c r="L274" s="77"/>
      <c r="M274" s="77"/>
      <c r="N274" s="424"/>
      <c r="O274" s="424"/>
      <c r="P274" s="424"/>
      <c r="Q274" s="424"/>
      <c r="R274" s="424"/>
      <c r="S274" s="424"/>
      <c r="T274" s="424"/>
      <c r="U274" s="424"/>
      <c r="V274" s="424"/>
      <c r="W274" s="77"/>
      <c r="X274" s="77"/>
      <c r="Y274" s="77"/>
      <c r="Z274" s="77"/>
    </row>
    <row r="275" ht="16.5" customHeight="1">
      <c r="A275" s="423" t="s">
        <v>9851</v>
      </c>
      <c r="L275" s="77"/>
      <c r="M275" s="77"/>
      <c r="N275" s="424"/>
      <c r="O275" s="424"/>
      <c r="P275" s="424"/>
      <c r="Q275" s="424"/>
      <c r="R275" s="424"/>
      <c r="S275" s="424"/>
      <c r="T275" s="424"/>
      <c r="U275" s="424"/>
      <c r="V275" s="424"/>
      <c r="W275" s="77"/>
      <c r="X275" s="77"/>
      <c r="Y275" s="77"/>
      <c r="Z275" s="77"/>
    </row>
    <row r="276" ht="16.5" customHeight="1">
      <c r="A276" s="425" t="s">
        <v>9531</v>
      </c>
      <c r="B276" s="425" t="s">
        <v>9361</v>
      </c>
      <c r="C276" s="426" t="s">
        <v>9363</v>
      </c>
      <c r="L276" s="77"/>
      <c r="M276" s="77"/>
      <c r="N276" s="424"/>
      <c r="O276" s="424"/>
      <c r="P276" s="424"/>
      <c r="Q276" s="424"/>
      <c r="R276" s="424"/>
      <c r="S276" s="424"/>
      <c r="T276" s="424"/>
      <c r="U276" s="424"/>
      <c r="V276" s="424"/>
      <c r="W276" s="77"/>
      <c r="X276" s="77"/>
      <c r="Y276" s="77"/>
      <c r="Z276" s="77"/>
    </row>
    <row r="277" ht="16.5" customHeight="1">
      <c r="A277" s="428" t="s">
        <v>1263</v>
      </c>
      <c r="B277" s="428" t="s">
        <v>9731</v>
      </c>
      <c r="C277" s="427" t="s">
        <v>9365</v>
      </c>
      <c r="D277" s="427" t="s">
        <v>8952</v>
      </c>
      <c r="E277" s="427" t="s">
        <v>4702</v>
      </c>
      <c r="F277" s="427" t="s">
        <v>4703</v>
      </c>
      <c r="G277" s="427" t="s">
        <v>4320</v>
      </c>
      <c r="H277" s="427" t="s">
        <v>436</v>
      </c>
      <c r="I277" s="427" t="s">
        <v>4704</v>
      </c>
      <c r="J277" s="427" t="s">
        <v>135</v>
      </c>
      <c r="K277" s="427" t="s">
        <v>128</v>
      </c>
      <c r="L277" s="77"/>
      <c r="M277" s="77"/>
      <c r="N277" s="424"/>
      <c r="O277" s="424"/>
      <c r="P277" s="424"/>
      <c r="Q277" s="424"/>
      <c r="R277" s="424"/>
      <c r="S277" s="424"/>
      <c r="T277" s="424"/>
      <c r="U277" s="424"/>
      <c r="V277" s="424"/>
      <c r="W277" s="77"/>
      <c r="X277" s="77"/>
      <c r="Y277" s="77"/>
      <c r="Z277" s="77"/>
    </row>
    <row r="278" ht="16.5" customHeight="1">
      <c r="A278" s="31" t="s">
        <v>1265</v>
      </c>
      <c r="B278" s="31" t="s">
        <v>3946</v>
      </c>
      <c r="C278" s="4" t="s">
        <v>9441</v>
      </c>
      <c r="D278" s="4" t="s">
        <v>9102</v>
      </c>
      <c r="E278" s="4" t="s">
        <v>9311</v>
      </c>
      <c r="F278" s="4" t="s">
        <v>4834</v>
      </c>
      <c r="G278" s="4" t="s">
        <v>19</v>
      </c>
      <c r="H278" s="4" t="s">
        <v>164</v>
      </c>
      <c r="I278" s="4" t="s">
        <v>8064</v>
      </c>
      <c r="J278" s="4" t="s">
        <v>8064</v>
      </c>
      <c r="K278" s="4" t="s">
        <v>8073</v>
      </c>
      <c r="L278" s="9"/>
      <c r="M278" s="9"/>
      <c r="N278" s="424"/>
      <c r="O278" s="424"/>
      <c r="P278" s="424"/>
      <c r="Q278" s="424"/>
      <c r="R278" s="424"/>
      <c r="S278" s="424"/>
      <c r="T278" s="424"/>
      <c r="U278" s="424"/>
      <c r="V278" s="424"/>
      <c r="W278" s="77"/>
      <c r="X278" s="77"/>
      <c r="Y278" s="77"/>
      <c r="Z278" s="77"/>
    </row>
    <row r="279" ht="16.5" customHeight="1">
      <c r="A279" s="31" t="s">
        <v>9654</v>
      </c>
      <c r="B279" s="31" t="s">
        <v>9852</v>
      </c>
      <c r="C279" s="108" t="s">
        <v>9655</v>
      </c>
      <c r="L279" s="9"/>
      <c r="M279" s="9"/>
      <c r="N279" s="424"/>
      <c r="O279" s="424"/>
      <c r="P279" s="424"/>
      <c r="Q279" s="424"/>
      <c r="R279" s="424"/>
      <c r="S279" s="424"/>
      <c r="T279" s="424"/>
      <c r="U279" s="424"/>
      <c r="V279" s="424"/>
      <c r="W279" s="77"/>
      <c r="X279" s="77"/>
      <c r="Y279" s="77"/>
      <c r="Z279" s="77"/>
    </row>
    <row r="280" ht="16.5" customHeight="1">
      <c r="A280" s="31" t="s">
        <v>9853</v>
      </c>
      <c r="B280" s="31" t="s">
        <v>9738</v>
      </c>
      <c r="C280" s="8"/>
      <c r="D280" s="8"/>
      <c r="E280" s="8"/>
      <c r="F280" s="8"/>
      <c r="G280" s="8"/>
      <c r="H280" s="8"/>
      <c r="I280" s="8"/>
      <c r="J280" s="8"/>
      <c r="K280" s="8"/>
      <c r="L280" s="9"/>
      <c r="M280" s="9"/>
      <c r="N280" s="424"/>
      <c r="O280" s="424"/>
      <c r="P280" s="424"/>
      <c r="Q280" s="424"/>
      <c r="R280" s="424"/>
      <c r="S280" s="424"/>
      <c r="T280" s="424"/>
      <c r="U280" s="424"/>
      <c r="V280" s="424"/>
      <c r="W280" s="77"/>
      <c r="X280" s="77"/>
      <c r="Y280" s="77"/>
      <c r="Z280" s="77"/>
    </row>
    <row r="281" ht="16.5" customHeight="1">
      <c r="A281" s="31" t="s">
        <v>1275</v>
      </c>
      <c r="B281" s="31" t="s">
        <v>9854</v>
      </c>
      <c r="C281" s="8"/>
      <c r="D281" s="8"/>
      <c r="E281" s="8"/>
      <c r="F281" s="8"/>
      <c r="G281" s="8"/>
      <c r="H281" s="8"/>
      <c r="I281" s="8"/>
      <c r="J281" s="8"/>
      <c r="K281" s="8"/>
      <c r="L281" s="9"/>
      <c r="M281" s="9"/>
      <c r="N281" s="424"/>
      <c r="O281" s="424"/>
      <c r="P281" s="424"/>
      <c r="Q281" s="424"/>
      <c r="R281" s="424"/>
      <c r="S281" s="424"/>
      <c r="T281" s="424"/>
      <c r="U281" s="424"/>
      <c r="V281" s="424"/>
      <c r="W281" s="77"/>
      <c r="X281" s="77"/>
      <c r="Y281" s="77"/>
      <c r="Z281" s="77"/>
    </row>
    <row r="282" ht="16.5" customHeight="1">
      <c r="A282" s="31" t="s">
        <v>9855</v>
      </c>
      <c r="B282" s="31" t="s">
        <v>9856</v>
      </c>
      <c r="C282" s="8"/>
      <c r="D282" s="8"/>
      <c r="E282" s="8"/>
      <c r="F282" s="8"/>
      <c r="G282" s="8"/>
      <c r="H282" s="8"/>
      <c r="I282" s="8"/>
      <c r="J282" s="8"/>
      <c r="K282" s="8"/>
      <c r="L282" s="9"/>
      <c r="M282" s="9"/>
      <c r="N282" s="424"/>
      <c r="O282" s="424"/>
      <c r="P282" s="424"/>
      <c r="Q282" s="424"/>
      <c r="R282" s="424"/>
      <c r="S282" s="424"/>
      <c r="T282" s="424"/>
      <c r="U282" s="424"/>
      <c r="V282" s="424"/>
      <c r="W282" s="77"/>
      <c r="X282" s="77"/>
      <c r="Y282" s="77"/>
      <c r="Z282" s="77"/>
    </row>
    <row r="283" ht="16.5" customHeight="1">
      <c r="A283" s="31" t="s">
        <v>1284</v>
      </c>
      <c r="B283" s="31" t="s">
        <v>9857</v>
      </c>
      <c r="C283" s="8"/>
      <c r="D283" s="8"/>
      <c r="E283" s="8"/>
      <c r="F283" s="8"/>
      <c r="G283" s="8"/>
      <c r="H283" s="8"/>
      <c r="I283" s="8"/>
      <c r="J283" s="8"/>
      <c r="K283" s="8"/>
      <c r="L283" s="9"/>
      <c r="M283" s="9"/>
      <c r="N283" s="424"/>
      <c r="O283" s="424"/>
      <c r="P283" s="424"/>
      <c r="Q283" s="424"/>
      <c r="R283" s="424"/>
      <c r="S283" s="424"/>
      <c r="T283" s="424"/>
      <c r="U283" s="424"/>
      <c r="V283" s="424"/>
      <c r="W283" s="77"/>
      <c r="X283" s="77"/>
      <c r="Y283" s="77"/>
      <c r="Z283" s="77"/>
    </row>
    <row r="284" ht="16.5" customHeight="1">
      <c r="A284" s="31" t="s">
        <v>9858</v>
      </c>
      <c r="B284" s="31" t="s">
        <v>6884</v>
      </c>
      <c r="C284" s="8"/>
      <c r="D284" s="8"/>
      <c r="E284" s="8"/>
      <c r="F284" s="8"/>
      <c r="G284" s="8"/>
      <c r="H284" s="8"/>
      <c r="I284" s="8"/>
      <c r="J284" s="8"/>
      <c r="K284" s="8"/>
      <c r="L284" s="9"/>
      <c r="M284" s="9"/>
      <c r="N284" s="424"/>
      <c r="O284" s="424"/>
      <c r="P284" s="424"/>
      <c r="Q284" s="424"/>
      <c r="R284" s="424"/>
      <c r="S284" s="424"/>
      <c r="T284" s="424"/>
      <c r="U284" s="424"/>
      <c r="V284" s="424"/>
      <c r="W284" s="77"/>
      <c r="X284" s="77"/>
      <c r="Y284" s="77"/>
      <c r="Z284" s="77"/>
    </row>
    <row r="285" ht="16.5" customHeight="1">
      <c r="A285" s="31" t="s">
        <v>9859</v>
      </c>
      <c r="B285" s="31" t="s">
        <v>9860</v>
      </c>
      <c r="L285" s="77"/>
      <c r="M285" s="77"/>
      <c r="N285" s="424"/>
      <c r="O285" s="424"/>
      <c r="P285" s="424"/>
      <c r="Q285" s="424"/>
      <c r="R285" s="424"/>
      <c r="S285" s="424"/>
      <c r="T285" s="424"/>
      <c r="U285" s="424"/>
      <c r="V285" s="424"/>
      <c r="W285" s="77"/>
      <c r="X285" s="77"/>
      <c r="Y285" s="77"/>
      <c r="Z285" s="77"/>
    </row>
    <row r="286" ht="16.5" customHeight="1">
      <c r="A286" s="31" t="s">
        <v>9861</v>
      </c>
      <c r="B286" s="31" t="s">
        <v>9724</v>
      </c>
      <c r="L286" s="77"/>
      <c r="M286" s="77"/>
      <c r="N286" s="424"/>
      <c r="O286" s="424"/>
      <c r="P286" s="424"/>
      <c r="Q286" s="424"/>
      <c r="R286" s="424"/>
      <c r="S286" s="424"/>
      <c r="T286" s="424"/>
      <c r="U286" s="424"/>
      <c r="V286" s="424"/>
      <c r="W286" s="77"/>
      <c r="X286" s="77"/>
      <c r="Y286" s="77"/>
      <c r="Z286" s="77"/>
    </row>
    <row r="287" ht="16.5" customHeight="1">
      <c r="A287" s="31" t="s">
        <v>9862</v>
      </c>
      <c r="B287" s="31" t="s">
        <v>9863</v>
      </c>
      <c r="L287" s="77"/>
      <c r="M287" s="77"/>
      <c r="N287" s="424"/>
      <c r="O287" s="424"/>
      <c r="P287" s="424"/>
      <c r="Q287" s="424"/>
      <c r="R287" s="424"/>
      <c r="S287" s="424"/>
      <c r="T287" s="424"/>
      <c r="U287" s="424"/>
      <c r="V287" s="424"/>
      <c r="W287" s="77"/>
      <c r="X287" s="77"/>
      <c r="Y287" s="77"/>
      <c r="Z287" s="77"/>
    </row>
    <row r="288" ht="16.5" customHeight="1">
      <c r="A288" s="31" t="s">
        <v>9864</v>
      </c>
      <c r="B288" s="31" t="s">
        <v>9865</v>
      </c>
      <c r="L288" s="77"/>
      <c r="M288" s="77"/>
      <c r="N288" s="424"/>
      <c r="O288" s="424"/>
      <c r="P288" s="424"/>
      <c r="Q288" s="424"/>
      <c r="R288" s="424"/>
      <c r="S288" s="424"/>
      <c r="T288" s="424"/>
      <c r="U288" s="424"/>
      <c r="V288" s="424"/>
      <c r="W288" s="77"/>
      <c r="X288" s="77"/>
      <c r="Y288" s="77"/>
      <c r="Z288" s="77"/>
    </row>
    <row r="289" ht="16.5" customHeight="1">
      <c r="A289" s="31" t="s">
        <v>9866</v>
      </c>
      <c r="B289" s="31" t="s">
        <v>9867</v>
      </c>
      <c r="L289" s="77"/>
      <c r="M289" s="77"/>
      <c r="N289" s="424"/>
      <c r="O289" s="424"/>
      <c r="P289" s="424"/>
      <c r="Q289" s="424"/>
      <c r="R289" s="424"/>
      <c r="S289" s="424"/>
      <c r="T289" s="424"/>
      <c r="U289" s="424"/>
      <c r="V289" s="424"/>
      <c r="W289" s="77"/>
      <c r="X289" s="77"/>
      <c r="Y289" s="77"/>
      <c r="Z289" s="77"/>
    </row>
    <row r="290" ht="16.5" customHeight="1">
      <c r="A290" s="31" t="s">
        <v>9868</v>
      </c>
      <c r="B290" s="31" t="s">
        <v>9869</v>
      </c>
      <c r="L290" s="77"/>
      <c r="M290" s="77"/>
      <c r="N290" s="424"/>
      <c r="O290" s="424"/>
      <c r="P290" s="424"/>
      <c r="Q290" s="424"/>
      <c r="R290" s="424"/>
      <c r="S290" s="424"/>
      <c r="T290" s="424"/>
      <c r="U290" s="424"/>
      <c r="V290" s="424"/>
      <c r="W290" s="77"/>
      <c r="X290" s="77"/>
      <c r="Y290" s="77"/>
      <c r="Z290" s="77"/>
    </row>
    <row r="291" ht="16.5" customHeight="1">
      <c r="A291" s="31" t="s">
        <v>9870</v>
      </c>
      <c r="B291" s="31" t="s">
        <v>9871</v>
      </c>
      <c r="L291" s="77"/>
      <c r="M291" s="77"/>
      <c r="N291" s="424"/>
      <c r="O291" s="424"/>
      <c r="P291" s="424"/>
      <c r="Q291" s="424"/>
      <c r="R291" s="424"/>
      <c r="S291" s="424"/>
      <c r="T291" s="424"/>
      <c r="U291" s="424"/>
      <c r="V291" s="424"/>
      <c r="W291" s="77"/>
      <c r="X291" s="77"/>
      <c r="Y291" s="77"/>
      <c r="Z291" s="77"/>
    </row>
    <row r="292" ht="16.5" customHeight="1">
      <c r="A292" s="31" t="s">
        <v>9872</v>
      </c>
      <c r="B292" s="31"/>
      <c r="L292" s="77"/>
      <c r="M292" s="77"/>
      <c r="N292" s="424"/>
      <c r="O292" s="424"/>
      <c r="P292" s="424"/>
      <c r="Q292" s="424"/>
      <c r="R292" s="424"/>
      <c r="S292" s="424"/>
      <c r="T292" s="424"/>
      <c r="U292" s="424"/>
      <c r="V292" s="424"/>
      <c r="W292" s="77"/>
      <c r="X292" s="77"/>
      <c r="Y292" s="77"/>
      <c r="Z292" s="77"/>
    </row>
    <row r="293" ht="16.5" customHeight="1">
      <c r="A293" s="31" t="s">
        <v>9873</v>
      </c>
      <c r="B293" s="31"/>
      <c r="L293" s="77"/>
      <c r="M293" s="77"/>
      <c r="N293" s="424"/>
      <c r="O293" s="424"/>
      <c r="P293" s="424"/>
      <c r="Q293" s="424"/>
      <c r="R293" s="424"/>
      <c r="S293" s="424"/>
      <c r="T293" s="424"/>
      <c r="U293" s="424"/>
      <c r="V293" s="424"/>
      <c r="W293" s="77"/>
      <c r="X293" s="77"/>
      <c r="Y293" s="77"/>
      <c r="Z293" s="77"/>
    </row>
    <row r="294" ht="16.5" customHeight="1">
      <c r="A294" s="31" t="s">
        <v>1312</v>
      </c>
      <c r="B294" s="31"/>
      <c r="L294" s="77"/>
      <c r="M294" s="77"/>
      <c r="N294" s="424"/>
      <c r="O294" s="424"/>
      <c r="P294" s="424"/>
      <c r="Q294" s="424"/>
      <c r="R294" s="424"/>
      <c r="S294" s="424"/>
      <c r="T294" s="424"/>
      <c r="U294" s="424"/>
      <c r="V294" s="424"/>
      <c r="W294" s="77"/>
      <c r="X294" s="77"/>
      <c r="Y294" s="77"/>
      <c r="Z294" s="77"/>
    </row>
    <row r="295" ht="16.5" customHeight="1">
      <c r="A295" s="423" t="s">
        <v>9874</v>
      </c>
      <c r="L295" s="77"/>
      <c r="M295" s="77"/>
      <c r="N295" s="424"/>
      <c r="O295" s="424"/>
      <c r="P295" s="424"/>
      <c r="Q295" s="424"/>
      <c r="R295" s="424"/>
      <c r="S295" s="424"/>
      <c r="T295" s="424"/>
      <c r="U295" s="424"/>
      <c r="V295" s="424"/>
      <c r="W295" s="77"/>
      <c r="X295" s="77"/>
      <c r="Y295" s="77"/>
      <c r="Z295" s="77"/>
    </row>
    <row r="296" ht="16.5" customHeight="1">
      <c r="A296" s="425" t="s">
        <v>9770</v>
      </c>
      <c r="B296" s="425" t="s">
        <v>9415</v>
      </c>
      <c r="C296" s="426" t="s">
        <v>9363</v>
      </c>
      <c r="L296" s="77"/>
      <c r="M296" s="77"/>
      <c r="N296" s="424"/>
      <c r="O296" s="424"/>
      <c r="P296" s="424"/>
      <c r="Q296" s="424"/>
      <c r="R296" s="424"/>
      <c r="S296" s="424"/>
      <c r="T296" s="424"/>
      <c r="U296" s="424"/>
      <c r="V296" s="424"/>
      <c r="W296" s="77"/>
      <c r="X296" s="77"/>
      <c r="Y296" s="77"/>
      <c r="Z296" s="77"/>
    </row>
    <row r="297" ht="16.5" customHeight="1">
      <c r="A297" s="428" t="s">
        <v>9875</v>
      </c>
      <c r="B297" s="428" t="s">
        <v>2867</v>
      </c>
      <c r="C297" s="427" t="s">
        <v>9365</v>
      </c>
      <c r="D297" s="427" t="s">
        <v>8952</v>
      </c>
      <c r="E297" s="427" t="s">
        <v>4702</v>
      </c>
      <c r="F297" s="427" t="s">
        <v>4703</v>
      </c>
      <c r="G297" s="427" t="s">
        <v>4320</v>
      </c>
      <c r="H297" s="427" t="s">
        <v>436</v>
      </c>
      <c r="I297" s="427" t="s">
        <v>4704</v>
      </c>
      <c r="J297" s="427" t="s">
        <v>135</v>
      </c>
      <c r="K297" s="427" t="s">
        <v>128</v>
      </c>
      <c r="L297" s="77"/>
      <c r="M297" s="77"/>
      <c r="N297" s="424"/>
      <c r="O297" s="424"/>
      <c r="P297" s="424"/>
      <c r="Q297" s="424"/>
      <c r="R297" s="424"/>
      <c r="S297" s="424"/>
      <c r="T297" s="424"/>
      <c r="U297" s="424"/>
      <c r="V297" s="424"/>
      <c r="W297" s="77"/>
      <c r="X297" s="77"/>
      <c r="Y297" s="77"/>
      <c r="Z297" s="77"/>
    </row>
    <row r="298" ht="16.5" customHeight="1">
      <c r="A298" s="31" t="s">
        <v>2072</v>
      </c>
      <c r="B298" s="31" t="s">
        <v>9773</v>
      </c>
      <c r="C298" s="4" t="s">
        <v>9441</v>
      </c>
      <c r="D298" s="4" t="s">
        <v>9109</v>
      </c>
      <c r="E298" s="4" t="s">
        <v>9311</v>
      </c>
      <c r="F298" s="4" t="s">
        <v>9774</v>
      </c>
      <c r="G298" s="4" t="s">
        <v>9876</v>
      </c>
      <c r="H298" s="4" t="s">
        <v>9498</v>
      </c>
      <c r="I298" s="4" t="s">
        <v>9877</v>
      </c>
      <c r="J298" s="4" t="s">
        <v>9877</v>
      </c>
      <c r="K298" s="4" t="s">
        <v>8406</v>
      </c>
      <c r="L298" s="9"/>
      <c r="M298" s="9"/>
      <c r="N298" s="424"/>
      <c r="O298" s="424"/>
      <c r="P298" s="424"/>
      <c r="Q298" s="424"/>
      <c r="R298" s="424"/>
      <c r="S298" s="424"/>
      <c r="T298" s="424"/>
      <c r="U298" s="424"/>
      <c r="V298" s="424"/>
      <c r="W298" s="77"/>
      <c r="X298" s="77"/>
      <c r="Y298" s="77"/>
      <c r="Z298" s="77"/>
    </row>
    <row r="299" ht="16.5" customHeight="1">
      <c r="A299" s="31" t="s">
        <v>3759</v>
      </c>
      <c r="B299" s="31" t="s">
        <v>9777</v>
      </c>
      <c r="C299" s="108" t="s">
        <v>9510</v>
      </c>
      <c r="L299" s="9"/>
      <c r="M299" s="9"/>
      <c r="N299" s="424"/>
      <c r="O299" s="424"/>
      <c r="P299" s="424"/>
      <c r="Q299" s="424"/>
      <c r="R299" s="424"/>
      <c r="S299" s="424"/>
      <c r="T299" s="424"/>
      <c r="U299" s="424"/>
      <c r="V299" s="424"/>
      <c r="W299" s="77"/>
      <c r="X299" s="77"/>
      <c r="Y299" s="77"/>
      <c r="Z299" s="77"/>
    </row>
    <row r="300" ht="16.5" customHeight="1">
      <c r="A300" s="31" t="s">
        <v>9878</v>
      </c>
      <c r="B300" s="31" t="s">
        <v>9780</v>
      </c>
      <c r="C300" s="8"/>
      <c r="D300" s="8"/>
      <c r="E300" s="8"/>
      <c r="F300" s="8"/>
      <c r="G300" s="8"/>
      <c r="H300" s="8"/>
      <c r="I300" s="8"/>
      <c r="J300" s="8"/>
      <c r="K300" s="8"/>
      <c r="L300" s="9"/>
      <c r="M300" s="9"/>
      <c r="N300" s="424"/>
      <c r="O300" s="424"/>
      <c r="P300" s="424"/>
      <c r="Q300" s="424"/>
      <c r="R300" s="424"/>
      <c r="S300" s="424"/>
      <c r="T300" s="424"/>
      <c r="U300" s="424"/>
      <c r="V300" s="424"/>
      <c r="W300" s="77"/>
      <c r="X300" s="77"/>
      <c r="Y300" s="77"/>
      <c r="Z300" s="77"/>
    </row>
    <row r="301" ht="16.5" customHeight="1">
      <c r="A301" s="31" t="s">
        <v>3794</v>
      </c>
      <c r="B301" s="31" t="s">
        <v>9782</v>
      </c>
      <c r="C301" s="8"/>
      <c r="D301" s="8"/>
      <c r="E301" s="8"/>
      <c r="F301" s="8"/>
      <c r="G301" s="8"/>
      <c r="H301" s="8"/>
      <c r="I301" s="8"/>
      <c r="J301" s="8"/>
      <c r="K301" s="8"/>
      <c r="L301" s="9"/>
      <c r="M301" s="9"/>
      <c r="N301" s="424"/>
      <c r="O301" s="424"/>
      <c r="P301" s="424"/>
      <c r="Q301" s="424"/>
      <c r="R301" s="424"/>
      <c r="S301" s="424"/>
      <c r="T301" s="424"/>
      <c r="U301" s="424"/>
      <c r="V301" s="424"/>
      <c r="W301" s="77"/>
      <c r="X301" s="77"/>
      <c r="Y301" s="77"/>
      <c r="Z301" s="77"/>
    </row>
    <row r="302" ht="16.5" customHeight="1">
      <c r="A302" s="31" t="s">
        <v>8147</v>
      </c>
      <c r="B302" s="31" t="s">
        <v>9511</v>
      </c>
      <c r="C302" s="8"/>
      <c r="D302" s="8"/>
      <c r="E302" s="8"/>
      <c r="F302" s="8"/>
      <c r="G302" s="8"/>
      <c r="H302" s="8"/>
      <c r="I302" s="8"/>
      <c r="J302" s="8"/>
      <c r="K302" s="8"/>
      <c r="L302" s="9"/>
      <c r="M302" s="9"/>
      <c r="N302" s="424"/>
      <c r="O302" s="424"/>
      <c r="P302" s="424"/>
      <c r="Q302" s="424"/>
      <c r="R302" s="424"/>
      <c r="S302" s="424"/>
      <c r="T302" s="424"/>
      <c r="U302" s="424"/>
      <c r="V302" s="424"/>
      <c r="W302" s="77"/>
      <c r="X302" s="77"/>
      <c r="Y302" s="77"/>
      <c r="Z302" s="77"/>
    </row>
    <row r="303" ht="16.5" customHeight="1">
      <c r="A303" s="31" t="s">
        <v>8158</v>
      </c>
      <c r="B303" s="31" t="s">
        <v>9513</v>
      </c>
      <c r="C303" s="8"/>
      <c r="D303" s="8"/>
      <c r="E303" s="8"/>
      <c r="F303" s="8"/>
      <c r="G303" s="8"/>
      <c r="H303" s="8"/>
      <c r="I303" s="8"/>
      <c r="J303" s="8"/>
      <c r="K303" s="8"/>
      <c r="L303" s="9"/>
      <c r="M303" s="9"/>
      <c r="N303" s="424"/>
      <c r="O303" s="424"/>
      <c r="P303" s="424"/>
      <c r="Q303" s="424"/>
      <c r="R303" s="424"/>
      <c r="S303" s="424"/>
      <c r="T303" s="424"/>
      <c r="U303" s="424"/>
      <c r="V303" s="424"/>
      <c r="W303" s="77"/>
      <c r="X303" s="77"/>
      <c r="Y303" s="77"/>
      <c r="Z303" s="77"/>
    </row>
    <row r="304" ht="16.5" customHeight="1">
      <c r="A304" s="31" t="s">
        <v>9879</v>
      </c>
      <c r="B304" s="31" t="s">
        <v>9514</v>
      </c>
      <c r="C304" s="8"/>
      <c r="D304" s="8"/>
      <c r="E304" s="8"/>
      <c r="F304" s="8"/>
      <c r="G304" s="8"/>
      <c r="H304" s="8"/>
      <c r="I304" s="8"/>
      <c r="J304" s="8"/>
      <c r="K304" s="8"/>
      <c r="L304" s="9"/>
      <c r="M304" s="9"/>
      <c r="N304" s="424"/>
      <c r="O304" s="424"/>
      <c r="P304" s="424"/>
      <c r="Q304" s="424"/>
      <c r="R304" s="424"/>
      <c r="S304" s="424"/>
      <c r="T304" s="424"/>
      <c r="U304" s="424"/>
      <c r="V304" s="424"/>
      <c r="W304" s="77"/>
      <c r="X304" s="77"/>
      <c r="Y304" s="77"/>
      <c r="Z304" s="77"/>
    </row>
    <row r="305" ht="16.5" customHeight="1">
      <c r="A305" s="31" t="s">
        <v>9880</v>
      </c>
      <c r="B305" s="31" t="s">
        <v>9516</v>
      </c>
      <c r="C305" s="8"/>
      <c r="D305" s="8"/>
      <c r="E305" s="8"/>
      <c r="F305" s="8"/>
      <c r="G305" s="8"/>
      <c r="H305" s="8"/>
      <c r="I305" s="8"/>
      <c r="J305" s="8"/>
      <c r="K305" s="8"/>
      <c r="L305" s="9"/>
      <c r="M305" s="9"/>
      <c r="N305" s="424"/>
      <c r="O305" s="424"/>
      <c r="P305" s="424"/>
      <c r="Q305" s="424"/>
      <c r="R305" s="424"/>
      <c r="S305" s="424"/>
      <c r="T305" s="424"/>
      <c r="U305" s="424"/>
      <c r="V305" s="424"/>
      <c r="W305" s="77"/>
      <c r="X305" s="77"/>
      <c r="Y305" s="77"/>
      <c r="Z305" s="77"/>
    </row>
    <row r="306" ht="16.5" customHeight="1">
      <c r="A306" s="31" t="s">
        <v>9789</v>
      </c>
      <c r="B306" s="31" t="s">
        <v>9518</v>
      </c>
      <c r="L306" s="77"/>
      <c r="M306" s="77"/>
      <c r="N306" s="424"/>
      <c r="O306" s="424"/>
      <c r="P306" s="424"/>
      <c r="Q306" s="424"/>
      <c r="R306" s="424"/>
      <c r="S306" s="424"/>
      <c r="T306" s="424"/>
      <c r="U306" s="424"/>
      <c r="V306" s="424"/>
      <c r="W306" s="77"/>
      <c r="X306" s="77"/>
      <c r="Y306" s="77"/>
      <c r="Z306" s="77"/>
    </row>
    <row r="307" ht="16.5" customHeight="1">
      <c r="A307" s="31" t="s">
        <v>9881</v>
      </c>
      <c r="B307" s="31" t="s">
        <v>9520</v>
      </c>
      <c r="L307" s="77"/>
      <c r="M307" s="77"/>
      <c r="N307" s="424"/>
      <c r="O307" s="424"/>
      <c r="P307" s="424"/>
      <c r="Q307" s="424"/>
      <c r="R307" s="424"/>
      <c r="S307" s="424"/>
      <c r="T307" s="424"/>
      <c r="U307" s="424"/>
      <c r="V307" s="424"/>
      <c r="W307" s="77"/>
      <c r="X307" s="77"/>
      <c r="Y307" s="77"/>
      <c r="Z307" s="77"/>
    </row>
    <row r="308" ht="16.5" customHeight="1">
      <c r="A308" s="31" t="s">
        <v>9882</v>
      </c>
      <c r="B308" s="31" t="s">
        <v>9435</v>
      </c>
      <c r="L308" s="77"/>
      <c r="M308" s="77"/>
      <c r="N308" s="424"/>
      <c r="O308" s="424"/>
      <c r="P308" s="424"/>
      <c r="Q308" s="424"/>
      <c r="R308" s="424"/>
      <c r="S308" s="424"/>
      <c r="T308" s="424"/>
      <c r="U308" s="424"/>
      <c r="V308" s="424"/>
      <c r="W308" s="77"/>
      <c r="X308" s="77"/>
      <c r="Y308" s="77"/>
      <c r="Z308" s="77"/>
    </row>
    <row r="309" ht="16.5" customHeight="1">
      <c r="A309" s="31" t="s">
        <v>9883</v>
      </c>
      <c r="B309" s="31" t="s">
        <v>9523</v>
      </c>
      <c r="L309" s="77"/>
      <c r="M309" s="77"/>
      <c r="N309" s="424"/>
      <c r="O309" s="424"/>
      <c r="P309" s="424"/>
      <c r="Q309" s="424"/>
      <c r="R309" s="424"/>
      <c r="S309" s="424"/>
      <c r="T309" s="424"/>
      <c r="U309" s="424"/>
      <c r="V309" s="424"/>
      <c r="W309" s="77"/>
      <c r="X309" s="77"/>
      <c r="Y309" s="77"/>
      <c r="Z309" s="77"/>
    </row>
    <row r="310" ht="16.5" customHeight="1">
      <c r="A310" s="31" t="s">
        <v>9884</v>
      </c>
      <c r="B310" s="31" t="s">
        <v>9525</v>
      </c>
      <c r="L310" s="77"/>
      <c r="M310" s="77"/>
      <c r="N310" s="424"/>
      <c r="O310" s="424"/>
      <c r="P310" s="424"/>
      <c r="Q310" s="424"/>
      <c r="R310" s="424"/>
      <c r="S310" s="424"/>
      <c r="T310" s="424"/>
      <c r="U310" s="424"/>
      <c r="V310" s="424"/>
      <c r="W310" s="77"/>
      <c r="X310" s="77"/>
      <c r="Y310" s="77"/>
      <c r="Z310" s="77"/>
    </row>
    <row r="311" ht="16.5" customHeight="1">
      <c r="A311" s="31" t="s">
        <v>9885</v>
      </c>
      <c r="B311" s="31" t="s">
        <v>9527</v>
      </c>
      <c r="L311" s="77"/>
      <c r="M311" s="77"/>
      <c r="N311" s="424"/>
      <c r="O311" s="424"/>
      <c r="P311" s="424"/>
      <c r="Q311" s="424"/>
      <c r="R311" s="424"/>
      <c r="S311" s="424"/>
      <c r="T311" s="424"/>
      <c r="U311" s="424"/>
      <c r="V311" s="424"/>
      <c r="W311" s="77"/>
      <c r="X311" s="77"/>
      <c r="Y311" s="77"/>
      <c r="Z311" s="77"/>
    </row>
    <row r="312" ht="16.5" customHeight="1">
      <c r="A312" s="423" t="s">
        <v>9886</v>
      </c>
      <c r="L312" s="77"/>
      <c r="M312" s="77"/>
      <c r="N312" s="424"/>
      <c r="O312" s="424"/>
      <c r="P312" s="424"/>
      <c r="Q312" s="424"/>
      <c r="R312" s="424"/>
      <c r="S312" s="424"/>
      <c r="T312" s="424"/>
      <c r="U312" s="424"/>
      <c r="V312" s="424"/>
      <c r="W312" s="77"/>
      <c r="X312" s="77"/>
      <c r="Y312" s="77"/>
      <c r="Z312" s="77"/>
    </row>
    <row r="313" ht="16.5" customHeight="1">
      <c r="A313" s="425" t="s">
        <v>9801</v>
      </c>
      <c r="B313" s="425" t="s">
        <v>9887</v>
      </c>
      <c r="C313" s="426" t="s">
        <v>9363</v>
      </c>
      <c r="L313" s="77"/>
      <c r="M313" s="77"/>
      <c r="N313" s="424"/>
      <c r="O313" s="424"/>
      <c r="P313" s="424"/>
      <c r="Q313" s="424"/>
      <c r="R313" s="424"/>
      <c r="S313" s="424"/>
      <c r="T313" s="424"/>
      <c r="U313" s="424"/>
      <c r="V313" s="424"/>
      <c r="W313" s="77"/>
      <c r="X313" s="77"/>
      <c r="Y313" s="77"/>
      <c r="Z313" s="77"/>
    </row>
    <row r="314" ht="16.5" customHeight="1">
      <c r="A314" s="428" t="s">
        <v>2338</v>
      </c>
      <c r="B314" s="428" t="s">
        <v>1787</v>
      </c>
      <c r="C314" s="427" t="s">
        <v>9365</v>
      </c>
      <c r="D314" s="427" t="s">
        <v>8952</v>
      </c>
      <c r="E314" s="427" t="s">
        <v>4702</v>
      </c>
      <c r="F314" s="427" t="s">
        <v>4703</v>
      </c>
      <c r="G314" s="427" t="s">
        <v>4320</v>
      </c>
      <c r="H314" s="427" t="s">
        <v>436</v>
      </c>
      <c r="I314" s="427" t="s">
        <v>4704</v>
      </c>
      <c r="J314" s="427" t="s">
        <v>135</v>
      </c>
      <c r="K314" s="427" t="s">
        <v>128</v>
      </c>
      <c r="L314" s="77"/>
      <c r="M314" s="77"/>
      <c r="N314" s="424"/>
      <c r="O314" s="424"/>
      <c r="P314" s="424"/>
      <c r="Q314" s="424"/>
      <c r="R314" s="424"/>
      <c r="S314" s="424"/>
      <c r="T314" s="424"/>
      <c r="U314" s="424"/>
      <c r="V314" s="424"/>
      <c r="W314" s="77"/>
      <c r="X314" s="77"/>
      <c r="Y314" s="77"/>
      <c r="Z314" s="77"/>
    </row>
    <row r="315" ht="16.5" customHeight="1">
      <c r="A315" s="31" t="s">
        <v>5201</v>
      </c>
      <c r="B315" s="31" t="s">
        <v>9888</v>
      </c>
      <c r="C315" s="4" t="s">
        <v>9441</v>
      </c>
      <c r="D315" s="4" t="s">
        <v>9109</v>
      </c>
      <c r="E315" s="4" t="s">
        <v>9311</v>
      </c>
      <c r="F315" s="4" t="s">
        <v>7898</v>
      </c>
      <c r="G315" s="4" t="s">
        <v>10</v>
      </c>
      <c r="H315" s="4" t="s">
        <v>1500</v>
      </c>
      <c r="I315" s="4" t="s">
        <v>7896</v>
      </c>
      <c r="J315" s="4" t="s">
        <v>9889</v>
      </c>
      <c r="K315" s="4" t="s">
        <v>8828</v>
      </c>
      <c r="L315" s="9"/>
      <c r="M315" s="9"/>
      <c r="N315" s="424"/>
      <c r="O315" s="424"/>
      <c r="P315" s="424"/>
      <c r="Q315" s="424"/>
      <c r="R315" s="424"/>
      <c r="S315" s="424"/>
      <c r="T315" s="424"/>
      <c r="U315" s="424"/>
      <c r="V315" s="424"/>
      <c r="W315" s="77"/>
      <c r="X315" s="77"/>
      <c r="Y315" s="77"/>
      <c r="Z315" s="77"/>
    </row>
    <row r="316" ht="16.5" customHeight="1">
      <c r="A316" s="31" t="s">
        <v>9806</v>
      </c>
      <c r="B316" s="31" t="s">
        <v>9890</v>
      </c>
      <c r="C316" s="108" t="s">
        <v>9807</v>
      </c>
      <c r="L316" s="9"/>
      <c r="M316" s="9"/>
      <c r="N316" s="424"/>
      <c r="O316" s="424"/>
      <c r="P316" s="424"/>
      <c r="Q316" s="424"/>
      <c r="R316" s="424"/>
      <c r="S316" s="424"/>
      <c r="T316" s="424"/>
      <c r="U316" s="424"/>
      <c r="V316" s="424"/>
      <c r="W316" s="77"/>
      <c r="X316" s="77"/>
      <c r="Y316" s="77"/>
      <c r="Z316" s="77"/>
    </row>
    <row r="317" ht="16.5" customHeight="1">
      <c r="A317" s="31" t="s">
        <v>9808</v>
      </c>
      <c r="B317" s="31" t="s">
        <v>7247</v>
      </c>
      <c r="C317" s="8"/>
      <c r="D317" s="8"/>
      <c r="E317" s="8"/>
      <c r="F317" s="8"/>
      <c r="G317" s="8"/>
      <c r="H317" s="8"/>
      <c r="I317" s="8"/>
      <c r="J317" s="8"/>
      <c r="K317" s="8"/>
      <c r="L317" s="9"/>
      <c r="M317" s="9"/>
      <c r="N317" s="424"/>
      <c r="O317" s="424"/>
      <c r="P317" s="424"/>
      <c r="Q317" s="424"/>
      <c r="R317" s="424"/>
      <c r="S317" s="424"/>
      <c r="T317" s="424"/>
      <c r="U317" s="424"/>
      <c r="V317" s="424"/>
      <c r="W317" s="77"/>
      <c r="X317" s="77"/>
      <c r="Y317" s="77"/>
      <c r="Z317" s="77"/>
    </row>
    <row r="318" ht="16.5" customHeight="1">
      <c r="A318" s="31" t="s">
        <v>9891</v>
      </c>
      <c r="B318" s="31" t="s">
        <v>2841</v>
      </c>
      <c r="C318" s="8"/>
      <c r="D318" s="8"/>
      <c r="E318" s="8"/>
      <c r="F318" s="8"/>
      <c r="G318" s="8"/>
      <c r="H318" s="8"/>
      <c r="I318" s="8"/>
      <c r="J318" s="8"/>
      <c r="K318" s="8"/>
      <c r="L318" s="9"/>
      <c r="M318" s="9"/>
      <c r="N318" s="424"/>
      <c r="O318" s="424"/>
      <c r="P318" s="424"/>
      <c r="Q318" s="424"/>
      <c r="R318" s="424"/>
      <c r="S318" s="424"/>
      <c r="T318" s="424"/>
      <c r="U318" s="424"/>
      <c r="V318" s="424"/>
      <c r="W318" s="77"/>
      <c r="X318" s="77"/>
      <c r="Y318" s="77"/>
      <c r="Z318" s="77"/>
    </row>
    <row r="319" ht="16.5" customHeight="1">
      <c r="A319" s="31" t="s">
        <v>9892</v>
      </c>
      <c r="B319" s="31" t="s">
        <v>9893</v>
      </c>
      <c r="C319" s="8"/>
      <c r="D319" s="8"/>
      <c r="E319" s="8"/>
      <c r="F319" s="8"/>
      <c r="G319" s="8"/>
      <c r="H319" s="8"/>
      <c r="I319" s="8"/>
      <c r="J319" s="8"/>
      <c r="K319" s="8"/>
      <c r="L319" s="9"/>
      <c r="M319" s="9"/>
      <c r="N319" s="424"/>
      <c r="O319" s="424"/>
      <c r="P319" s="424"/>
      <c r="Q319" s="424"/>
      <c r="R319" s="424"/>
      <c r="S319" s="424"/>
      <c r="T319" s="424"/>
      <c r="U319" s="424"/>
      <c r="V319" s="424"/>
      <c r="W319" s="77"/>
      <c r="X319" s="77"/>
      <c r="Y319" s="77"/>
      <c r="Z319" s="77"/>
    </row>
    <row r="320" ht="16.5" customHeight="1">
      <c r="A320" s="31" t="s">
        <v>9814</v>
      </c>
      <c r="B320" s="31" t="s">
        <v>9894</v>
      </c>
      <c r="C320" s="8"/>
      <c r="D320" s="8"/>
      <c r="E320" s="8"/>
      <c r="F320" s="8"/>
      <c r="G320" s="8"/>
      <c r="H320" s="8"/>
      <c r="I320" s="8"/>
      <c r="J320" s="8"/>
      <c r="K320" s="8"/>
      <c r="L320" s="9"/>
      <c r="M320" s="9"/>
      <c r="N320" s="424"/>
      <c r="O320" s="424"/>
      <c r="P320" s="424"/>
      <c r="Q320" s="424"/>
      <c r="R320" s="424"/>
      <c r="S320" s="424"/>
      <c r="T320" s="424"/>
      <c r="U320" s="424"/>
      <c r="V320" s="424"/>
      <c r="W320" s="77"/>
      <c r="X320" s="77"/>
      <c r="Y320" s="77"/>
      <c r="Z320" s="77"/>
    </row>
    <row r="321" ht="16.5" customHeight="1">
      <c r="A321" s="31" t="s">
        <v>9895</v>
      </c>
      <c r="B321" s="31" t="s">
        <v>9896</v>
      </c>
      <c r="C321" s="8"/>
      <c r="D321" s="8"/>
      <c r="E321" s="8"/>
      <c r="F321" s="8"/>
      <c r="G321" s="8"/>
      <c r="H321" s="8"/>
      <c r="I321" s="8"/>
      <c r="J321" s="8"/>
      <c r="K321" s="8"/>
      <c r="L321" s="9"/>
      <c r="M321" s="9"/>
      <c r="N321" s="424"/>
      <c r="O321" s="424"/>
      <c r="P321" s="424"/>
      <c r="Q321" s="424"/>
      <c r="R321" s="424"/>
      <c r="S321" s="424"/>
      <c r="T321" s="424"/>
      <c r="U321" s="424"/>
      <c r="V321" s="424"/>
      <c r="W321" s="77"/>
      <c r="X321" s="77"/>
      <c r="Y321" s="77"/>
      <c r="Z321" s="77"/>
    </row>
    <row r="322" ht="16.5" customHeight="1">
      <c r="A322" s="31" t="s">
        <v>9897</v>
      </c>
      <c r="B322" s="31" t="s">
        <v>9898</v>
      </c>
      <c r="C322" s="8"/>
      <c r="D322" s="8"/>
      <c r="E322" s="8"/>
      <c r="F322" s="8"/>
      <c r="G322" s="8"/>
      <c r="H322" s="8"/>
      <c r="I322" s="8"/>
      <c r="J322" s="8"/>
      <c r="K322" s="8"/>
      <c r="L322" s="9"/>
      <c r="M322" s="9"/>
      <c r="N322" s="424"/>
      <c r="O322" s="424"/>
      <c r="P322" s="424"/>
      <c r="Q322" s="424"/>
      <c r="R322" s="424"/>
      <c r="S322" s="424"/>
      <c r="T322" s="424"/>
      <c r="U322" s="424"/>
      <c r="V322" s="424"/>
      <c r="W322" s="77"/>
      <c r="X322" s="77"/>
      <c r="Y322" s="77"/>
      <c r="Z322" s="77"/>
    </row>
    <row r="323" ht="16.5" customHeight="1">
      <c r="A323" s="31" t="s">
        <v>9899</v>
      </c>
      <c r="B323" s="31" t="s">
        <v>9900</v>
      </c>
      <c r="L323" s="77"/>
      <c r="M323" s="77"/>
      <c r="N323" s="424"/>
      <c r="O323" s="424"/>
      <c r="P323" s="424"/>
      <c r="Q323" s="424"/>
      <c r="R323" s="424"/>
      <c r="S323" s="424"/>
      <c r="T323" s="424"/>
      <c r="U323" s="424"/>
      <c r="V323" s="424"/>
      <c r="W323" s="77"/>
      <c r="X323" s="77"/>
      <c r="Y323" s="77"/>
      <c r="Z323" s="77"/>
    </row>
    <row r="324" ht="16.5" customHeight="1">
      <c r="A324" s="31" t="s">
        <v>9901</v>
      </c>
      <c r="B324" s="31" t="s">
        <v>9902</v>
      </c>
      <c r="L324" s="77"/>
      <c r="M324" s="77"/>
      <c r="N324" s="424"/>
      <c r="O324" s="424"/>
      <c r="P324" s="424"/>
      <c r="Q324" s="424"/>
      <c r="R324" s="424"/>
      <c r="S324" s="424"/>
      <c r="T324" s="424"/>
      <c r="U324" s="424"/>
      <c r="V324" s="424"/>
      <c r="W324" s="77"/>
      <c r="X324" s="77"/>
      <c r="Y324" s="77"/>
      <c r="Z324" s="77"/>
    </row>
    <row r="325" ht="16.5" customHeight="1">
      <c r="A325" s="31" t="s">
        <v>5240</v>
      </c>
      <c r="B325" s="31" t="s">
        <v>9903</v>
      </c>
      <c r="L325" s="77"/>
      <c r="M325" s="77"/>
      <c r="N325" s="424"/>
      <c r="O325" s="424"/>
      <c r="P325" s="424"/>
      <c r="Q325" s="424"/>
      <c r="R325" s="424"/>
      <c r="S325" s="424"/>
      <c r="T325" s="424"/>
      <c r="U325" s="424"/>
      <c r="V325" s="424"/>
      <c r="W325" s="77"/>
      <c r="X325" s="77"/>
      <c r="Y325" s="77"/>
      <c r="Z325" s="77"/>
    </row>
    <row r="326" ht="16.5" customHeight="1">
      <c r="A326" s="31" t="s">
        <v>9904</v>
      </c>
      <c r="B326" s="31" t="s">
        <v>6917</v>
      </c>
      <c r="L326" s="77"/>
      <c r="M326" s="77"/>
      <c r="N326" s="424"/>
      <c r="O326" s="424"/>
      <c r="P326" s="424"/>
      <c r="Q326" s="424"/>
      <c r="R326" s="424"/>
      <c r="S326" s="424"/>
      <c r="T326" s="424"/>
      <c r="U326" s="424"/>
      <c r="V326" s="424"/>
      <c r="W326" s="77"/>
      <c r="X326" s="77"/>
      <c r="Y326" s="77"/>
      <c r="Z326" s="77"/>
    </row>
    <row r="327" ht="16.5" customHeight="1">
      <c r="A327" s="31" t="s">
        <v>9905</v>
      </c>
      <c r="B327" s="31" t="s">
        <v>9906</v>
      </c>
      <c r="L327" s="77"/>
      <c r="M327" s="77"/>
      <c r="N327" s="424"/>
      <c r="O327" s="424"/>
      <c r="P327" s="424"/>
      <c r="Q327" s="424"/>
      <c r="R327" s="424"/>
      <c r="S327" s="424"/>
      <c r="T327" s="424"/>
      <c r="U327" s="424"/>
      <c r="V327" s="424"/>
      <c r="W327" s="77"/>
      <c r="X327" s="77"/>
      <c r="Y327" s="77"/>
      <c r="Z327" s="77"/>
    </row>
    <row r="328" ht="16.5" customHeight="1">
      <c r="A328" s="31" t="s">
        <v>9828</v>
      </c>
      <c r="B328" s="31" t="s">
        <v>9907</v>
      </c>
      <c r="L328" s="77"/>
      <c r="M328" s="77"/>
      <c r="N328" s="424"/>
      <c r="O328" s="424"/>
      <c r="P328" s="424"/>
      <c r="Q328" s="424"/>
      <c r="R328" s="424"/>
      <c r="S328" s="424"/>
      <c r="T328" s="424"/>
      <c r="U328" s="424"/>
      <c r="V328" s="424"/>
      <c r="W328" s="77"/>
      <c r="X328" s="77"/>
      <c r="Y328" s="77"/>
      <c r="Z328" s="77"/>
    </row>
    <row r="329" ht="16.5" customHeight="1">
      <c r="A329" s="423" t="s">
        <v>9908</v>
      </c>
      <c r="L329" s="77"/>
      <c r="M329" s="77"/>
      <c r="N329" s="424"/>
      <c r="O329" s="424"/>
      <c r="P329" s="424"/>
      <c r="Q329" s="424"/>
      <c r="R329" s="424"/>
      <c r="S329" s="424"/>
      <c r="T329" s="424"/>
      <c r="U329" s="424"/>
      <c r="V329" s="424"/>
      <c r="W329" s="77"/>
      <c r="X329" s="77"/>
      <c r="Y329" s="77"/>
      <c r="Z329" s="77"/>
    </row>
    <row r="330" ht="16.5" customHeight="1">
      <c r="A330" s="425" t="s">
        <v>9801</v>
      </c>
      <c r="B330" s="425" t="s">
        <v>9437</v>
      </c>
      <c r="C330" s="426" t="s">
        <v>9363</v>
      </c>
      <c r="L330" s="77"/>
      <c r="M330" s="77"/>
      <c r="N330" s="424"/>
      <c r="O330" s="424"/>
      <c r="P330" s="424"/>
      <c r="Q330" s="424"/>
      <c r="R330" s="424"/>
      <c r="S330" s="424"/>
      <c r="T330" s="424"/>
      <c r="U330" s="424"/>
      <c r="V330" s="424"/>
      <c r="W330" s="77"/>
      <c r="X330" s="77"/>
      <c r="Y330" s="77"/>
      <c r="Z330" s="77"/>
    </row>
    <row r="331" ht="16.5" customHeight="1">
      <c r="A331" s="428" t="s">
        <v>2338</v>
      </c>
      <c r="B331" s="428" t="s">
        <v>2071</v>
      </c>
      <c r="C331" s="427" t="s">
        <v>9365</v>
      </c>
      <c r="D331" s="427" t="s">
        <v>8952</v>
      </c>
      <c r="E331" s="427" t="s">
        <v>4702</v>
      </c>
      <c r="F331" s="427" t="s">
        <v>4703</v>
      </c>
      <c r="G331" s="427" t="s">
        <v>4320</v>
      </c>
      <c r="H331" s="427" t="s">
        <v>436</v>
      </c>
      <c r="I331" s="427" t="s">
        <v>4704</v>
      </c>
      <c r="J331" s="427" t="s">
        <v>135</v>
      </c>
      <c r="K331" s="427" t="s">
        <v>128</v>
      </c>
      <c r="L331" s="77"/>
      <c r="M331" s="77"/>
      <c r="N331" s="424"/>
      <c r="O331" s="424"/>
      <c r="P331" s="424"/>
      <c r="Q331" s="424"/>
      <c r="R331" s="424"/>
      <c r="S331" s="424"/>
      <c r="T331" s="424"/>
      <c r="U331" s="424"/>
      <c r="V331" s="424"/>
      <c r="W331" s="77"/>
      <c r="X331" s="77"/>
      <c r="Y331" s="77"/>
      <c r="Z331" s="77"/>
    </row>
    <row r="332" ht="16.5" customHeight="1">
      <c r="A332" s="31" t="s">
        <v>5201</v>
      </c>
      <c r="B332" s="31" t="s">
        <v>9732</v>
      </c>
      <c r="C332" s="4" t="s">
        <v>9441</v>
      </c>
      <c r="D332" s="4" t="s">
        <v>9109</v>
      </c>
      <c r="E332" s="4" t="s">
        <v>9909</v>
      </c>
      <c r="F332" s="4" t="s">
        <v>4854</v>
      </c>
      <c r="G332" s="4" t="s">
        <v>8</v>
      </c>
      <c r="H332" s="4" t="s">
        <v>204</v>
      </c>
      <c r="I332" s="4" t="s">
        <v>9445</v>
      </c>
      <c r="J332" s="4" t="s">
        <v>7877</v>
      </c>
      <c r="K332" s="4" t="s">
        <v>9889</v>
      </c>
      <c r="L332" s="9"/>
      <c r="M332" s="9"/>
      <c r="N332" s="424"/>
      <c r="O332" s="424"/>
      <c r="P332" s="424"/>
      <c r="Q332" s="424"/>
      <c r="R332" s="424"/>
      <c r="S332" s="424"/>
      <c r="T332" s="424"/>
      <c r="U332" s="424"/>
      <c r="V332" s="424"/>
      <c r="W332" s="77"/>
      <c r="X332" s="77"/>
      <c r="Y332" s="77"/>
      <c r="Z332" s="77"/>
    </row>
    <row r="333" ht="16.5" customHeight="1">
      <c r="A333" s="31" t="s">
        <v>9806</v>
      </c>
      <c r="B333" s="31" t="s">
        <v>9910</v>
      </c>
      <c r="C333" s="108" t="s">
        <v>9448</v>
      </c>
      <c r="L333" s="9"/>
      <c r="M333" s="9"/>
      <c r="N333" s="424"/>
      <c r="O333" s="424"/>
      <c r="P333" s="424"/>
      <c r="Q333" s="424"/>
      <c r="R333" s="424"/>
      <c r="S333" s="424"/>
      <c r="T333" s="424"/>
      <c r="U333" s="424"/>
      <c r="V333" s="424"/>
      <c r="W333" s="77"/>
      <c r="X333" s="77"/>
      <c r="Y333" s="77"/>
      <c r="Z333" s="77"/>
    </row>
    <row r="334" ht="16.5" customHeight="1">
      <c r="A334" s="31" t="s">
        <v>9808</v>
      </c>
      <c r="B334" s="31" t="s">
        <v>9911</v>
      </c>
      <c r="C334" s="8"/>
      <c r="D334" s="8"/>
      <c r="E334" s="8"/>
      <c r="F334" s="8"/>
      <c r="G334" s="8"/>
      <c r="H334" s="8"/>
      <c r="I334" s="8"/>
      <c r="J334" s="8"/>
      <c r="K334" s="8"/>
      <c r="L334" s="9"/>
      <c r="M334" s="9"/>
      <c r="N334" s="424"/>
      <c r="O334" s="424"/>
      <c r="P334" s="424"/>
      <c r="Q334" s="424"/>
      <c r="R334" s="424"/>
      <c r="S334" s="424"/>
      <c r="T334" s="424"/>
      <c r="U334" s="424"/>
      <c r="V334" s="424"/>
      <c r="W334" s="77"/>
      <c r="X334" s="77"/>
      <c r="Y334" s="77"/>
      <c r="Z334" s="77"/>
    </row>
    <row r="335" ht="16.5" customHeight="1">
      <c r="A335" s="31" t="s">
        <v>9891</v>
      </c>
      <c r="B335" s="31" t="s">
        <v>5214</v>
      </c>
      <c r="C335" s="8"/>
      <c r="D335" s="8"/>
      <c r="E335" s="8"/>
      <c r="F335" s="8"/>
      <c r="G335" s="8"/>
      <c r="H335" s="8"/>
      <c r="I335" s="8"/>
      <c r="J335" s="8"/>
      <c r="K335" s="8"/>
      <c r="L335" s="9"/>
      <c r="M335" s="9"/>
      <c r="N335" s="424"/>
      <c r="O335" s="424"/>
      <c r="P335" s="424"/>
      <c r="Q335" s="424"/>
      <c r="R335" s="424"/>
      <c r="S335" s="424"/>
      <c r="T335" s="424"/>
      <c r="U335" s="424"/>
      <c r="V335" s="424"/>
      <c r="W335" s="77"/>
      <c r="X335" s="77"/>
      <c r="Y335" s="77"/>
      <c r="Z335" s="77"/>
    </row>
    <row r="336" ht="16.5" customHeight="1">
      <c r="A336" s="31" t="s">
        <v>9892</v>
      </c>
      <c r="B336" s="31" t="s">
        <v>9912</v>
      </c>
      <c r="C336" s="8"/>
      <c r="D336" s="8"/>
      <c r="E336" s="8"/>
      <c r="F336" s="8"/>
      <c r="G336" s="8"/>
      <c r="H336" s="8"/>
      <c r="I336" s="8"/>
      <c r="J336" s="8"/>
      <c r="K336" s="8"/>
      <c r="L336" s="9"/>
      <c r="M336" s="9"/>
      <c r="N336" s="424"/>
      <c r="O336" s="424"/>
      <c r="P336" s="424"/>
      <c r="Q336" s="424"/>
      <c r="R336" s="424"/>
      <c r="S336" s="424"/>
      <c r="T336" s="424"/>
      <c r="U336" s="424"/>
      <c r="V336" s="424"/>
      <c r="W336" s="77"/>
      <c r="X336" s="77"/>
      <c r="Y336" s="77"/>
      <c r="Z336" s="77"/>
    </row>
    <row r="337" ht="16.5" customHeight="1">
      <c r="A337" s="31" t="s">
        <v>9814</v>
      </c>
      <c r="B337" s="31" t="s">
        <v>9913</v>
      </c>
      <c r="L337" s="77"/>
      <c r="M337" s="77"/>
      <c r="N337" s="424"/>
      <c r="O337" s="424"/>
      <c r="P337" s="424"/>
      <c r="Q337" s="424"/>
      <c r="R337" s="424"/>
      <c r="S337" s="424"/>
      <c r="T337" s="424"/>
      <c r="U337" s="424"/>
      <c r="V337" s="424"/>
      <c r="W337" s="77"/>
      <c r="X337" s="77"/>
      <c r="Y337" s="77"/>
      <c r="Z337" s="77"/>
    </row>
    <row r="338" ht="16.5" customHeight="1">
      <c r="A338" s="31" t="s">
        <v>2482</v>
      </c>
      <c r="B338" s="31" t="s">
        <v>9914</v>
      </c>
      <c r="L338" s="77"/>
      <c r="M338" s="77"/>
      <c r="N338" s="424"/>
      <c r="O338" s="424"/>
      <c r="P338" s="424"/>
      <c r="Q338" s="424"/>
      <c r="R338" s="424"/>
      <c r="S338" s="424"/>
      <c r="T338" s="424"/>
      <c r="U338" s="424"/>
      <c r="V338" s="424"/>
      <c r="W338" s="77"/>
      <c r="X338" s="77"/>
      <c r="Y338" s="77"/>
      <c r="Z338" s="77"/>
    </row>
    <row r="339" ht="16.5" customHeight="1">
      <c r="A339" s="31" t="s">
        <v>9817</v>
      </c>
      <c r="B339" s="31" t="s">
        <v>9915</v>
      </c>
      <c r="L339" s="77"/>
      <c r="M339" s="77"/>
      <c r="N339" s="424"/>
      <c r="O339" s="424"/>
      <c r="P339" s="424"/>
      <c r="Q339" s="424"/>
      <c r="R339" s="424"/>
      <c r="S339" s="424"/>
      <c r="T339" s="424"/>
      <c r="U339" s="424"/>
      <c r="V339" s="424"/>
      <c r="W339" s="77"/>
      <c r="X339" s="77"/>
      <c r="Y339" s="77"/>
      <c r="Z339" s="77"/>
    </row>
    <row r="340" ht="16.5" customHeight="1">
      <c r="A340" s="31" t="s">
        <v>9819</v>
      </c>
      <c r="B340" s="31" t="s">
        <v>9916</v>
      </c>
      <c r="L340" s="77"/>
      <c r="M340" s="77"/>
      <c r="N340" s="424"/>
      <c r="O340" s="424"/>
      <c r="P340" s="424"/>
      <c r="Q340" s="424"/>
      <c r="R340" s="424"/>
      <c r="S340" s="424"/>
      <c r="T340" s="424"/>
      <c r="U340" s="424"/>
      <c r="V340" s="424"/>
      <c r="W340" s="77"/>
      <c r="X340" s="77"/>
      <c r="Y340" s="77"/>
      <c r="Z340" s="77"/>
    </row>
    <row r="341" ht="16.5" customHeight="1">
      <c r="A341" s="31" t="s">
        <v>9821</v>
      </c>
      <c r="B341" s="31" t="s">
        <v>9917</v>
      </c>
      <c r="L341" s="77"/>
      <c r="M341" s="77"/>
      <c r="N341" s="424"/>
      <c r="O341" s="424"/>
      <c r="P341" s="424"/>
      <c r="Q341" s="424"/>
      <c r="R341" s="424"/>
      <c r="S341" s="424"/>
      <c r="T341" s="424"/>
      <c r="U341" s="424"/>
      <c r="V341" s="424"/>
      <c r="W341" s="77"/>
      <c r="X341" s="77"/>
      <c r="Y341" s="77"/>
      <c r="Z341" s="77"/>
    </row>
    <row r="342" ht="16.5" customHeight="1">
      <c r="A342" s="31" t="s">
        <v>9918</v>
      </c>
      <c r="B342" s="31" t="s">
        <v>9919</v>
      </c>
      <c r="L342" s="77"/>
      <c r="M342" s="77"/>
      <c r="N342" s="424"/>
      <c r="O342" s="424"/>
      <c r="P342" s="424"/>
      <c r="Q342" s="424"/>
      <c r="R342" s="424"/>
      <c r="S342" s="424"/>
      <c r="T342" s="424"/>
      <c r="U342" s="424"/>
      <c r="V342" s="424"/>
      <c r="W342" s="77"/>
      <c r="X342" s="77"/>
      <c r="Y342" s="77"/>
      <c r="Z342" s="77"/>
    </row>
    <row r="343" ht="16.5" customHeight="1">
      <c r="A343" s="31" t="s">
        <v>9920</v>
      </c>
      <c r="B343" s="31" t="s">
        <v>9921</v>
      </c>
      <c r="L343" s="77"/>
      <c r="M343" s="77"/>
      <c r="N343" s="424"/>
      <c r="O343" s="424"/>
      <c r="P343" s="424"/>
      <c r="Q343" s="424"/>
      <c r="R343" s="424"/>
      <c r="S343" s="424"/>
      <c r="T343" s="424"/>
      <c r="U343" s="424"/>
      <c r="V343" s="424"/>
      <c r="W343" s="77"/>
      <c r="X343" s="77"/>
      <c r="Y343" s="77"/>
      <c r="Z343" s="77"/>
    </row>
    <row r="344" ht="16.5" customHeight="1">
      <c r="A344" s="31" t="s">
        <v>9905</v>
      </c>
      <c r="B344" s="31" t="s">
        <v>9884</v>
      </c>
      <c r="L344" s="77"/>
      <c r="M344" s="77"/>
      <c r="N344" s="424"/>
      <c r="O344" s="424"/>
      <c r="P344" s="424"/>
      <c r="Q344" s="424"/>
      <c r="R344" s="424"/>
      <c r="S344" s="424"/>
      <c r="T344" s="424"/>
      <c r="U344" s="424"/>
      <c r="V344" s="424"/>
      <c r="W344" s="77"/>
      <c r="X344" s="77"/>
      <c r="Y344" s="77"/>
      <c r="Z344" s="77"/>
    </row>
    <row r="345" ht="16.5" customHeight="1">
      <c r="A345" s="31" t="s">
        <v>9828</v>
      </c>
      <c r="B345" s="31" t="s">
        <v>9922</v>
      </c>
      <c r="L345" s="77"/>
      <c r="M345" s="77"/>
      <c r="N345" s="424"/>
      <c r="O345" s="424"/>
      <c r="P345" s="424"/>
      <c r="Q345" s="424"/>
      <c r="R345" s="424"/>
      <c r="S345" s="424"/>
      <c r="T345" s="424"/>
      <c r="U345" s="424"/>
      <c r="V345" s="424"/>
      <c r="W345" s="77"/>
      <c r="X345" s="77"/>
      <c r="Y345" s="77"/>
      <c r="Z345" s="77"/>
    </row>
    <row r="346" ht="16.5" customHeight="1">
      <c r="A346" s="423" t="s">
        <v>9923</v>
      </c>
      <c r="L346" s="77"/>
      <c r="M346" s="77"/>
      <c r="N346" s="424"/>
      <c r="O346" s="424"/>
      <c r="P346" s="424"/>
      <c r="Q346" s="424"/>
      <c r="R346" s="424"/>
      <c r="S346" s="424"/>
      <c r="T346" s="424"/>
      <c r="U346" s="424"/>
      <c r="V346" s="424"/>
      <c r="W346" s="77"/>
      <c r="X346" s="77"/>
      <c r="Y346" s="77"/>
      <c r="Z346" s="77"/>
    </row>
    <row r="347" ht="16.5" customHeight="1">
      <c r="A347" s="425" t="s">
        <v>9415</v>
      </c>
      <c r="B347" s="425" t="s">
        <v>9532</v>
      </c>
      <c r="C347" s="426" t="s">
        <v>9363</v>
      </c>
      <c r="L347" s="77"/>
      <c r="M347" s="77"/>
      <c r="N347" s="424"/>
      <c r="O347" s="424"/>
      <c r="P347" s="424"/>
      <c r="Q347" s="424"/>
      <c r="R347" s="424"/>
      <c r="S347" s="424"/>
      <c r="T347" s="424"/>
      <c r="U347" s="424"/>
      <c r="V347" s="424"/>
      <c r="W347" s="77"/>
      <c r="X347" s="77"/>
      <c r="Y347" s="77"/>
      <c r="Z347" s="77"/>
    </row>
    <row r="348" ht="16.5" customHeight="1">
      <c r="A348" s="428" t="s">
        <v>2867</v>
      </c>
      <c r="B348" s="428" t="s">
        <v>9537</v>
      </c>
      <c r="C348" s="427" t="s">
        <v>9365</v>
      </c>
      <c r="D348" s="427" t="s">
        <v>8952</v>
      </c>
      <c r="E348" s="427" t="s">
        <v>4702</v>
      </c>
      <c r="F348" s="427" t="s">
        <v>4703</v>
      </c>
      <c r="G348" s="427" t="s">
        <v>4320</v>
      </c>
      <c r="H348" s="427" t="s">
        <v>436</v>
      </c>
      <c r="I348" s="427" t="s">
        <v>4704</v>
      </c>
      <c r="J348" s="427" t="s">
        <v>135</v>
      </c>
      <c r="K348" s="427" t="s">
        <v>128</v>
      </c>
      <c r="L348" s="77"/>
      <c r="M348" s="77"/>
      <c r="N348" s="424"/>
      <c r="O348" s="424"/>
      <c r="P348" s="424"/>
      <c r="Q348" s="424"/>
      <c r="R348" s="424"/>
      <c r="S348" s="424"/>
      <c r="T348" s="424"/>
      <c r="U348" s="424"/>
      <c r="V348" s="424"/>
      <c r="W348" s="77"/>
      <c r="X348" s="77"/>
      <c r="Y348" s="77"/>
      <c r="Z348" s="77"/>
    </row>
    <row r="349" ht="16.5" customHeight="1">
      <c r="A349" s="429" t="s">
        <v>9773</v>
      </c>
      <c r="B349" s="429" t="s">
        <v>3866</v>
      </c>
      <c r="C349" s="430" t="s">
        <v>9441</v>
      </c>
      <c r="D349" s="430" t="s">
        <v>9109</v>
      </c>
      <c r="E349" s="430" t="s">
        <v>9304</v>
      </c>
      <c r="F349" s="430" t="s">
        <v>9924</v>
      </c>
      <c r="G349" s="430" t="s">
        <v>105</v>
      </c>
      <c r="H349" s="430" t="s">
        <v>9925</v>
      </c>
      <c r="I349" s="430" t="s">
        <v>8055</v>
      </c>
      <c r="J349" s="430" t="s">
        <v>8055</v>
      </c>
      <c r="K349" s="430" t="s">
        <v>8055</v>
      </c>
      <c r="L349" s="77"/>
      <c r="M349" s="77"/>
      <c r="N349" s="424"/>
      <c r="O349" s="424"/>
      <c r="P349" s="424"/>
      <c r="Q349" s="424"/>
      <c r="R349" s="424"/>
      <c r="S349" s="424"/>
      <c r="T349" s="424"/>
      <c r="U349" s="424"/>
      <c r="V349" s="424"/>
      <c r="W349" s="77"/>
      <c r="X349" s="77"/>
      <c r="Y349" s="77"/>
      <c r="Z349" s="77"/>
    </row>
    <row r="350" ht="16.5" customHeight="1">
      <c r="A350" s="429" t="s">
        <v>9777</v>
      </c>
      <c r="B350" s="429" t="s">
        <v>3871</v>
      </c>
      <c r="C350" s="108" t="s">
        <v>9839</v>
      </c>
      <c r="L350" s="77"/>
      <c r="M350" s="77"/>
      <c r="N350" s="424"/>
      <c r="O350" s="424"/>
      <c r="P350" s="424"/>
      <c r="Q350" s="424"/>
      <c r="R350" s="424"/>
      <c r="S350" s="424"/>
      <c r="T350" s="424"/>
      <c r="U350" s="424"/>
      <c r="V350" s="424"/>
      <c r="W350" s="77"/>
      <c r="X350" s="77"/>
      <c r="Y350" s="77"/>
      <c r="Z350" s="77"/>
    </row>
    <row r="351" ht="16.5" customHeight="1">
      <c r="A351" s="429" t="s">
        <v>9780</v>
      </c>
      <c r="B351" s="429" t="s">
        <v>3877</v>
      </c>
      <c r="C351" s="430"/>
      <c r="D351" s="430"/>
      <c r="E351" s="430"/>
      <c r="F351" s="430"/>
      <c r="G351" s="430"/>
      <c r="H351" s="430"/>
      <c r="I351" s="430"/>
      <c r="J351" s="430"/>
      <c r="K351" s="430"/>
      <c r="L351" s="77"/>
      <c r="M351" s="77"/>
      <c r="N351" s="424"/>
      <c r="O351" s="424"/>
      <c r="P351" s="424"/>
      <c r="Q351" s="424"/>
      <c r="R351" s="424"/>
      <c r="S351" s="424"/>
      <c r="T351" s="424"/>
      <c r="U351" s="424"/>
      <c r="V351" s="424"/>
      <c r="W351" s="77"/>
      <c r="X351" s="77"/>
      <c r="Y351" s="77"/>
      <c r="Z351" s="77"/>
    </row>
    <row r="352" ht="16.5" customHeight="1">
      <c r="A352" s="429" t="s">
        <v>9782</v>
      </c>
      <c r="B352" s="429" t="s">
        <v>9838</v>
      </c>
      <c r="C352" s="430"/>
      <c r="D352" s="430"/>
      <c r="E352" s="430"/>
      <c r="F352" s="430"/>
      <c r="G352" s="430"/>
      <c r="H352" s="430"/>
      <c r="I352" s="430"/>
      <c r="J352" s="430"/>
      <c r="K352" s="430"/>
      <c r="L352" s="77"/>
      <c r="M352" s="77"/>
      <c r="N352" s="424"/>
      <c r="O352" s="424"/>
      <c r="P352" s="424"/>
      <c r="Q352" s="424"/>
      <c r="R352" s="424"/>
      <c r="S352" s="424"/>
      <c r="T352" s="424"/>
      <c r="U352" s="424"/>
      <c r="V352" s="424"/>
      <c r="W352" s="77"/>
      <c r="X352" s="77"/>
      <c r="Y352" s="77"/>
      <c r="Z352" s="77"/>
    </row>
    <row r="353" ht="16.5" customHeight="1">
      <c r="A353" s="429" t="s">
        <v>9511</v>
      </c>
      <c r="B353" s="429" t="s">
        <v>3883</v>
      </c>
      <c r="C353" s="430"/>
      <c r="D353" s="430"/>
      <c r="E353" s="430"/>
      <c r="F353" s="430"/>
      <c r="G353" s="430"/>
      <c r="H353" s="430"/>
      <c r="I353" s="430"/>
      <c r="J353" s="430"/>
      <c r="K353" s="430"/>
      <c r="L353" s="77"/>
      <c r="M353" s="77"/>
      <c r="N353" s="424"/>
      <c r="O353" s="424"/>
      <c r="P353" s="424"/>
      <c r="Q353" s="424"/>
      <c r="R353" s="424"/>
      <c r="S353" s="424"/>
      <c r="T353" s="424"/>
      <c r="U353" s="424"/>
      <c r="V353" s="424"/>
      <c r="W353" s="77"/>
      <c r="X353" s="77"/>
      <c r="Y353" s="77"/>
      <c r="Z353" s="77"/>
    </row>
    <row r="354" ht="16.5" customHeight="1">
      <c r="A354" s="429" t="s">
        <v>9513</v>
      </c>
      <c r="B354" s="429" t="s">
        <v>9719</v>
      </c>
      <c r="C354" s="430"/>
      <c r="D354" s="430"/>
      <c r="E354" s="430"/>
      <c r="F354" s="430"/>
      <c r="G354" s="430"/>
      <c r="H354" s="430"/>
      <c r="I354" s="430"/>
      <c r="J354" s="430"/>
      <c r="K354" s="430"/>
      <c r="L354" s="77"/>
      <c r="M354" s="77"/>
      <c r="N354" s="424"/>
      <c r="O354" s="424"/>
      <c r="P354" s="424"/>
      <c r="Q354" s="424"/>
      <c r="R354" s="424"/>
      <c r="S354" s="424"/>
      <c r="T354" s="424"/>
      <c r="U354" s="424"/>
      <c r="V354" s="424"/>
      <c r="W354" s="77"/>
      <c r="X354" s="77"/>
      <c r="Y354" s="77"/>
      <c r="Z354" s="77"/>
    </row>
    <row r="355" ht="16.5" customHeight="1">
      <c r="A355" s="429" t="s">
        <v>9514</v>
      </c>
      <c r="B355" s="429" t="s">
        <v>9593</v>
      </c>
      <c r="C355" s="430"/>
      <c r="D355" s="430"/>
      <c r="E355" s="430"/>
      <c r="F355" s="430"/>
      <c r="G355" s="430"/>
      <c r="H355" s="430"/>
      <c r="I355" s="430"/>
      <c r="J355" s="430"/>
      <c r="K355" s="430"/>
      <c r="L355" s="77"/>
      <c r="M355" s="77"/>
      <c r="N355" s="424"/>
      <c r="O355" s="424"/>
      <c r="P355" s="424"/>
      <c r="Q355" s="424"/>
      <c r="R355" s="424"/>
      <c r="S355" s="424"/>
      <c r="T355" s="424"/>
      <c r="U355" s="424"/>
      <c r="V355" s="424"/>
      <c r="W355" s="77"/>
      <c r="X355" s="77"/>
      <c r="Y355" s="77"/>
      <c r="Z355" s="77"/>
    </row>
    <row r="356" ht="16.5" customHeight="1">
      <c r="A356" s="429" t="s">
        <v>9516</v>
      </c>
      <c r="B356" s="429" t="s">
        <v>9844</v>
      </c>
      <c r="C356" s="430"/>
      <c r="D356" s="430"/>
      <c r="E356" s="430"/>
      <c r="F356" s="430"/>
      <c r="G356" s="430"/>
      <c r="H356" s="430"/>
      <c r="I356" s="430"/>
      <c r="J356" s="430"/>
      <c r="K356" s="430"/>
      <c r="L356" s="77"/>
      <c r="M356" s="77"/>
      <c r="N356" s="424"/>
      <c r="O356" s="424"/>
      <c r="P356" s="424"/>
      <c r="Q356" s="424"/>
      <c r="R356" s="424"/>
      <c r="S356" s="424"/>
      <c r="T356" s="424"/>
      <c r="U356" s="424"/>
      <c r="V356" s="424"/>
      <c r="W356" s="77"/>
      <c r="X356" s="77"/>
      <c r="Y356" s="77"/>
      <c r="Z356" s="77"/>
    </row>
    <row r="357" ht="16.5" customHeight="1">
      <c r="A357" s="429" t="s">
        <v>9926</v>
      </c>
      <c r="B357" s="429" t="s">
        <v>9846</v>
      </c>
      <c r="C357" s="430"/>
      <c r="D357" s="430"/>
      <c r="E357" s="430"/>
      <c r="F357" s="430"/>
      <c r="G357" s="430"/>
      <c r="H357" s="430"/>
      <c r="I357" s="430"/>
      <c r="J357" s="430"/>
      <c r="K357" s="430"/>
      <c r="L357" s="77"/>
      <c r="M357" s="77"/>
      <c r="N357" s="424"/>
      <c r="O357" s="424"/>
      <c r="P357" s="424"/>
      <c r="Q357" s="424"/>
      <c r="R357" s="424"/>
      <c r="S357" s="424"/>
      <c r="T357" s="424"/>
      <c r="U357" s="424"/>
      <c r="V357" s="424"/>
      <c r="W357" s="77"/>
      <c r="X357" s="77"/>
      <c r="Y357" s="77"/>
      <c r="Z357" s="77"/>
    </row>
    <row r="358" ht="16.5" customHeight="1">
      <c r="A358" s="429" t="s">
        <v>9520</v>
      </c>
      <c r="B358" s="429" t="s">
        <v>9616</v>
      </c>
      <c r="C358" s="430"/>
      <c r="D358" s="430"/>
      <c r="E358" s="430"/>
      <c r="F358" s="430"/>
      <c r="G358" s="430"/>
      <c r="H358" s="430"/>
      <c r="I358" s="430"/>
      <c r="J358" s="430"/>
      <c r="K358" s="430"/>
      <c r="L358" s="77"/>
      <c r="M358" s="77"/>
      <c r="N358" s="424"/>
      <c r="O358" s="424"/>
      <c r="P358" s="424"/>
      <c r="Q358" s="424"/>
      <c r="R358" s="424"/>
      <c r="S358" s="424"/>
      <c r="T358" s="424"/>
      <c r="U358" s="424"/>
      <c r="V358" s="424"/>
      <c r="W358" s="77"/>
      <c r="X358" s="77"/>
      <c r="Y358" s="77"/>
      <c r="Z358" s="77"/>
    </row>
    <row r="359" ht="16.5" customHeight="1">
      <c r="A359" s="429" t="s">
        <v>9435</v>
      </c>
      <c r="B359" s="429" t="s">
        <v>9623</v>
      </c>
      <c r="C359" s="430"/>
      <c r="D359" s="430"/>
      <c r="E359" s="430"/>
      <c r="F359" s="430"/>
      <c r="G359" s="430"/>
      <c r="H359" s="430"/>
      <c r="I359" s="430"/>
      <c r="J359" s="430"/>
      <c r="K359" s="430"/>
      <c r="L359" s="77"/>
      <c r="M359" s="77"/>
      <c r="N359" s="424"/>
      <c r="O359" s="424"/>
      <c r="P359" s="424"/>
      <c r="Q359" s="424"/>
      <c r="R359" s="424"/>
      <c r="S359" s="424"/>
      <c r="T359" s="424"/>
      <c r="U359" s="424"/>
      <c r="V359" s="424"/>
      <c r="W359" s="77"/>
      <c r="X359" s="77"/>
      <c r="Y359" s="77"/>
      <c r="Z359" s="77"/>
    </row>
    <row r="360" ht="16.5" customHeight="1">
      <c r="A360" s="429" t="s">
        <v>9523</v>
      </c>
      <c r="B360" s="429" t="s">
        <v>9630</v>
      </c>
      <c r="C360" s="430"/>
      <c r="D360" s="430"/>
      <c r="E360" s="430"/>
      <c r="F360" s="430"/>
      <c r="G360" s="430"/>
      <c r="H360" s="430"/>
      <c r="I360" s="430"/>
      <c r="J360" s="430"/>
      <c r="K360" s="430"/>
      <c r="L360" s="77"/>
      <c r="M360" s="77"/>
      <c r="N360" s="424"/>
      <c r="O360" s="424"/>
      <c r="P360" s="424"/>
      <c r="Q360" s="424"/>
      <c r="R360" s="424"/>
      <c r="S360" s="424"/>
      <c r="T360" s="424"/>
      <c r="U360" s="424"/>
      <c r="V360" s="424"/>
      <c r="W360" s="77"/>
      <c r="X360" s="77"/>
      <c r="Y360" s="77"/>
      <c r="Z360" s="77"/>
    </row>
    <row r="361" ht="16.5" customHeight="1">
      <c r="A361" s="429" t="s">
        <v>9525</v>
      </c>
      <c r="B361" s="429" t="s">
        <v>9635</v>
      </c>
      <c r="C361" s="430"/>
      <c r="D361" s="430"/>
      <c r="E361" s="430"/>
      <c r="F361" s="430"/>
      <c r="G361" s="430"/>
      <c r="H361" s="430"/>
      <c r="I361" s="430"/>
      <c r="J361" s="430"/>
      <c r="K361" s="430"/>
      <c r="L361" s="77"/>
      <c r="M361" s="77"/>
      <c r="N361" s="424"/>
      <c r="O361" s="424"/>
      <c r="P361" s="424"/>
      <c r="Q361" s="424"/>
      <c r="R361" s="424"/>
      <c r="S361" s="424"/>
      <c r="T361" s="424"/>
      <c r="U361" s="424"/>
      <c r="V361" s="424"/>
      <c r="W361" s="77"/>
      <c r="X361" s="77"/>
      <c r="Y361" s="77"/>
      <c r="Z361" s="77"/>
    </row>
    <row r="362" ht="16.5" customHeight="1">
      <c r="A362" s="429" t="s">
        <v>9527</v>
      </c>
      <c r="B362" s="429" t="s">
        <v>9850</v>
      </c>
      <c r="C362" s="430"/>
      <c r="D362" s="430"/>
      <c r="E362" s="430"/>
      <c r="F362" s="430"/>
      <c r="G362" s="430"/>
      <c r="H362" s="430"/>
      <c r="I362" s="430"/>
      <c r="J362" s="430"/>
      <c r="K362" s="430"/>
      <c r="L362" s="77"/>
      <c r="M362" s="77"/>
      <c r="N362" s="424"/>
      <c r="O362" s="424"/>
      <c r="P362" s="424"/>
      <c r="Q362" s="424"/>
      <c r="R362" s="424"/>
      <c r="S362" s="424"/>
      <c r="T362" s="424"/>
      <c r="U362" s="424"/>
      <c r="V362" s="424"/>
      <c r="W362" s="77"/>
      <c r="X362" s="77"/>
      <c r="Y362" s="77"/>
      <c r="Z362" s="77"/>
    </row>
    <row r="363" ht="16.5" customHeight="1">
      <c r="A363" s="423" t="s">
        <v>9927</v>
      </c>
      <c r="N363" s="431"/>
      <c r="O363" s="431"/>
      <c r="P363" s="431"/>
      <c r="Q363" s="431"/>
      <c r="R363" s="431"/>
      <c r="S363" s="431"/>
      <c r="T363" s="431"/>
      <c r="U363" s="431"/>
      <c r="V363" s="431"/>
      <c r="W363" s="77"/>
      <c r="X363" s="77"/>
      <c r="Y363" s="77"/>
      <c r="Z363" s="77"/>
    </row>
    <row r="364" ht="16.5" customHeight="1">
      <c r="A364" s="425" t="s">
        <v>9928</v>
      </c>
      <c r="B364" s="425" t="s">
        <v>9929</v>
      </c>
      <c r="C364" s="426" t="s">
        <v>9363</v>
      </c>
      <c r="N364" s="431"/>
      <c r="O364" s="431"/>
      <c r="P364" s="431"/>
      <c r="Q364" s="431"/>
      <c r="R364" s="431"/>
      <c r="S364" s="431"/>
      <c r="T364" s="431"/>
      <c r="U364" s="431"/>
      <c r="V364" s="431"/>
      <c r="W364" s="77"/>
      <c r="X364" s="77"/>
      <c r="Y364" s="77"/>
      <c r="Z364" s="77"/>
    </row>
    <row r="365" ht="16.5" customHeight="1">
      <c r="A365" s="428" t="s">
        <v>1787</v>
      </c>
      <c r="B365" s="428" t="s">
        <v>9930</v>
      </c>
      <c r="C365" s="427" t="s">
        <v>9365</v>
      </c>
      <c r="D365" s="427" t="s">
        <v>8952</v>
      </c>
      <c r="E365" s="427" t="s">
        <v>4702</v>
      </c>
      <c r="F365" s="427" t="s">
        <v>4703</v>
      </c>
      <c r="G365" s="427" t="s">
        <v>4320</v>
      </c>
      <c r="H365" s="427" t="s">
        <v>436</v>
      </c>
      <c r="I365" s="427" t="s">
        <v>4704</v>
      </c>
      <c r="J365" s="427" t="s">
        <v>135</v>
      </c>
      <c r="K365" s="427" t="s">
        <v>128</v>
      </c>
      <c r="N365" s="431"/>
      <c r="O365" s="431"/>
      <c r="P365" s="431"/>
      <c r="Q365" s="431"/>
      <c r="R365" s="431"/>
      <c r="S365" s="431"/>
      <c r="T365" s="431"/>
      <c r="U365" s="431"/>
      <c r="V365" s="431"/>
      <c r="W365" s="77"/>
      <c r="X365" s="77"/>
      <c r="Y365" s="77"/>
      <c r="Z365" s="77"/>
    </row>
    <row r="366" ht="16.5" customHeight="1">
      <c r="A366" s="31" t="s">
        <v>1228</v>
      </c>
      <c r="B366" s="31" t="s">
        <v>9931</v>
      </c>
      <c r="C366" s="4" t="s">
        <v>9441</v>
      </c>
      <c r="D366" s="4" t="s">
        <v>9181</v>
      </c>
      <c r="E366" s="4" t="s">
        <v>8928</v>
      </c>
      <c r="F366" s="4" t="s">
        <v>6264</v>
      </c>
      <c r="G366" s="4" t="s">
        <v>5</v>
      </c>
      <c r="H366" s="4" t="s">
        <v>9932</v>
      </c>
      <c r="I366" s="4" t="s">
        <v>9933</v>
      </c>
      <c r="J366" s="4" t="s">
        <v>9934</v>
      </c>
      <c r="K366" s="4" t="s">
        <v>9935</v>
      </c>
      <c r="N366" s="431"/>
      <c r="O366" s="431"/>
      <c r="P366" s="431"/>
      <c r="Q366" s="431"/>
      <c r="R366" s="431"/>
      <c r="S366" s="431"/>
      <c r="T366" s="431"/>
      <c r="U366" s="431"/>
      <c r="V366" s="431"/>
      <c r="W366" s="77"/>
      <c r="X366" s="77"/>
      <c r="Y366" s="77"/>
      <c r="Z366" s="77"/>
    </row>
    <row r="367" ht="16.5" customHeight="1">
      <c r="A367" s="31" t="s">
        <v>9936</v>
      </c>
      <c r="B367" s="31" t="s">
        <v>1459</v>
      </c>
      <c r="C367" s="4" t="s">
        <v>9466</v>
      </c>
      <c r="D367" s="4" t="s">
        <v>9181</v>
      </c>
      <c r="E367" s="4" t="s">
        <v>9909</v>
      </c>
      <c r="F367" s="4" t="s">
        <v>6264</v>
      </c>
      <c r="G367" s="4" t="s">
        <v>5</v>
      </c>
      <c r="H367" s="4" t="s">
        <v>9937</v>
      </c>
      <c r="I367" s="4" t="s">
        <v>9935</v>
      </c>
      <c r="J367" s="4" t="s">
        <v>9938</v>
      </c>
      <c r="K367" s="4" t="s">
        <v>9935</v>
      </c>
      <c r="N367" s="431"/>
      <c r="O367" s="431"/>
      <c r="P367" s="431"/>
      <c r="Q367" s="431"/>
      <c r="R367" s="431"/>
      <c r="S367" s="431"/>
      <c r="T367" s="431"/>
      <c r="U367" s="431"/>
      <c r="V367" s="431"/>
      <c r="W367" s="77"/>
      <c r="X367" s="77"/>
      <c r="Y367" s="77"/>
      <c r="Z367" s="77"/>
    </row>
    <row r="368" ht="16.5" customHeight="1">
      <c r="A368" s="31" t="s">
        <v>1256</v>
      </c>
      <c r="B368" s="31" t="s">
        <v>9939</v>
      </c>
      <c r="C368" s="4" t="s">
        <v>9472</v>
      </c>
      <c r="D368" s="4" t="s">
        <v>9181</v>
      </c>
      <c r="E368" s="4" t="s">
        <v>9304</v>
      </c>
      <c r="F368" s="4" t="s">
        <v>6264</v>
      </c>
      <c r="G368" s="4" t="s">
        <v>5</v>
      </c>
      <c r="H368" s="4" t="s">
        <v>9937</v>
      </c>
      <c r="I368" s="4" t="s">
        <v>9940</v>
      </c>
      <c r="J368" s="4" t="s">
        <v>9941</v>
      </c>
      <c r="K368" s="4" t="s">
        <v>9935</v>
      </c>
      <c r="N368" s="431"/>
      <c r="O368" s="431"/>
      <c r="P368" s="431"/>
      <c r="Q368" s="431"/>
      <c r="R368" s="431"/>
      <c r="S368" s="431"/>
      <c r="T368" s="431"/>
      <c r="U368" s="431"/>
      <c r="V368" s="431"/>
      <c r="W368" s="77"/>
      <c r="X368" s="77"/>
      <c r="Y368" s="77"/>
      <c r="Z368" s="77"/>
    </row>
    <row r="369" ht="16.5" customHeight="1">
      <c r="A369" s="31" t="s">
        <v>1046</v>
      </c>
      <c r="B369" s="31" t="s">
        <v>9942</v>
      </c>
      <c r="C369" s="108" t="s">
        <v>9943</v>
      </c>
      <c r="N369" s="431"/>
      <c r="O369" s="431"/>
      <c r="P369" s="431"/>
      <c r="Q369" s="431"/>
      <c r="R369" s="431"/>
      <c r="S369" s="431"/>
      <c r="T369" s="431"/>
      <c r="U369" s="431"/>
      <c r="V369" s="431"/>
      <c r="W369" s="77"/>
      <c r="X369" s="77"/>
      <c r="Y369" s="77"/>
      <c r="Z369" s="77"/>
    </row>
    <row r="370" ht="16.5" customHeight="1">
      <c r="A370" s="31" t="s">
        <v>9944</v>
      </c>
      <c r="B370" s="31" t="s">
        <v>5572</v>
      </c>
      <c r="C370" s="8"/>
      <c r="D370" s="8"/>
      <c r="E370" s="8"/>
      <c r="F370" s="8"/>
      <c r="G370" s="8"/>
      <c r="H370" s="8"/>
      <c r="I370" s="8"/>
      <c r="J370" s="8"/>
      <c r="K370" s="8"/>
      <c r="N370" s="431"/>
      <c r="O370" s="431"/>
      <c r="P370" s="431"/>
      <c r="Q370" s="431"/>
      <c r="R370" s="431"/>
      <c r="S370" s="431"/>
      <c r="T370" s="431"/>
      <c r="U370" s="431"/>
      <c r="V370" s="431"/>
      <c r="W370" s="77"/>
      <c r="X370" s="77"/>
      <c r="Y370" s="77"/>
      <c r="Z370" s="77"/>
    </row>
    <row r="371" ht="16.5" customHeight="1">
      <c r="A371" s="31" t="s">
        <v>9945</v>
      </c>
      <c r="B371" s="31" t="s">
        <v>9946</v>
      </c>
      <c r="K371" s="8"/>
      <c r="N371" s="431"/>
      <c r="O371" s="431"/>
      <c r="P371" s="431"/>
      <c r="Q371" s="431"/>
      <c r="R371" s="431"/>
      <c r="S371" s="431"/>
      <c r="T371" s="431"/>
      <c r="U371" s="431"/>
      <c r="V371" s="431"/>
      <c r="W371" s="77"/>
      <c r="X371" s="77"/>
      <c r="Y371" s="77"/>
      <c r="Z371" s="77"/>
    </row>
    <row r="372" ht="16.5" customHeight="1">
      <c r="A372" s="31" t="s">
        <v>9947</v>
      </c>
      <c r="B372" s="31" t="s">
        <v>9948</v>
      </c>
      <c r="N372" s="431"/>
      <c r="O372" s="431"/>
      <c r="P372" s="431"/>
      <c r="Q372" s="431"/>
      <c r="R372" s="431"/>
      <c r="S372" s="431"/>
      <c r="T372" s="431"/>
      <c r="U372" s="431"/>
      <c r="V372" s="431"/>
      <c r="W372" s="77"/>
      <c r="X372" s="77"/>
      <c r="Y372" s="77"/>
      <c r="Z372" s="77"/>
    </row>
    <row r="373" ht="16.5" customHeight="1">
      <c r="A373" s="423" t="s">
        <v>9949</v>
      </c>
      <c r="N373" s="431"/>
      <c r="O373" s="431"/>
      <c r="P373" s="431"/>
      <c r="Q373" s="431"/>
      <c r="R373" s="431"/>
      <c r="S373" s="431"/>
      <c r="T373" s="431"/>
      <c r="U373" s="431"/>
      <c r="V373" s="431"/>
      <c r="W373" s="77"/>
      <c r="X373" s="77"/>
      <c r="Y373" s="77"/>
      <c r="Z373" s="77"/>
    </row>
    <row r="374" ht="16.5" customHeight="1">
      <c r="A374" s="425" t="s">
        <v>9770</v>
      </c>
      <c r="B374" s="425" t="s">
        <v>9887</v>
      </c>
      <c r="C374" s="426" t="s">
        <v>9363</v>
      </c>
      <c r="N374" s="431"/>
      <c r="O374" s="431"/>
      <c r="P374" s="431"/>
      <c r="Q374" s="431"/>
      <c r="R374" s="431"/>
      <c r="S374" s="431"/>
      <c r="T374" s="431"/>
      <c r="U374" s="431"/>
      <c r="V374" s="431"/>
      <c r="W374" s="77"/>
      <c r="X374" s="77"/>
      <c r="Y374" s="77"/>
      <c r="Z374" s="77"/>
    </row>
    <row r="375" ht="16.5" customHeight="1">
      <c r="A375" s="428" t="s">
        <v>9771</v>
      </c>
      <c r="B375" s="428" t="s">
        <v>1787</v>
      </c>
      <c r="C375" s="427" t="s">
        <v>9365</v>
      </c>
      <c r="D375" s="427" t="s">
        <v>8952</v>
      </c>
      <c r="E375" s="427" t="s">
        <v>4702</v>
      </c>
      <c r="F375" s="427" t="s">
        <v>4703</v>
      </c>
      <c r="G375" s="427" t="s">
        <v>4320</v>
      </c>
      <c r="H375" s="427" t="s">
        <v>436</v>
      </c>
      <c r="I375" s="427" t="s">
        <v>4704</v>
      </c>
      <c r="J375" s="427" t="s">
        <v>135</v>
      </c>
      <c r="K375" s="427" t="s">
        <v>128</v>
      </c>
      <c r="N375" s="431"/>
      <c r="O375" s="431"/>
      <c r="P375" s="431"/>
      <c r="Q375" s="431"/>
      <c r="R375" s="431"/>
      <c r="S375" s="431"/>
      <c r="T375" s="431"/>
      <c r="U375" s="431"/>
      <c r="V375" s="431"/>
      <c r="W375" s="77"/>
      <c r="X375" s="77"/>
      <c r="Y375" s="77"/>
      <c r="Z375" s="77"/>
    </row>
    <row r="376" ht="16.5" customHeight="1">
      <c r="A376" s="428" t="s">
        <v>9772</v>
      </c>
      <c r="B376" s="31" t="s">
        <v>9888</v>
      </c>
      <c r="C376" s="4" t="s">
        <v>9441</v>
      </c>
      <c r="D376" s="4" t="s">
        <v>9109</v>
      </c>
      <c r="E376" s="4" t="s">
        <v>8928</v>
      </c>
      <c r="F376" s="4" t="s">
        <v>9774</v>
      </c>
      <c r="G376" s="4" t="s">
        <v>7</v>
      </c>
      <c r="H376" s="4" t="s">
        <v>9831</v>
      </c>
      <c r="I376" s="4" t="s">
        <v>9950</v>
      </c>
      <c r="J376" s="4" t="s">
        <v>9950</v>
      </c>
      <c r="K376" s="4" t="s">
        <v>8406</v>
      </c>
      <c r="L376" s="8"/>
      <c r="M376" s="8"/>
      <c r="N376" s="431"/>
      <c r="O376" s="431"/>
      <c r="P376" s="431"/>
      <c r="Q376" s="431"/>
      <c r="R376" s="431"/>
      <c r="S376" s="431"/>
      <c r="T376" s="431"/>
      <c r="U376" s="431"/>
      <c r="V376" s="431"/>
      <c r="W376" s="77"/>
      <c r="X376" s="77"/>
      <c r="Y376" s="77"/>
      <c r="Z376" s="77"/>
    </row>
    <row r="377" ht="16.5" customHeight="1">
      <c r="A377" s="428" t="s">
        <v>9776</v>
      </c>
      <c r="B377" s="31" t="s">
        <v>9890</v>
      </c>
      <c r="C377" s="4" t="s">
        <v>9466</v>
      </c>
      <c r="D377" s="4" t="s">
        <v>9109</v>
      </c>
      <c r="E377" s="4" t="s">
        <v>9909</v>
      </c>
      <c r="F377" s="4" t="s">
        <v>9774</v>
      </c>
      <c r="G377" s="4" t="s">
        <v>7</v>
      </c>
      <c r="H377" s="4" t="s">
        <v>6288</v>
      </c>
      <c r="I377" s="4" t="s">
        <v>9951</v>
      </c>
      <c r="J377" s="4" t="s">
        <v>9950</v>
      </c>
      <c r="K377" s="4" t="s">
        <v>9951</v>
      </c>
      <c r="L377" s="8"/>
      <c r="M377" s="8"/>
      <c r="N377" s="431"/>
      <c r="O377" s="431"/>
      <c r="P377" s="431"/>
      <c r="Q377" s="431"/>
      <c r="R377" s="431"/>
      <c r="S377" s="431"/>
      <c r="T377" s="431"/>
      <c r="U377" s="431"/>
      <c r="V377" s="431"/>
      <c r="W377" s="77"/>
      <c r="X377" s="77"/>
      <c r="Y377" s="77"/>
      <c r="Z377" s="77"/>
    </row>
    <row r="378" ht="16.5" customHeight="1">
      <c r="A378" s="428" t="s">
        <v>9878</v>
      </c>
      <c r="B378" s="31" t="s">
        <v>9952</v>
      </c>
      <c r="C378" s="4" t="s">
        <v>9472</v>
      </c>
      <c r="D378" s="4" t="s">
        <v>9109</v>
      </c>
      <c r="E378" s="4" t="s">
        <v>9304</v>
      </c>
      <c r="F378" s="4" t="s">
        <v>9774</v>
      </c>
      <c r="G378" s="4" t="s">
        <v>16</v>
      </c>
      <c r="H378" s="4" t="s">
        <v>6288</v>
      </c>
      <c r="I378" s="4" t="s">
        <v>8406</v>
      </c>
      <c r="J378" s="4" t="s">
        <v>8828</v>
      </c>
      <c r="K378" s="4" t="s">
        <v>8406</v>
      </c>
      <c r="L378" s="8"/>
      <c r="M378" s="8"/>
      <c r="N378" s="431"/>
      <c r="O378" s="431"/>
      <c r="P378" s="431"/>
      <c r="Q378" s="431"/>
      <c r="R378" s="431"/>
      <c r="S378" s="431"/>
      <c r="T378" s="431"/>
      <c r="U378" s="431"/>
      <c r="V378" s="431"/>
      <c r="W378" s="77"/>
      <c r="X378" s="77"/>
      <c r="Y378" s="77"/>
      <c r="Z378" s="77"/>
    </row>
    <row r="379" ht="16.5" customHeight="1">
      <c r="A379" s="428" t="s">
        <v>3794</v>
      </c>
      <c r="B379" s="31" t="s">
        <v>5212</v>
      </c>
      <c r="C379" s="108" t="s">
        <v>9953</v>
      </c>
      <c r="L379" s="8"/>
      <c r="M379" s="8"/>
      <c r="N379" s="431"/>
      <c r="O379" s="431"/>
      <c r="P379" s="431"/>
      <c r="Q379" s="431"/>
      <c r="R379" s="431"/>
      <c r="S379" s="431"/>
      <c r="T379" s="431"/>
      <c r="U379" s="431"/>
      <c r="V379" s="431"/>
      <c r="W379" s="77"/>
      <c r="X379" s="77"/>
      <c r="Y379" s="77"/>
      <c r="Z379" s="77"/>
    </row>
    <row r="380" ht="16.5" customHeight="1">
      <c r="A380" s="428" t="s">
        <v>8147</v>
      </c>
      <c r="B380" s="31" t="s">
        <v>1737</v>
      </c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431"/>
      <c r="O380" s="431"/>
      <c r="P380" s="431"/>
      <c r="Q380" s="431"/>
      <c r="R380" s="431"/>
      <c r="S380" s="431"/>
      <c r="T380" s="431"/>
      <c r="U380" s="431"/>
      <c r="V380" s="431"/>
      <c r="W380" s="77"/>
      <c r="X380" s="77"/>
      <c r="Y380" s="77"/>
      <c r="Z380" s="77"/>
    </row>
    <row r="381" ht="16.5" customHeight="1">
      <c r="A381" s="428" t="s">
        <v>9954</v>
      </c>
      <c r="B381" s="31" t="s">
        <v>9955</v>
      </c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431"/>
      <c r="O381" s="431"/>
      <c r="P381" s="431"/>
      <c r="Q381" s="431"/>
      <c r="R381" s="431"/>
      <c r="S381" s="431"/>
      <c r="T381" s="431"/>
      <c r="U381" s="431"/>
      <c r="V381" s="431"/>
      <c r="W381" s="77"/>
      <c r="X381" s="77"/>
      <c r="Y381" s="77"/>
      <c r="Z381" s="77"/>
    </row>
    <row r="382" ht="16.5" customHeight="1">
      <c r="A382" s="31" t="s">
        <v>9956</v>
      </c>
      <c r="B382" s="31" t="s">
        <v>9957</v>
      </c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431"/>
      <c r="O382" s="431"/>
      <c r="P382" s="431"/>
      <c r="Q382" s="431"/>
      <c r="R382" s="431"/>
      <c r="S382" s="431"/>
      <c r="T382" s="431"/>
      <c r="U382" s="431"/>
      <c r="V382" s="431"/>
      <c r="W382" s="77"/>
      <c r="X382" s="77"/>
      <c r="Y382" s="77"/>
      <c r="Z382" s="77"/>
    </row>
    <row r="383" ht="16.5" customHeight="1">
      <c r="A383" s="31" t="s">
        <v>9958</v>
      </c>
      <c r="B383" s="31" t="s">
        <v>9959</v>
      </c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431"/>
      <c r="O383" s="431"/>
      <c r="P383" s="431"/>
      <c r="Q383" s="431"/>
      <c r="R383" s="431"/>
      <c r="S383" s="431"/>
      <c r="T383" s="431"/>
      <c r="U383" s="431"/>
      <c r="V383" s="431"/>
      <c r="W383" s="77"/>
      <c r="X383" s="77"/>
      <c r="Y383" s="77"/>
      <c r="Z383" s="77"/>
    </row>
    <row r="384" ht="16.5" customHeight="1">
      <c r="A384" s="31" t="s">
        <v>5235</v>
      </c>
      <c r="B384" s="31" t="s">
        <v>9960</v>
      </c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431"/>
      <c r="O384" s="431"/>
      <c r="P384" s="431"/>
      <c r="Q384" s="431"/>
      <c r="R384" s="431"/>
      <c r="S384" s="431"/>
      <c r="T384" s="431"/>
      <c r="U384" s="431"/>
      <c r="V384" s="431"/>
      <c r="W384" s="77"/>
      <c r="X384" s="77"/>
      <c r="Y384" s="77"/>
      <c r="Z384" s="77"/>
    </row>
    <row r="385" ht="16.5" customHeight="1">
      <c r="A385" s="31" t="s">
        <v>9881</v>
      </c>
      <c r="B385" s="31" t="s">
        <v>9961</v>
      </c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431"/>
      <c r="O385" s="431"/>
      <c r="P385" s="431"/>
      <c r="Q385" s="431"/>
      <c r="R385" s="431"/>
      <c r="S385" s="431"/>
      <c r="T385" s="431"/>
      <c r="U385" s="431"/>
      <c r="V385" s="431"/>
      <c r="W385" s="77"/>
      <c r="X385" s="77"/>
      <c r="Y385" s="77"/>
      <c r="Z385" s="77"/>
    </row>
    <row r="386" ht="16.5" customHeight="1">
      <c r="A386" s="31" t="s">
        <v>9962</v>
      </c>
      <c r="B386" s="31" t="s">
        <v>9963</v>
      </c>
      <c r="N386" s="431"/>
      <c r="O386" s="431"/>
      <c r="P386" s="431"/>
      <c r="Q386" s="431"/>
      <c r="R386" s="431"/>
      <c r="S386" s="431"/>
      <c r="T386" s="431"/>
      <c r="U386" s="431"/>
      <c r="V386" s="431"/>
      <c r="W386" s="77"/>
      <c r="X386" s="77"/>
      <c r="Y386" s="77"/>
      <c r="Z386" s="77"/>
    </row>
    <row r="387" ht="16.5" customHeight="1">
      <c r="A387" s="31" t="s">
        <v>9964</v>
      </c>
      <c r="B387" s="31" t="s">
        <v>9965</v>
      </c>
      <c r="N387" s="431"/>
      <c r="O387" s="431"/>
      <c r="P387" s="431"/>
      <c r="Q387" s="431"/>
      <c r="R387" s="431"/>
      <c r="S387" s="431"/>
      <c r="T387" s="431"/>
      <c r="U387" s="431"/>
      <c r="V387" s="431"/>
      <c r="W387" s="77"/>
      <c r="X387" s="77"/>
      <c r="Y387" s="77"/>
      <c r="Z387" s="77"/>
    </row>
    <row r="388" ht="16.5" customHeight="1">
      <c r="A388" s="31" t="s">
        <v>9966</v>
      </c>
      <c r="B388" s="31" t="s">
        <v>9967</v>
      </c>
      <c r="N388" s="431"/>
      <c r="O388" s="431"/>
      <c r="P388" s="431"/>
      <c r="Q388" s="431"/>
      <c r="R388" s="431"/>
      <c r="S388" s="431"/>
      <c r="T388" s="431"/>
      <c r="U388" s="431"/>
      <c r="V388" s="431"/>
      <c r="W388" s="77"/>
      <c r="X388" s="77"/>
      <c r="Y388" s="77"/>
      <c r="Z388" s="77"/>
    </row>
    <row r="389" ht="16.5" customHeight="1">
      <c r="A389" s="31" t="s">
        <v>9968</v>
      </c>
      <c r="B389" s="31" t="s">
        <v>9969</v>
      </c>
      <c r="N389" s="431"/>
      <c r="O389" s="431"/>
      <c r="P389" s="431"/>
      <c r="Q389" s="431"/>
      <c r="R389" s="431"/>
      <c r="S389" s="431"/>
      <c r="T389" s="431"/>
      <c r="U389" s="431"/>
      <c r="V389" s="431"/>
      <c r="W389" s="77"/>
      <c r="X389" s="77"/>
      <c r="Y389" s="77"/>
      <c r="Z389" s="77"/>
    </row>
    <row r="390" ht="16.5" customHeight="1">
      <c r="A390" s="423" t="s">
        <v>9970</v>
      </c>
      <c r="N390" s="431"/>
      <c r="O390" s="431"/>
      <c r="P390" s="431"/>
      <c r="Q390" s="431"/>
      <c r="R390" s="431"/>
      <c r="S390" s="431"/>
      <c r="T390" s="431"/>
      <c r="U390" s="431"/>
      <c r="V390" s="431"/>
      <c r="W390" s="77"/>
      <c r="X390" s="77"/>
      <c r="Y390" s="77"/>
      <c r="Z390" s="77"/>
    </row>
    <row r="391" ht="16.5" customHeight="1">
      <c r="A391" s="425" t="s">
        <v>9414</v>
      </c>
      <c r="B391" s="425" t="s">
        <v>9361</v>
      </c>
      <c r="C391" s="426" t="s">
        <v>9363</v>
      </c>
      <c r="N391" s="431"/>
      <c r="O391" s="431"/>
      <c r="P391" s="431"/>
      <c r="Q391" s="431"/>
      <c r="R391" s="431"/>
      <c r="S391" s="431"/>
      <c r="T391" s="431"/>
      <c r="U391" s="431"/>
      <c r="V391" s="431"/>
      <c r="W391" s="77"/>
      <c r="X391" s="77"/>
      <c r="Y391" s="77"/>
      <c r="Z391" s="77"/>
    </row>
    <row r="392" ht="16.5" customHeight="1">
      <c r="A392" s="428" t="s">
        <v>1787</v>
      </c>
      <c r="B392" s="428" t="s">
        <v>9971</v>
      </c>
      <c r="C392" s="427" t="s">
        <v>9365</v>
      </c>
      <c r="D392" s="427" t="s">
        <v>8952</v>
      </c>
      <c r="E392" s="427" t="s">
        <v>4702</v>
      </c>
      <c r="F392" s="427" t="s">
        <v>4703</v>
      </c>
      <c r="G392" s="427" t="s">
        <v>4320</v>
      </c>
      <c r="H392" s="427" t="s">
        <v>436</v>
      </c>
      <c r="I392" s="427" t="s">
        <v>4704</v>
      </c>
      <c r="J392" s="427" t="s">
        <v>135</v>
      </c>
      <c r="K392" s="427" t="s">
        <v>128</v>
      </c>
      <c r="N392" s="431"/>
      <c r="O392" s="431"/>
      <c r="P392" s="431"/>
      <c r="Q392" s="431"/>
      <c r="R392" s="431"/>
      <c r="S392" s="431"/>
      <c r="T392" s="431"/>
      <c r="U392" s="431"/>
      <c r="V392" s="431"/>
      <c r="W392" s="77"/>
      <c r="X392" s="77"/>
      <c r="Y392" s="77"/>
      <c r="Z392" s="77"/>
    </row>
    <row r="393" ht="16.5" customHeight="1">
      <c r="A393" s="31" t="s">
        <v>9972</v>
      </c>
      <c r="B393" s="31" t="s">
        <v>9733</v>
      </c>
      <c r="C393" s="4" t="s">
        <v>9441</v>
      </c>
      <c r="D393" s="4" t="s">
        <v>9130</v>
      </c>
      <c r="E393" s="4" t="s">
        <v>8928</v>
      </c>
      <c r="F393" s="4" t="s">
        <v>9651</v>
      </c>
      <c r="G393" s="4" t="s">
        <v>17</v>
      </c>
      <c r="H393" s="4" t="s">
        <v>1500</v>
      </c>
      <c r="I393" s="4" t="s">
        <v>9973</v>
      </c>
      <c r="J393" s="4" t="s">
        <v>9973</v>
      </c>
      <c r="K393" s="4" t="s">
        <v>9974</v>
      </c>
      <c r="L393" s="8"/>
      <c r="M393" s="8"/>
      <c r="N393" s="431"/>
      <c r="O393" s="431"/>
      <c r="P393" s="431"/>
      <c r="Q393" s="431"/>
      <c r="R393" s="431"/>
      <c r="S393" s="431"/>
      <c r="T393" s="431"/>
      <c r="U393" s="431"/>
      <c r="V393" s="431"/>
      <c r="W393" s="77"/>
      <c r="X393" s="77"/>
      <c r="Y393" s="77"/>
      <c r="Z393" s="77"/>
    </row>
    <row r="394" ht="16.5" customHeight="1">
      <c r="A394" s="31" t="s">
        <v>9975</v>
      </c>
      <c r="B394" s="31" t="s">
        <v>9976</v>
      </c>
      <c r="C394" s="4" t="s">
        <v>9466</v>
      </c>
      <c r="D394" s="4" t="s">
        <v>9130</v>
      </c>
      <c r="E394" s="4" t="s">
        <v>9909</v>
      </c>
      <c r="F394" s="4" t="s">
        <v>9651</v>
      </c>
      <c r="G394" s="4" t="s">
        <v>17</v>
      </c>
      <c r="H394" s="4" t="s">
        <v>8045</v>
      </c>
      <c r="I394" s="4" t="s">
        <v>9977</v>
      </c>
      <c r="J394" s="4" t="s">
        <v>9977</v>
      </c>
      <c r="K394" s="4" t="s">
        <v>9978</v>
      </c>
      <c r="L394" s="8"/>
      <c r="M394" s="8"/>
      <c r="N394" s="431"/>
      <c r="O394" s="431"/>
      <c r="P394" s="431"/>
      <c r="Q394" s="431"/>
      <c r="R394" s="431"/>
      <c r="S394" s="431"/>
      <c r="T394" s="431"/>
      <c r="U394" s="431"/>
      <c r="V394" s="431"/>
      <c r="W394" s="77"/>
      <c r="X394" s="77"/>
      <c r="Y394" s="77"/>
      <c r="Z394" s="77"/>
    </row>
    <row r="395" ht="16.5" customHeight="1">
      <c r="A395" s="31" t="s">
        <v>9979</v>
      </c>
      <c r="B395" s="31" t="s">
        <v>9980</v>
      </c>
      <c r="C395" s="4" t="s">
        <v>9472</v>
      </c>
      <c r="D395" s="4" t="s">
        <v>9130</v>
      </c>
      <c r="E395" s="4" t="s">
        <v>9304</v>
      </c>
      <c r="F395" s="4" t="s">
        <v>9651</v>
      </c>
      <c r="G395" s="4" t="s">
        <v>17</v>
      </c>
      <c r="H395" s="4" t="s">
        <v>9553</v>
      </c>
      <c r="I395" s="4" t="s">
        <v>9981</v>
      </c>
      <c r="J395" s="4" t="s">
        <v>9981</v>
      </c>
      <c r="K395" s="4" t="s">
        <v>9978</v>
      </c>
      <c r="L395" s="8"/>
      <c r="M395" s="8"/>
      <c r="N395" s="431"/>
      <c r="O395" s="431"/>
      <c r="P395" s="431"/>
      <c r="Q395" s="431"/>
      <c r="R395" s="431"/>
      <c r="S395" s="431"/>
      <c r="T395" s="431"/>
      <c r="U395" s="431"/>
      <c r="V395" s="431"/>
      <c r="W395" s="77"/>
      <c r="X395" s="77"/>
      <c r="Y395" s="77"/>
      <c r="Z395" s="77"/>
    </row>
    <row r="396" ht="16.5" customHeight="1">
      <c r="A396" s="31" t="s">
        <v>1880</v>
      </c>
      <c r="B396" s="31" t="s">
        <v>9710</v>
      </c>
      <c r="C396" s="108" t="s">
        <v>9982</v>
      </c>
      <c r="L396" s="8"/>
      <c r="M396" s="8"/>
      <c r="N396" s="431"/>
      <c r="O396" s="431"/>
      <c r="P396" s="431"/>
      <c r="Q396" s="431"/>
      <c r="R396" s="431"/>
      <c r="S396" s="431"/>
      <c r="T396" s="431"/>
      <c r="U396" s="431"/>
      <c r="V396" s="431"/>
      <c r="W396" s="77"/>
      <c r="X396" s="77"/>
      <c r="Y396" s="77"/>
      <c r="Z396" s="77"/>
    </row>
    <row r="397" ht="16.5" customHeight="1">
      <c r="A397" s="31" t="s">
        <v>9983</v>
      </c>
      <c r="B397" s="31" t="s">
        <v>9984</v>
      </c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431"/>
      <c r="O397" s="431"/>
      <c r="P397" s="431"/>
      <c r="Q397" s="431"/>
      <c r="R397" s="431"/>
      <c r="S397" s="431"/>
      <c r="T397" s="431"/>
      <c r="U397" s="431"/>
      <c r="V397" s="431"/>
      <c r="W397" s="77"/>
      <c r="X397" s="77"/>
      <c r="Y397" s="77"/>
      <c r="Z397" s="77"/>
    </row>
    <row r="398" ht="16.5" customHeight="1">
      <c r="A398" s="31" t="s">
        <v>9985</v>
      </c>
      <c r="B398" s="31" t="s">
        <v>4484</v>
      </c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431"/>
      <c r="O398" s="431"/>
      <c r="P398" s="431"/>
      <c r="Q398" s="431"/>
      <c r="R398" s="431"/>
      <c r="S398" s="431"/>
      <c r="T398" s="431"/>
      <c r="U398" s="431"/>
      <c r="V398" s="431"/>
      <c r="W398" s="77"/>
      <c r="X398" s="77"/>
      <c r="Y398" s="77"/>
      <c r="Z398" s="77"/>
    </row>
    <row r="399" ht="16.5" customHeight="1">
      <c r="A399" s="31" t="s">
        <v>9986</v>
      </c>
      <c r="B399" s="31" t="s">
        <v>9987</v>
      </c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431"/>
      <c r="O399" s="431"/>
      <c r="P399" s="431"/>
      <c r="Q399" s="431"/>
      <c r="R399" s="431"/>
      <c r="S399" s="431"/>
      <c r="T399" s="431"/>
      <c r="U399" s="431"/>
      <c r="V399" s="431"/>
      <c r="W399" s="77"/>
      <c r="X399" s="77"/>
      <c r="Y399" s="77"/>
      <c r="Z399" s="77"/>
    </row>
    <row r="400" ht="16.5" customHeight="1">
      <c r="A400" s="31" t="s">
        <v>9988</v>
      </c>
      <c r="B400" s="31" t="s">
        <v>9989</v>
      </c>
      <c r="N400" s="431"/>
      <c r="O400" s="431"/>
      <c r="P400" s="431"/>
      <c r="Q400" s="431"/>
      <c r="R400" s="431"/>
      <c r="S400" s="431"/>
      <c r="T400" s="431"/>
      <c r="U400" s="431"/>
      <c r="V400" s="431"/>
      <c r="W400" s="77"/>
      <c r="X400" s="77"/>
      <c r="Y400" s="77"/>
      <c r="Z400" s="77"/>
    </row>
    <row r="401" ht="16.5" customHeight="1">
      <c r="A401" s="31" t="s">
        <v>9430</v>
      </c>
      <c r="B401" s="31" t="s">
        <v>9990</v>
      </c>
      <c r="N401" s="431"/>
      <c r="O401" s="431"/>
      <c r="P401" s="431"/>
      <c r="Q401" s="431"/>
      <c r="R401" s="431"/>
      <c r="S401" s="431"/>
      <c r="T401" s="431"/>
      <c r="U401" s="431"/>
      <c r="V401" s="431"/>
      <c r="W401" s="77"/>
      <c r="X401" s="77"/>
      <c r="Y401" s="77"/>
      <c r="Z401" s="77"/>
    </row>
    <row r="402" ht="16.5" customHeight="1">
      <c r="A402" s="31" t="s">
        <v>9991</v>
      </c>
      <c r="B402" s="31" t="s">
        <v>6414</v>
      </c>
      <c r="N402" s="431"/>
      <c r="O402" s="431"/>
      <c r="P402" s="431"/>
      <c r="Q402" s="431"/>
      <c r="R402" s="431"/>
      <c r="S402" s="431"/>
      <c r="T402" s="431"/>
      <c r="U402" s="431"/>
      <c r="V402" s="431"/>
      <c r="W402" s="77"/>
      <c r="X402" s="77"/>
      <c r="Y402" s="77"/>
      <c r="Z402" s="77"/>
    </row>
    <row r="403" ht="16.5" customHeight="1">
      <c r="A403" s="31" t="s">
        <v>9992</v>
      </c>
      <c r="B403" s="31" t="s">
        <v>9993</v>
      </c>
      <c r="L403" s="8"/>
      <c r="N403" s="431"/>
      <c r="O403" s="431"/>
      <c r="P403" s="431"/>
      <c r="Q403" s="431"/>
      <c r="R403" s="431"/>
      <c r="S403" s="431"/>
      <c r="T403" s="431"/>
      <c r="U403" s="431"/>
      <c r="V403" s="431"/>
      <c r="W403" s="77"/>
      <c r="X403" s="77"/>
      <c r="Y403" s="77"/>
      <c r="Z403" s="77"/>
    </row>
    <row r="404" ht="16.5" customHeight="1">
      <c r="A404" s="423" t="s">
        <v>9994</v>
      </c>
      <c r="L404" s="8"/>
      <c r="N404" s="431"/>
      <c r="O404" s="431"/>
      <c r="P404" s="431"/>
      <c r="Q404" s="431"/>
      <c r="R404" s="431"/>
      <c r="S404" s="431"/>
      <c r="T404" s="431"/>
      <c r="U404" s="431"/>
      <c r="V404" s="431"/>
      <c r="W404" s="77"/>
      <c r="X404" s="77"/>
      <c r="Y404" s="77"/>
      <c r="Z404" s="77"/>
    </row>
    <row r="405" ht="16.5" customHeight="1">
      <c r="A405" s="425" t="s">
        <v>9459</v>
      </c>
      <c r="B405" s="425" t="s">
        <v>9770</v>
      </c>
      <c r="C405" s="426" t="s">
        <v>9363</v>
      </c>
      <c r="L405" s="8"/>
      <c r="N405" s="431"/>
      <c r="O405" s="431"/>
      <c r="P405" s="431"/>
      <c r="Q405" s="431"/>
      <c r="R405" s="431"/>
      <c r="S405" s="431"/>
      <c r="T405" s="431"/>
      <c r="U405" s="431"/>
      <c r="V405" s="431"/>
      <c r="W405" s="77"/>
      <c r="X405" s="77"/>
      <c r="Y405" s="77"/>
      <c r="Z405" s="77"/>
    </row>
    <row r="406" ht="16.5" customHeight="1">
      <c r="A406" s="428" t="s">
        <v>9460</v>
      </c>
      <c r="B406" s="428" t="s">
        <v>9771</v>
      </c>
      <c r="C406" s="427" t="s">
        <v>9365</v>
      </c>
      <c r="D406" s="427" t="s">
        <v>8952</v>
      </c>
      <c r="E406" s="427" t="s">
        <v>4702</v>
      </c>
      <c r="F406" s="427" t="s">
        <v>4703</v>
      </c>
      <c r="G406" s="427" t="s">
        <v>4320</v>
      </c>
      <c r="H406" s="427" t="s">
        <v>436</v>
      </c>
      <c r="I406" s="427" t="s">
        <v>4704</v>
      </c>
      <c r="J406" s="427" t="s">
        <v>135</v>
      </c>
      <c r="K406" s="427" t="s">
        <v>128</v>
      </c>
      <c r="L406" s="8"/>
      <c r="N406" s="431"/>
      <c r="O406" s="431"/>
      <c r="P406" s="431"/>
      <c r="Q406" s="431"/>
      <c r="R406" s="431"/>
      <c r="S406" s="431"/>
      <c r="T406" s="431"/>
      <c r="U406" s="431"/>
      <c r="V406" s="431"/>
      <c r="W406" s="77"/>
      <c r="X406" s="77"/>
      <c r="Y406" s="77"/>
      <c r="Z406" s="77"/>
    </row>
    <row r="407" ht="16.5" customHeight="1">
      <c r="A407" s="31" t="s">
        <v>1864</v>
      </c>
      <c r="B407" s="31" t="s">
        <v>2072</v>
      </c>
      <c r="C407" s="4" t="s">
        <v>9441</v>
      </c>
      <c r="D407" s="4" t="s">
        <v>9109</v>
      </c>
      <c r="E407" s="4" t="s">
        <v>9291</v>
      </c>
      <c r="F407" s="4" t="s">
        <v>9671</v>
      </c>
      <c r="G407" s="4" t="s">
        <v>16</v>
      </c>
      <c r="H407" s="4" t="s">
        <v>1500</v>
      </c>
      <c r="I407" s="4" t="s">
        <v>9995</v>
      </c>
      <c r="J407" s="4" t="s">
        <v>9996</v>
      </c>
      <c r="K407" s="4" t="s">
        <v>9997</v>
      </c>
      <c r="L407" s="8"/>
      <c r="N407" s="431"/>
      <c r="O407" s="431"/>
      <c r="P407" s="431"/>
      <c r="Q407" s="431"/>
      <c r="R407" s="431"/>
      <c r="S407" s="431"/>
      <c r="T407" s="431"/>
      <c r="U407" s="431"/>
      <c r="V407" s="431"/>
      <c r="W407" s="77"/>
      <c r="X407" s="77"/>
      <c r="Y407" s="77"/>
      <c r="Z407" s="77"/>
    </row>
    <row r="408" ht="16.5" customHeight="1">
      <c r="A408" s="31" t="s">
        <v>9998</v>
      </c>
      <c r="B408" s="31" t="s">
        <v>3759</v>
      </c>
      <c r="C408" s="108" t="s">
        <v>9778</v>
      </c>
      <c r="L408" s="8"/>
      <c r="N408" s="431"/>
      <c r="O408" s="431"/>
      <c r="P408" s="431"/>
      <c r="Q408" s="431"/>
      <c r="R408" s="431"/>
      <c r="S408" s="431"/>
      <c r="T408" s="431"/>
      <c r="U408" s="431"/>
      <c r="V408" s="431"/>
      <c r="W408" s="77"/>
      <c r="X408" s="77"/>
      <c r="Y408" s="77"/>
      <c r="Z408" s="77"/>
    </row>
    <row r="409" ht="16.5" customHeight="1">
      <c r="A409" s="31" t="s">
        <v>9558</v>
      </c>
      <c r="B409" s="31" t="s">
        <v>9878</v>
      </c>
      <c r="C409" s="8"/>
      <c r="D409" s="8"/>
      <c r="E409" s="8"/>
      <c r="F409" s="8"/>
      <c r="G409" s="8"/>
      <c r="H409" s="8"/>
      <c r="I409" s="8"/>
      <c r="J409" s="8"/>
      <c r="K409" s="8"/>
      <c r="L409" s="8"/>
      <c r="N409" s="431"/>
      <c r="O409" s="431"/>
      <c r="P409" s="431"/>
      <c r="Q409" s="431"/>
      <c r="R409" s="431"/>
      <c r="S409" s="431"/>
      <c r="T409" s="431"/>
      <c r="U409" s="431"/>
      <c r="V409" s="431"/>
      <c r="W409" s="77"/>
      <c r="X409" s="77"/>
      <c r="Y409" s="77"/>
      <c r="Z409" s="77"/>
    </row>
    <row r="410" ht="16.5" customHeight="1">
      <c r="A410" s="31" t="s">
        <v>9999</v>
      </c>
      <c r="B410" s="31" t="s">
        <v>10000</v>
      </c>
      <c r="C410" s="8"/>
      <c r="D410" s="8"/>
      <c r="E410" s="8"/>
      <c r="F410" s="8"/>
      <c r="G410" s="8"/>
      <c r="H410" s="8"/>
      <c r="I410" s="8"/>
      <c r="J410" s="8"/>
      <c r="K410" s="8"/>
      <c r="L410" s="8"/>
      <c r="N410" s="431"/>
      <c r="O410" s="431"/>
      <c r="P410" s="431"/>
      <c r="Q410" s="431"/>
      <c r="R410" s="431"/>
      <c r="S410" s="431"/>
      <c r="T410" s="431"/>
      <c r="U410" s="431"/>
      <c r="V410" s="431"/>
      <c r="W410" s="77"/>
      <c r="X410" s="77"/>
      <c r="Y410" s="77"/>
      <c r="Z410" s="77"/>
    </row>
    <row r="411" ht="16.5" customHeight="1">
      <c r="A411" s="31" t="s">
        <v>10001</v>
      </c>
      <c r="B411" s="31" t="s">
        <v>8147</v>
      </c>
      <c r="C411" s="8"/>
      <c r="D411" s="8"/>
      <c r="E411" s="8"/>
      <c r="F411" s="8"/>
      <c r="G411" s="8"/>
      <c r="H411" s="8"/>
      <c r="I411" s="8"/>
      <c r="J411" s="8"/>
      <c r="K411" s="8"/>
      <c r="L411" s="8"/>
      <c r="N411" s="431"/>
      <c r="O411" s="431"/>
      <c r="P411" s="431"/>
      <c r="Q411" s="431"/>
      <c r="R411" s="431"/>
      <c r="S411" s="431"/>
      <c r="T411" s="431"/>
      <c r="U411" s="431"/>
      <c r="V411" s="431"/>
      <c r="W411" s="77"/>
      <c r="X411" s="77"/>
      <c r="Y411" s="77"/>
      <c r="Z411" s="77"/>
    </row>
    <row r="412" ht="16.5" customHeight="1">
      <c r="A412" s="31" t="s">
        <v>10002</v>
      </c>
      <c r="B412" s="31" t="s">
        <v>8158</v>
      </c>
      <c r="C412" s="8"/>
      <c r="D412" s="8"/>
      <c r="E412" s="8"/>
      <c r="F412" s="8"/>
      <c r="G412" s="8"/>
      <c r="H412" s="8"/>
      <c r="I412" s="8"/>
      <c r="J412" s="8"/>
      <c r="K412" s="8"/>
      <c r="N412" s="431"/>
      <c r="O412" s="431"/>
      <c r="P412" s="431"/>
      <c r="Q412" s="431"/>
      <c r="R412" s="431"/>
      <c r="S412" s="431"/>
      <c r="T412" s="431"/>
      <c r="U412" s="431"/>
      <c r="V412" s="431"/>
      <c r="W412" s="77"/>
      <c r="X412" s="77"/>
      <c r="Y412" s="77"/>
      <c r="Z412" s="77"/>
    </row>
    <row r="413" ht="16.5" customHeight="1">
      <c r="A413" s="31" t="s">
        <v>10003</v>
      </c>
      <c r="B413" s="31" t="s">
        <v>10004</v>
      </c>
      <c r="C413" s="8"/>
      <c r="D413" s="8"/>
      <c r="E413" s="8"/>
      <c r="F413" s="8"/>
      <c r="G413" s="8"/>
      <c r="H413" s="8"/>
      <c r="I413" s="8"/>
      <c r="J413" s="8"/>
      <c r="K413" s="8"/>
      <c r="N413" s="431"/>
      <c r="O413" s="431"/>
      <c r="P413" s="431"/>
      <c r="Q413" s="431"/>
      <c r="R413" s="431"/>
      <c r="S413" s="431"/>
      <c r="T413" s="431"/>
      <c r="U413" s="431"/>
      <c r="V413" s="431"/>
      <c r="W413" s="77"/>
      <c r="X413" s="77"/>
      <c r="Y413" s="77"/>
      <c r="Z413" s="77"/>
    </row>
    <row r="414" ht="16.5" customHeight="1">
      <c r="A414" s="31" t="s">
        <v>10005</v>
      </c>
      <c r="B414" s="31" t="s">
        <v>3784</v>
      </c>
      <c r="C414" s="8"/>
      <c r="D414" s="8"/>
      <c r="E414" s="8"/>
      <c r="F414" s="8"/>
      <c r="G414" s="8"/>
      <c r="H414" s="8"/>
      <c r="I414" s="8"/>
      <c r="J414" s="8"/>
      <c r="K414" s="8"/>
      <c r="N414" s="431"/>
      <c r="O414" s="431"/>
      <c r="P414" s="431"/>
      <c r="Q414" s="431"/>
      <c r="R414" s="431"/>
      <c r="S414" s="431"/>
      <c r="T414" s="431"/>
      <c r="U414" s="431"/>
      <c r="V414" s="431"/>
      <c r="W414" s="77"/>
      <c r="X414" s="77"/>
      <c r="Y414" s="77"/>
      <c r="Z414" s="77"/>
    </row>
    <row r="415" ht="16.5" customHeight="1">
      <c r="A415" s="31" t="s">
        <v>9607</v>
      </c>
      <c r="B415" s="31" t="s">
        <v>10006</v>
      </c>
      <c r="C415" s="8"/>
      <c r="D415" s="8"/>
      <c r="E415" s="8"/>
      <c r="F415" s="8"/>
      <c r="G415" s="8"/>
      <c r="H415" s="8"/>
      <c r="I415" s="8"/>
      <c r="J415" s="8"/>
      <c r="K415" s="8"/>
      <c r="N415" s="431"/>
      <c r="O415" s="431"/>
      <c r="P415" s="431"/>
      <c r="Q415" s="431"/>
      <c r="R415" s="431"/>
      <c r="S415" s="431"/>
      <c r="T415" s="431"/>
      <c r="U415" s="431"/>
      <c r="V415" s="431"/>
      <c r="W415" s="77"/>
      <c r="X415" s="77"/>
      <c r="Y415" s="77"/>
      <c r="Z415" s="77"/>
    </row>
    <row r="416" ht="16.5" customHeight="1">
      <c r="A416" s="31" t="s">
        <v>10007</v>
      </c>
      <c r="B416" s="31" t="s">
        <v>10008</v>
      </c>
      <c r="N416" s="431"/>
      <c r="O416" s="431"/>
      <c r="P416" s="431"/>
      <c r="Q416" s="431"/>
      <c r="R416" s="431"/>
      <c r="S416" s="431"/>
      <c r="T416" s="431"/>
      <c r="U416" s="431"/>
      <c r="V416" s="431"/>
      <c r="W416" s="77"/>
      <c r="X416" s="77"/>
      <c r="Y416" s="77"/>
      <c r="Z416" s="77"/>
    </row>
    <row r="417" ht="16.5" customHeight="1">
      <c r="A417" s="31" t="s">
        <v>10009</v>
      </c>
      <c r="B417" s="31" t="s">
        <v>10010</v>
      </c>
      <c r="N417" s="431"/>
      <c r="O417" s="431"/>
      <c r="P417" s="431"/>
      <c r="Q417" s="431"/>
      <c r="R417" s="431"/>
      <c r="S417" s="431"/>
      <c r="T417" s="431"/>
      <c r="U417" s="431"/>
      <c r="V417" s="431"/>
      <c r="W417" s="77"/>
      <c r="X417" s="77"/>
      <c r="Y417" s="77"/>
      <c r="Z417" s="77"/>
    </row>
    <row r="418" ht="16.5" customHeight="1">
      <c r="A418" s="31" t="s">
        <v>10011</v>
      </c>
      <c r="B418" s="31" t="s">
        <v>9883</v>
      </c>
      <c r="N418" s="431"/>
      <c r="O418" s="431"/>
      <c r="P418" s="431"/>
      <c r="Q418" s="431"/>
      <c r="R418" s="431"/>
      <c r="S418" s="431"/>
      <c r="T418" s="431"/>
      <c r="U418" s="431"/>
      <c r="V418" s="431"/>
      <c r="W418" s="77"/>
      <c r="X418" s="77"/>
      <c r="Y418" s="77"/>
      <c r="Z418" s="77"/>
    </row>
    <row r="419" ht="16.5" customHeight="1">
      <c r="A419" s="31" t="s">
        <v>10012</v>
      </c>
      <c r="B419" s="31" t="s">
        <v>9966</v>
      </c>
      <c r="N419" s="431"/>
      <c r="O419" s="431"/>
      <c r="P419" s="431"/>
      <c r="Q419" s="431"/>
      <c r="R419" s="431"/>
      <c r="S419" s="431"/>
      <c r="T419" s="431"/>
      <c r="U419" s="431"/>
      <c r="V419" s="431"/>
      <c r="W419" s="77"/>
      <c r="X419" s="77"/>
      <c r="Y419" s="77"/>
      <c r="Z419" s="77"/>
    </row>
    <row r="420" ht="16.5" customHeight="1">
      <c r="A420" s="31" t="s">
        <v>10013</v>
      </c>
      <c r="B420" s="31" t="s">
        <v>9968</v>
      </c>
      <c r="N420" s="431"/>
      <c r="O420" s="431"/>
      <c r="P420" s="431"/>
      <c r="Q420" s="431"/>
      <c r="R420" s="431"/>
      <c r="S420" s="431"/>
      <c r="T420" s="431"/>
      <c r="U420" s="431"/>
      <c r="V420" s="431"/>
      <c r="W420" s="77"/>
      <c r="X420" s="77"/>
      <c r="Y420" s="77"/>
      <c r="Z420" s="77"/>
    </row>
    <row r="421" ht="16.5" customHeight="1">
      <c r="A421" s="423" t="s">
        <v>10014</v>
      </c>
      <c r="N421" s="431"/>
      <c r="O421" s="431"/>
      <c r="P421" s="431"/>
      <c r="Q421" s="431"/>
      <c r="R421" s="431"/>
      <c r="S421" s="431"/>
      <c r="T421" s="431"/>
      <c r="U421" s="431"/>
      <c r="V421" s="431"/>
      <c r="W421" s="77"/>
      <c r="X421" s="77"/>
      <c r="Y421" s="77"/>
      <c r="Z421" s="77"/>
    </row>
    <row r="422" ht="16.5" customHeight="1">
      <c r="A422" s="425" t="s">
        <v>10015</v>
      </c>
      <c r="B422" s="425" t="s">
        <v>9414</v>
      </c>
      <c r="C422" s="426" t="s">
        <v>9363</v>
      </c>
      <c r="N422" s="431"/>
      <c r="O422" s="431"/>
      <c r="P422" s="431"/>
      <c r="Q422" s="431"/>
      <c r="R422" s="431"/>
      <c r="S422" s="431"/>
      <c r="T422" s="431"/>
      <c r="U422" s="431"/>
      <c r="V422" s="431"/>
      <c r="W422" s="77"/>
      <c r="X422" s="77"/>
      <c r="Y422" s="77"/>
      <c r="Z422" s="77"/>
    </row>
    <row r="423" ht="16.5" customHeight="1">
      <c r="A423" s="428" t="s">
        <v>10016</v>
      </c>
      <c r="B423" s="428" t="s">
        <v>10017</v>
      </c>
      <c r="C423" s="427" t="s">
        <v>9365</v>
      </c>
      <c r="D423" s="427" t="s">
        <v>8952</v>
      </c>
      <c r="E423" s="427" t="s">
        <v>4702</v>
      </c>
      <c r="F423" s="427" t="s">
        <v>4703</v>
      </c>
      <c r="G423" s="427" t="s">
        <v>4320</v>
      </c>
      <c r="H423" s="427" t="s">
        <v>436</v>
      </c>
      <c r="I423" s="427" t="s">
        <v>4704</v>
      </c>
      <c r="J423" s="427" t="s">
        <v>135</v>
      </c>
      <c r="K423" s="427" t="s">
        <v>128</v>
      </c>
      <c r="N423" s="431"/>
      <c r="O423" s="431"/>
      <c r="P423" s="431"/>
      <c r="Q423" s="431"/>
      <c r="R423" s="431"/>
      <c r="S423" s="431"/>
      <c r="T423" s="431"/>
      <c r="U423" s="431"/>
      <c r="V423" s="431"/>
      <c r="W423" s="77"/>
      <c r="X423" s="77"/>
      <c r="Y423" s="77"/>
      <c r="Z423" s="77"/>
    </row>
    <row r="424" ht="16.5" customHeight="1">
      <c r="A424" s="31" t="s">
        <v>10018</v>
      </c>
      <c r="B424" s="31" t="s">
        <v>10019</v>
      </c>
      <c r="C424" s="4" t="s">
        <v>9441</v>
      </c>
      <c r="D424" s="4" t="s">
        <v>10020</v>
      </c>
      <c r="E424" s="4" t="s">
        <v>9291</v>
      </c>
      <c r="F424" s="4" t="s">
        <v>10021</v>
      </c>
      <c r="G424" s="4" t="s">
        <v>9</v>
      </c>
      <c r="H424" s="4" t="s">
        <v>6765</v>
      </c>
      <c r="I424" s="4" t="s">
        <v>10022</v>
      </c>
      <c r="J424" s="4" t="s">
        <v>10023</v>
      </c>
      <c r="K424" s="4" t="s">
        <v>10022</v>
      </c>
      <c r="N424" s="431"/>
      <c r="O424" s="431"/>
      <c r="P424" s="431"/>
      <c r="Q424" s="431"/>
      <c r="R424" s="431"/>
      <c r="S424" s="431"/>
      <c r="T424" s="431"/>
      <c r="U424" s="431"/>
      <c r="V424" s="431"/>
      <c r="W424" s="77"/>
      <c r="X424" s="77"/>
      <c r="Y424" s="77"/>
      <c r="Z424" s="77"/>
    </row>
    <row r="425" ht="16.5" customHeight="1">
      <c r="A425" s="31" t="s">
        <v>10024</v>
      </c>
      <c r="B425" s="31" t="s">
        <v>10025</v>
      </c>
      <c r="C425" s="108" t="s">
        <v>10026</v>
      </c>
      <c r="N425" s="431"/>
      <c r="O425" s="431"/>
      <c r="P425" s="431"/>
      <c r="Q425" s="431"/>
      <c r="R425" s="431"/>
      <c r="S425" s="431"/>
      <c r="T425" s="431"/>
      <c r="U425" s="431"/>
      <c r="V425" s="431"/>
      <c r="W425" s="77"/>
      <c r="X425" s="77"/>
      <c r="Y425" s="77"/>
      <c r="Z425" s="77"/>
    </row>
    <row r="426" ht="16.5" customHeight="1">
      <c r="A426" s="31" t="s">
        <v>10027</v>
      </c>
      <c r="B426" s="31" t="s">
        <v>10028</v>
      </c>
      <c r="C426" s="8"/>
      <c r="D426" s="8"/>
      <c r="E426" s="8"/>
      <c r="F426" s="8"/>
      <c r="G426" s="8"/>
      <c r="H426" s="8"/>
      <c r="I426" s="8"/>
      <c r="J426" s="8"/>
      <c r="K426" s="8"/>
      <c r="N426" s="431"/>
      <c r="O426" s="431"/>
      <c r="P426" s="431"/>
      <c r="Q426" s="431"/>
      <c r="R426" s="431"/>
      <c r="S426" s="431"/>
      <c r="T426" s="431"/>
      <c r="U426" s="431"/>
      <c r="V426" s="431"/>
      <c r="W426" s="77"/>
      <c r="X426" s="77"/>
      <c r="Y426" s="77"/>
      <c r="Z426" s="77"/>
    </row>
    <row r="427" ht="16.5" customHeight="1">
      <c r="A427" s="31" t="s">
        <v>10029</v>
      </c>
      <c r="B427" s="31" t="s">
        <v>10030</v>
      </c>
      <c r="C427" s="8"/>
      <c r="D427" s="8"/>
      <c r="E427" s="8"/>
      <c r="F427" s="8"/>
      <c r="G427" s="8"/>
      <c r="H427" s="8"/>
      <c r="I427" s="8"/>
      <c r="J427" s="8"/>
      <c r="K427" s="8"/>
      <c r="N427" s="431"/>
      <c r="O427" s="431"/>
      <c r="P427" s="431"/>
      <c r="Q427" s="431"/>
      <c r="R427" s="431"/>
      <c r="S427" s="431"/>
      <c r="T427" s="431"/>
      <c r="U427" s="431"/>
      <c r="V427" s="431"/>
      <c r="W427" s="77"/>
      <c r="X427" s="77"/>
      <c r="Y427" s="77"/>
      <c r="Z427" s="77"/>
    </row>
    <row r="428" ht="16.5" customHeight="1">
      <c r="A428" s="31" t="s">
        <v>10031</v>
      </c>
      <c r="B428" s="31" t="s">
        <v>10032</v>
      </c>
      <c r="N428" s="431"/>
      <c r="O428" s="431"/>
      <c r="P428" s="431"/>
      <c r="Q428" s="431"/>
      <c r="R428" s="431"/>
      <c r="S428" s="431"/>
      <c r="T428" s="431"/>
      <c r="U428" s="431"/>
      <c r="V428" s="431"/>
      <c r="W428" s="77"/>
      <c r="X428" s="77"/>
      <c r="Y428" s="77"/>
      <c r="Z428" s="77"/>
    </row>
    <row r="429" ht="16.5" customHeight="1">
      <c r="A429" s="31" t="s">
        <v>10033</v>
      </c>
      <c r="B429" s="31" t="s">
        <v>10034</v>
      </c>
      <c r="N429" s="431"/>
      <c r="O429" s="431"/>
      <c r="P429" s="431"/>
      <c r="Q429" s="431"/>
      <c r="R429" s="431"/>
      <c r="S429" s="431"/>
      <c r="T429" s="431"/>
      <c r="U429" s="431"/>
      <c r="V429" s="431"/>
      <c r="W429" s="77"/>
      <c r="X429" s="77"/>
      <c r="Y429" s="77"/>
      <c r="Z429" s="77"/>
    </row>
    <row r="430" ht="16.5" customHeight="1">
      <c r="A430" s="31" t="s">
        <v>10035</v>
      </c>
      <c r="B430" s="31" t="s">
        <v>10036</v>
      </c>
      <c r="N430" s="431"/>
      <c r="O430" s="431"/>
      <c r="P430" s="431"/>
      <c r="Q430" s="431"/>
      <c r="R430" s="431"/>
      <c r="S430" s="431"/>
      <c r="T430" s="431"/>
      <c r="U430" s="431"/>
      <c r="V430" s="431"/>
      <c r="W430" s="77"/>
      <c r="X430" s="77"/>
      <c r="Y430" s="77"/>
      <c r="Z430" s="77"/>
    </row>
    <row r="431" ht="16.5" customHeight="1">
      <c r="A431" s="31" t="s">
        <v>10037</v>
      </c>
      <c r="B431" s="31" t="s">
        <v>10038</v>
      </c>
      <c r="M431" s="8"/>
      <c r="N431" s="431"/>
      <c r="O431" s="431"/>
      <c r="P431" s="431"/>
      <c r="Q431" s="431"/>
      <c r="R431" s="431"/>
      <c r="S431" s="431"/>
      <c r="T431" s="431"/>
      <c r="U431" s="431"/>
      <c r="V431" s="431"/>
      <c r="W431" s="77"/>
      <c r="X431" s="77"/>
      <c r="Y431" s="77"/>
      <c r="Z431" s="77"/>
    </row>
    <row r="432" ht="16.5" customHeight="1">
      <c r="A432" s="31" t="s">
        <v>10039</v>
      </c>
      <c r="B432" s="31" t="s">
        <v>10040</v>
      </c>
      <c r="M432" s="8"/>
      <c r="N432" s="431"/>
      <c r="O432" s="431"/>
      <c r="P432" s="431"/>
      <c r="Q432" s="431"/>
      <c r="R432" s="431"/>
      <c r="S432" s="431"/>
      <c r="T432" s="431"/>
      <c r="U432" s="431"/>
      <c r="V432" s="431"/>
      <c r="W432" s="77"/>
      <c r="X432" s="77"/>
      <c r="Y432" s="77"/>
      <c r="Z432" s="77"/>
    </row>
    <row r="433" ht="16.5" customHeight="1">
      <c r="A433" s="423" t="s">
        <v>10041</v>
      </c>
      <c r="M433" s="8"/>
      <c r="N433" s="431"/>
      <c r="O433" s="431"/>
      <c r="P433" s="431"/>
      <c r="Q433" s="431"/>
      <c r="R433" s="431"/>
      <c r="S433" s="431"/>
      <c r="T433" s="431"/>
      <c r="U433" s="431"/>
      <c r="V433" s="431"/>
      <c r="W433" s="77"/>
      <c r="X433" s="77"/>
      <c r="Y433" s="77"/>
      <c r="Z433" s="77"/>
    </row>
    <row r="434" ht="16.5" customHeight="1">
      <c r="A434" s="425" t="s">
        <v>9533</v>
      </c>
      <c r="B434" s="425" t="s">
        <v>9929</v>
      </c>
      <c r="C434" s="425" t="s">
        <v>9534</v>
      </c>
      <c r="D434" s="426" t="s">
        <v>9363</v>
      </c>
      <c r="M434" s="8"/>
      <c r="N434" s="431"/>
      <c r="O434" s="431"/>
      <c r="P434" s="431"/>
      <c r="Q434" s="431"/>
      <c r="R434" s="431"/>
      <c r="S434" s="431"/>
      <c r="T434" s="431"/>
      <c r="U434" s="431"/>
      <c r="V434" s="431"/>
      <c r="W434" s="77"/>
      <c r="X434" s="77"/>
      <c r="Y434" s="77"/>
      <c r="Z434" s="77"/>
    </row>
    <row r="435" ht="16.5" customHeight="1">
      <c r="A435" s="428" t="s">
        <v>10042</v>
      </c>
      <c r="B435" s="428" t="s">
        <v>1593</v>
      </c>
      <c r="C435" s="31" t="s">
        <v>10043</v>
      </c>
      <c r="D435" s="427" t="s">
        <v>9365</v>
      </c>
      <c r="E435" s="427" t="s">
        <v>8952</v>
      </c>
      <c r="F435" s="427" t="s">
        <v>4702</v>
      </c>
      <c r="G435" s="427" t="s">
        <v>4703</v>
      </c>
      <c r="H435" s="427" t="s">
        <v>4320</v>
      </c>
      <c r="I435" s="427" t="s">
        <v>436</v>
      </c>
      <c r="J435" s="427" t="s">
        <v>4704</v>
      </c>
      <c r="K435" s="427" t="s">
        <v>135</v>
      </c>
      <c r="L435" s="427" t="s">
        <v>128</v>
      </c>
      <c r="M435" s="8"/>
      <c r="N435" s="431"/>
      <c r="O435" s="431"/>
      <c r="P435" s="431"/>
      <c r="Q435" s="431"/>
      <c r="R435" s="431"/>
      <c r="S435" s="431"/>
      <c r="T435" s="431"/>
      <c r="U435" s="431"/>
      <c r="V435" s="431"/>
      <c r="W435" s="77"/>
      <c r="X435" s="77"/>
      <c r="Y435" s="77"/>
      <c r="Z435" s="77"/>
    </row>
    <row r="436" ht="16.5" customHeight="1">
      <c r="A436" s="31" t="s">
        <v>2174</v>
      </c>
      <c r="B436" s="31" t="s">
        <v>10044</v>
      </c>
      <c r="C436" s="31" t="s">
        <v>10045</v>
      </c>
      <c r="D436" s="4" t="s">
        <v>10046</v>
      </c>
      <c r="E436" s="4" t="s">
        <v>9130</v>
      </c>
      <c r="F436" s="4" t="s">
        <v>9286</v>
      </c>
      <c r="G436" s="4" t="s">
        <v>10047</v>
      </c>
      <c r="H436" s="4" t="s">
        <v>120</v>
      </c>
      <c r="I436" s="4" t="s">
        <v>8045</v>
      </c>
      <c r="J436" s="4" t="s">
        <v>10048</v>
      </c>
      <c r="K436" s="4" t="s">
        <v>10049</v>
      </c>
      <c r="L436" s="4" t="s">
        <v>10048</v>
      </c>
      <c r="M436" s="8"/>
      <c r="N436" s="431"/>
      <c r="O436" s="431"/>
      <c r="P436" s="431"/>
      <c r="Q436" s="431"/>
      <c r="R436" s="431"/>
      <c r="S436" s="431"/>
      <c r="T436" s="431"/>
      <c r="U436" s="431"/>
      <c r="V436" s="431"/>
      <c r="W436" s="77"/>
      <c r="X436" s="77"/>
      <c r="Y436" s="77"/>
      <c r="Z436" s="77"/>
    </row>
    <row r="437" ht="16.5" customHeight="1">
      <c r="A437" s="31" t="s">
        <v>10050</v>
      </c>
      <c r="B437" s="31" t="s">
        <v>8113</v>
      </c>
      <c r="C437" s="31" t="s">
        <v>9550</v>
      </c>
      <c r="D437" s="4" t="s">
        <v>10051</v>
      </c>
      <c r="E437" s="4" t="s">
        <v>9130</v>
      </c>
      <c r="F437" s="4" t="s">
        <v>9291</v>
      </c>
      <c r="G437" s="4" t="s">
        <v>10047</v>
      </c>
      <c r="H437" s="4" t="s">
        <v>6</v>
      </c>
      <c r="I437" s="4" t="s">
        <v>9831</v>
      </c>
      <c r="J437" s="4" t="s">
        <v>10052</v>
      </c>
      <c r="K437" s="4" t="s">
        <v>10053</v>
      </c>
      <c r="L437" s="4" t="s">
        <v>10052</v>
      </c>
      <c r="M437" s="8"/>
      <c r="N437" s="431"/>
      <c r="O437" s="431"/>
      <c r="P437" s="431"/>
      <c r="Q437" s="431"/>
      <c r="R437" s="431"/>
      <c r="S437" s="431"/>
      <c r="T437" s="431"/>
      <c r="U437" s="431"/>
      <c r="V437" s="431"/>
      <c r="W437" s="77"/>
      <c r="X437" s="77"/>
      <c r="Y437" s="77"/>
      <c r="Z437" s="77"/>
    </row>
    <row r="438" ht="16.5" customHeight="1">
      <c r="A438" s="31" t="s">
        <v>10054</v>
      </c>
      <c r="B438" s="31" t="s">
        <v>10055</v>
      </c>
      <c r="C438" s="31" t="s">
        <v>10056</v>
      </c>
      <c r="D438" s="4" t="s">
        <v>10057</v>
      </c>
      <c r="E438" s="4" t="s">
        <v>9130</v>
      </c>
      <c r="F438" s="4" t="s">
        <v>8928</v>
      </c>
      <c r="G438" s="4" t="s">
        <v>10047</v>
      </c>
      <c r="H438" s="4" t="s">
        <v>120</v>
      </c>
      <c r="I438" s="4" t="s">
        <v>9652</v>
      </c>
      <c r="J438" s="4" t="s">
        <v>10058</v>
      </c>
      <c r="K438" s="4" t="s">
        <v>10059</v>
      </c>
      <c r="L438" s="4" t="s">
        <v>10058</v>
      </c>
      <c r="M438" s="8"/>
      <c r="N438" s="431"/>
      <c r="O438" s="431"/>
      <c r="P438" s="431"/>
      <c r="Q438" s="431"/>
      <c r="R438" s="431"/>
      <c r="S438" s="431"/>
      <c r="T438" s="431"/>
      <c r="U438" s="431"/>
      <c r="V438" s="431"/>
      <c r="W438" s="77"/>
      <c r="X438" s="77"/>
      <c r="Y438" s="77"/>
      <c r="Z438" s="77"/>
    </row>
    <row r="439" ht="16.5" customHeight="1">
      <c r="A439" s="31" t="s">
        <v>10060</v>
      </c>
      <c r="B439" s="31" t="s">
        <v>10061</v>
      </c>
      <c r="C439" s="31" t="s">
        <v>10062</v>
      </c>
      <c r="D439" s="4" t="s">
        <v>10063</v>
      </c>
      <c r="E439" s="4" t="s">
        <v>9130</v>
      </c>
      <c r="F439" s="4" t="s">
        <v>9909</v>
      </c>
      <c r="G439" s="4" t="s">
        <v>10047</v>
      </c>
      <c r="H439" s="4" t="s">
        <v>6</v>
      </c>
      <c r="I439" s="4" t="s">
        <v>194</v>
      </c>
      <c r="J439" s="4" t="s">
        <v>10064</v>
      </c>
      <c r="K439" s="4" t="s">
        <v>10065</v>
      </c>
      <c r="L439" s="4" t="s">
        <v>10064</v>
      </c>
      <c r="M439" s="8"/>
      <c r="N439" s="431"/>
      <c r="O439" s="431"/>
      <c r="P439" s="431"/>
      <c r="Q439" s="431"/>
      <c r="R439" s="431"/>
      <c r="S439" s="431"/>
      <c r="T439" s="431"/>
      <c r="U439" s="431"/>
      <c r="V439" s="431"/>
      <c r="W439" s="77"/>
      <c r="X439" s="77"/>
      <c r="Y439" s="77"/>
      <c r="Z439" s="77"/>
    </row>
    <row r="440" ht="16.5" customHeight="1">
      <c r="A440" s="31" t="s">
        <v>10066</v>
      </c>
      <c r="B440" s="31" t="s">
        <v>10067</v>
      </c>
      <c r="C440" s="31" t="s">
        <v>10068</v>
      </c>
      <c r="D440" s="4" t="s">
        <v>10069</v>
      </c>
      <c r="E440" s="4" t="s">
        <v>9130</v>
      </c>
      <c r="F440" s="4" t="s">
        <v>9304</v>
      </c>
      <c r="G440" s="4" t="s">
        <v>10070</v>
      </c>
      <c r="H440" s="4" t="s">
        <v>109</v>
      </c>
      <c r="I440" s="4" t="s">
        <v>1500</v>
      </c>
      <c r="J440" s="4" t="s">
        <v>10071</v>
      </c>
      <c r="K440" s="4" t="s">
        <v>10071</v>
      </c>
      <c r="L440" s="4" t="s">
        <v>10072</v>
      </c>
      <c r="M440" s="8"/>
      <c r="N440" s="431"/>
      <c r="O440" s="431"/>
      <c r="P440" s="431"/>
      <c r="Q440" s="431"/>
      <c r="R440" s="431"/>
      <c r="S440" s="431"/>
      <c r="T440" s="431"/>
      <c r="U440" s="431"/>
      <c r="V440" s="431"/>
      <c r="W440" s="77"/>
      <c r="X440" s="77"/>
      <c r="Y440" s="77"/>
      <c r="Z440" s="77"/>
    </row>
    <row r="441" ht="16.5" customHeight="1">
      <c r="A441" s="31" t="s">
        <v>10073</v>
      </c>
      <c r="B441" s="31" t="s">
        <v>10074</v>
      </c>
      <c r="C441" s="31" t="s">
        <v>10075</v>
      </c>
      <c r="D441" s="4" t="s">
        <v>10076</v>
      </c>
      <c r="E441" s="4" t="s">
        <v>9130</v>
      </c>
      <c r="F441" s="4" t="s">
        <v>9311</v>
      </c>
      <c r="G441" s="4" t="s">
        <v>10070</v>
      </c>
      <c r="H441" s="4" t="s">
        <v>109</v>
      </c>
      <c r="I441" s="4" t="s">
        <v>204</v>
      </c>
      <c r="J441" s="4" t="s">
        <v>10077</v>
      </c>
      <c r="K441" s="4" t="s">
        <v>10077</v>
      </c>
      <c r="L441" s="4" t="s">
        <v>10078</v>
      </c>
      <c r="N441" s="431"/>
      <c r="O441" s="431"/>
      <c r="P441" s="431"/>
      <c r="Q441" s="431"/>
      <c r="R441" s="431"/>
      <c r="S441" s="431"/>
      <c r="T441" s="431"/>
      <c r="U441" s="431"/>
      <c r="V441" s="431"/>
      <c r="W441" s="77"/>
      <c r="X441" s="77"/>
      <c r="Y441" s="77"/>
      <c r="Z441" s="77"/>
    </row>
    <row r="442" ht="16.5" customHeight="1">
      <c r="A442" s="31" t="s">
        <v>10079</v>
      </c>
      <c r="B442" s="31" t="s">
        <v>10080</v>
      </c>
      <c r="C442" s="31" t="s">
        <v>10081</v>
      </c>
      <c r="D442" s="4" t="s">
        <v>10082</v>
      </c>
      <c r="E442" s="4" t="s">
        <v>9130</v>
      </c>
      <c r="F442" s="4" t="s">
        <v>9316</v>
      </c>
      <c r="G442" s="4" t="s">
        <v>10047</v>
      </c>
      <c r="H442" s="4" t="s">
        <v>120</v>
      </c>
      <c r="I442" s="4" t="s">
        <v>9652</v>
      </c>
      <c r="J442" s="4" t="s">
        <v>10058</v>
      </c>
      <c r="K442" s="4" t="s">
        <v>10083</v>
      </c>
      <c r="L442" s="4" t="s">
        <v>10052</v>
      </c>
      <c r="N442" s="431"/>
      <c r="O442" s="431"/>
      <c r="P442" s="431"/>
      <c r="Q442" s="431"/>
      <c r="R442" s="431"/>
      <c r="S442" s="431"/>
      <c r="T442" s="431"/>
      <c r="U442" s="431"/>
      <c r="V442" s="431"/>
      <c r="W442" s="77"/>
      <c r="X442" s="77"/>
      <c r="Y442" s="77"/>
      <c r="Z442" s="77"/>
    </row>
    <row r="443" ht="16.5" customHeight="1">
      <c r="A443" s="31" t="s">
        <v>10084</v>
      </c>
      <c r="B443" s="31" t="s">
        <v>4867</v>
      </c>
      <c r="C443" s="31" t="s">
        <v>10085</v>
      </c>
      <c r="D443" s="108" t="s">
        <v>10086</v>
      </c>
      <c r="N443" s="431"/>
      <c r="O443" s="431"/>
      <c r="P443" s="431"/>
      <c r="Q443" s="431"/>
      <c r="R443" s="431"/>
      <c r="S443" s="431"/>
      <c r="T443" s="431"/>
      <c r="U443" s="431"/>
      <c r="V443" s="431"/>
      <c r="W443" s="77"/>
      <c r="X443" s="77"/>
      <c r="Y443" s="77"/>
      <c r="Z443" s="77"/>
    </row>
    <row r="444" ht="16.5" customHeight="1">
      <c r="A444" s="31" t="s">
        <v>10087</v>
      </c>
      <c r="B444" s="31" t="s">
        <v>10088</v>
      </c>
      <c r="C444" s="31" t="s">
        <v>10089</v>
      </c>
      <c r="D444" s="8"/>
      <c r="E444" s="8"/>
      <c r="F444" s="8"/>
      <c r="G444" s="8"/>
      <c r="H444" s="8"/>
      <c r="I444" s="8"/>
      <c r="J444" s="8"/>
      <c r="K444" s="8"/>
      <c r="L444" s="8"/>
      <c r="N444" s="431"/>
      <c r="O444" s="431"/>
      <c r="P444" s="431"/>
      <c r="Q444" s="431"/>
      <c r="R444" s="431"/>
      <c r="S444" s="431"/>
      <c r="T444" s="431"/>
      <c r="U444" s="431"/>
      <c r="V444" s="431"/>
      <c r="W444" s="77"/>
      <c r="X444" s="77"/>
      <c r="Y444" s="77"/>
      <c r="Z444" s="77"/>
    </row>
    <row r="445" ht="16.5" customHeight="1">
      <c r="A445" s="31" t="s">
        <v>10090</v>
      </c>
      <c r="B445" s="31" t="s">
        <v>10091</v>
      </c>
      <c r="C445" s="31" t="s">
        <v>10092</v>
      </c>
      <c r="D445" s="8"/>
      <c r="E445" s="8"/>
      <c r="F445" s="8"/>
      <c r="G445" s="8"/>
      <c r="H445" s="8"/>
      <c r="I445" s="8"/>
      <c r="J445" s="8"/>
      <c r="K445" s="8"/>
      <c r="L445" s="8"/>
      <c r="N445" s="431"/>
      <c r="O445" s="431"/>
      <c r="P445" s="431"/>
      <c r="Q445" s="431"/>
      <c r="R445" s="431"/>
      <c r="S445" s="431"/>
      <c r="T445" s="431"/>
      <c r="U445" s="431"/>
      <c r="V445" s="431"/>
      <c r="W445" s="77"/>
      <c r="X445" s="77"/>
      <c r="Y445" s="77"/>
      <c r="Z445" s="77"/>
    </row>
    <row r="446" ht="16.5" customHeight="1">
      <c r="A446" s="31" t="s">
        <v>10093</v>
      </c>
      <c r="B446" s="31" t="s">
        <v>10094</v>
      </c>
      <c r="C446" s="31" t="s">
        <v>10095</v>
      </c>
      <c r="N446" s="431"/>
      <c r="O446" s="431"/>
      <c r="P446" s="431"/>
      <c r="Q446" s="431"/>
      <c r="R446" s="431"/>
      <c r="S446" s="431"/>
      <c r="T446" s="431"/>
      <c r="U446" s="431"/>
      <c r="V446" s="431"/>
      <c r="W446" s="77"/>
      <c r="X446" s="77"/>
      <c r="Y446" s="77"/>
      <c r="Z446" s="77"/>
    </row>
    <row r="447" ht="16.5" customHeight="1">
      <c r="A447" s="423" t="s">
        <v>10096</v>
      </c>
      <c r="N447" s="431"/>
      <c r="O447" s="431"/>
      <c r="P447" s="431"/>
      <c r="Q447" s="431"/>
      <c r="R447" s="431"/>
      <c r="S447" s="431"/>
      <c r="T447" s="431"/>
      <c r="U447" s="431"/>
      <c r="V447" s="431"/>
      <c r="W447" s="77"/>
      <c r="X447" s="77"/>
      <c r="Y447" s="77"/>
      <c r="Z447" s="77"/>
    </row>
    <row r="448" ht="16.5" customHeight="1">
      <c r="A448" s="425" t="s">
        <v>9531</v>
      </c>
      <c r="B448" s="425" t="s">
        <v>9362</v>
      </c>
      <c r="C448" s="425" t="s">
        <v>9384</v>
      </c>
      <c r="D448" s="426" t="s">
        <v>9363</v>
      </c>
      <c r="N448" s="431"/>
      <c r="O448" s="431"/>
      <c r="P448" s="431"/>
      <c r="Q448" s="431"/>
      <c r="R448" s="431"/>
      <c r="S448" s="431"/>
      <c r="T448" s="431"/>
      <c r="U448" s="431"/>
      <c r="V448" s="431"/>
      <c r="W448" s="77"/>
      <c r="X448" s="77"/>
      <c r="Y448" s="77"/>
      <c r="Z448" s="77"/>
    </row>
    <row r="449" ht="16.5" customHeight="1">
      <c r="A449" s="428" t="s">
        <v>1263</v>
      </c>
      <c r="B449" s="428" t="s">
        <v>9364</v>
      </c>
      <c r="C449" s="31" t="s">
        <v>10097</v>
      </c>
      <c r="D449" s="427" t="s">
        <v>9365</v>
      </c>
      <c r="E449" s="427" t="s">
        <v>8952</v>
      </c>
      <c r="F449" s="427" t="s">
        <v>4702</v>
      </c>
      <c r="G449" s="427" t="s">
        <v>4703</v>
      </c>
      <c r="H449" s="427" t="s">
        <v>4320</v>
      </c>
      <c r="I449" s="427" t="s">
        <v>436</v>
      </c>
      <c r="J449" s="427" t="s">
        <v>4704</v>
      </c>
      <c r="K449" s="427" t="s">
        <v>135</v>
      </c>
      <c r="L449" s="427" t="s">
        <v>128</v>
      </c>
      <c r="N449" s="431"/>
      <c r="O449" s="431"/>
      <c r="P449" s="431"/>
      <c r="Q449" s="431"/>
      <c r="R449" s="431"/>
      <c r="S449" s="431"/>
      <c r="T449" s="431"/>
      <c r="U449" s="431"/>
      <c r="V449" s="431"/>
      <c r="W449" s="77"/>
      <c r="X449" s="77"/>
      <c r="Y449" s="77"/>
      <c r="Z449" s="77"/>
    </row>
    <row r="450" ht="16.5" customHeight="1">
      <c r="A450" s="31" t="s">
        <v>10098</v>
      </c>
      <c r="B450" s="31" t="s">
        <v>10099</v>
      </c>
      <c r="C450" s="31" t="s">
        <v>9461</v>
      </c>
      <c r="D450" s="4" t="s">
        <v>10100</v>
      </c>
      <c r="E450" s="4" t="s">
        <v>9181</v>
      </c>
      <c r="F450" s="4" t="s">
        <v>9286</v>
      </c>
      <c r="G450" s="4" t="s">
        <v>35</v>
      </c>
      <c r="H450" s="4" t="s">
        <v>9274</v>
      </c>
      <c r="I450" s="4" t="s">
        <v>4393</v>
      </c>
      <c r="J450" s="4" t="s">
        <v>10101</v>
      </c>
      <c r="K450" s="4" t="s">
        <v>10101</v>
      </c>
      <c r="L450" s="4" t="s">
        <v>10101</v>
      </c>
      <c r="M450" s="8"/>
      <c r="N450" s="431"/>
      <c r="O450" s="431"/>
      <c r="P450" s="431"/>
      <c r="Q450" s="431"/>
      <c r="R450" s="431"/>
      <c r="S450" s="431"/>
      <c r="T450" s="431"/>
      <c r="U450" s="431"/>
      <c r="V450" s="431"/>
      <c r="W450" s="77"/>
      <c r="X450" s="77"/>
      <c r="Y450" s="77"/>
      <c r="Z450" s="77"/>
    </row>
    <row r="451" ht="16.5" customHeight="1">
      <c r="A451" s="31" t="s">
        <v>10102</v>
      </c>
      <c r="B451" s="31" t="s">
        <v>10103</v>
      </c>
      <c r="C451" s="31" t="s">
        <v>9447</v>
      </c>
      <c r="D451" s="4" t="s">
        <v>10104</v>
      </c>
      <c r="E451" s="4" t="s">
        <v>9181</v>
      </c>
      <c r="F451" s="4" t="s">
        <v>9291</v>
      </c>
      <c r="G451" s="4" t="s">
        <v>35</v>
      </c>
      <c r="H451" s="4" t="s">
        <v>107</v>
      </c>
      <c r="I451" s="4" t="s">
        <v>4368</v>
      </c>
      <c r="J451" s="4" t="s">
        <v>10105</v>
      </c>
      <c r="K451" s="4" t="s">
        <v>10106</v>
      </c>
      <c r="L451" s="4" t="s">
        <v>10105</v>
      </c>
      <c r="M451" s="8"/>
      <c r="N451" s="431"/>
      <c r="O451" s="431"/>
      <c r="P451" s="431"/>
      <c r="Q451" s="431"/>
      <c r="R451" s="431"/>
      <c r="S451" s="431"/>
      <c r="T451" s="431"/>
      <c r="U451" s="431"/>
      <c r="V451" s="431"/>
      <c r="W451" s="77"/>
      <c r="X451" s="77"/>
      <c r="Y451" s="77"/>
      <c r="Z451" s="77"/>
    </row>
    <row r="452" ht="16.5" customHeight="1">
      <c r="A452" s="31" t="s">
        <v>10107</v>
      </c>
      <c r="B452" s="31" t="s">
        <v>10108</v>
      </c>
      <c r="C452" s="31" t="s">
        <v>10109</v>
      </c>
      <c r="D452" s="4" t="s">
        <v>10110</v>
      </c>
      <c r="E452" s="4" t="s">
        <v>9181</v>
      </c>
      <c r="F452" s="4" t="s">
        <v>8928</v>
      </c>
      <c r="G452" s="4" t="s">
        <v>35</v>
      </c>
      <c r="H452" s="4" t="s">
        <v>107</v>
      </c>
      <c r="I452" s="4" t="s">
        <v>9498</v>
      </c>
      <c r="J452" s="4" t="s">
        <v>10111</v>
      </c>
      <c r="K452" s="4" t="s">
        <v>10112</v>
      </c>
      <c r="L452" s="4" t="s">
        <v>10111</v>
      </c>
      <c r="M452" s="8"/>
      <c r="N452" s="431"/>
      <c r="O452" s="431"/>
      <c r="P452" s="431"/>
      <c r="Q452" s="431"/>
      <c r="R452" s="431"/>
      <c r="S452" s="431"/>
      <c r="T452" s="431"/>
      <c r="U452" s="431"/>
      <c r="V452" s="431"/>
      <c r="W452" s="77"/>
      <c r="X452" s="77"/>
      <c r="Y452" s="77"/>
      <c r="Z452" s="77"/>
    </row>
    <row r="453" ht="16.5" customHeight="1">
      <c r="A453" s="31" t="s">
        <v>10113</v>
      </c>
      <c r="B453" s="31" t="s">
        <v>10114</v>
      </c>
      <c r="C453" s="31" t="s">
        <v>10115</v>
      </c>
      <c r="D453" s="4" t="s">
        <v>9648</v>
      </c>
      <c r="E453" s="4" t="s">
        <v>9181</v>
      </c>
      <c r="F453" s="4" t="s">
        <v>9909</v>
      </c>
      <c r="G453" s="4" t="s">
        <v>35</v>
      </c>
      <c r="H453" s="4" t="s">
        <v>107</v>
      </c>
      <c r="I453" s="4" t="s">
        <v>4368</v>
      </c>
      <c r="J453" s="4" t="s">
        <v>10111</v>
      </c>
      <c r="K453" s="4" t="s">
        <v>10111</v>
      </c>
      <c r="L453" s="4" t="s">
        <v>10101</v>
      </c>
      <c r="M453" s="8"/>
      <c r="N453" s="431"/>
      <c r="O453" s="431"/>
      <c r="P453" s="431"/>
      <c r="Q453" s="431"/>
      <c r="R453" s="431"/>
      <c r="S453" s="431"/>
      <c r="T453" s="431"/>
      <c r="U453" s="431"/>
      <c r="V453" s="431"/>
      <c r="W453" s="77"/>
      <c r="X453" s="77"/>
      <c r="Y453" s="77"/>
      <c r="Z453" s="77"/>
    </row>
    <row r="454" ht="16.5" customHeight="1">
      <c r="A454" s="31" t="s">
        <v>10116</v>
      </c>
      <c r="B454" s="31" t="s">
        <v>1886</v>
      </c>
      <c r="C454" s="31" t="s">
        <v>9453</v>
      </c>
      <c r="D454" s="108" t="s">
        <v>10117</v>
      </c>
      <c r="M454" s="8"/>
      <c r="N454" s="431"/>
      <c r="O454" s="431"/>
      <c r="P454" s="431"/>
      <c r="Q454" s="431"/>
      <c r="R454" s="431"/>
      <c r="S454" s="431"/>
      <c r="T454" s="431"/>
      <c r="U454" s="431"/>
      <c r="V454" s="431"/>
      <c r="W454" s="77"/>
      <c r="X454" s="77"/>
      <c r="Y454" s="77"/>
      <c r="Z454" s="77"/>
    </row>
    <row r="455" ht="16.5" customHeight="1">
      <c r="A455" s="31" t="s">
        <v>10118</v>
      </c>
      <c r="B455" s="31" t="s">
        <v>10119</v>
      </c>
      <c r="C455" s="31" t="s">
        <v>10120</v>
      </c>
      <c r="N455" s="431"/>
      <c r="O455" s="431"/>
      <c r="P455" s="431"/>
      <c r="Q455" s="431"/>
      <c r="R455" s="431"/>
      <c r="S455" s="431"/>
      <c r="T455" s="431"/>
      <c r="U455" s="431"/>
      <c r="V455" s="431"/>
      <c r="W455" s="77"/>
      <c r="X455" s="77"/>
      <c r="Y455" s="77"/>
      <c r="Z455" s="77"/>
    </row>
    <row r="456" ht="16.5" customHeight="1">
      <c r="B456" s="31" t="s">
        <v>10121</v>
      </c>
      <c r="C456" s="31" t="s">
        <v>10122</v>
      </c>
      <c r="N456" s="431"/>
      <c r="O456" s="431"/>
      <c r="P456" s="431"/>
      <c r="Q456" s="431"/>
      <c r="R456" s="431"/>
      <c r="S456" s="431"/>
      <c r="T456" s="431"/>
      <c r="U456" s="431"/>
      <c r="V456" s="431"/>
      <c r="W456" s="77"/>
      <c r="X456" s="77"/>
      <c r="Y456" s="77"/>
      <c r="Z456" s="77"/>
    </row>
    <row r="457" ht="16.5" customHeight="1">
      <c r="A457" s="423" t="s">
        <v>10123</v>
      </c>
      <c r="N457" s="431"/>
      <c r="O457" s="431"/>
      <c r="P457" s="431"/>
      <c r="Q457" s="431"/>
      <c r="R457" s="431"/>
      <c r="S457" s="431"/>
      <c r="T457" s="431"/>
      <c r="U457" s="431"/>
      <c r="V457" s="431"/>
      <c r="W457" s="77"/>
      <c r="X457" s="77"/>
      <c r="Y457" s="77"/>
      <c r="Z457" s="77"/>
    </row>
    <row r="458" ht="16.5" customHeight="1">
      <c r="A458" s="425" t="s">
        <v>9770</v>
      </c>
      <c r="B458" s="425" t="s">
        <v>9459</v>
      </c>
      <c r="C458" s="426" t="s">
        <v>9363</v>
      </c>
      <c r="N458" s="431"/>
      <c r="O458" s="431"/>
      <c r="P458" s="431"/>
      <c r="Q458" s="431"/>
      <c r="R458" s="431"/>
      <c r="S458" s="431"/>
      <c r="T458" s="431"/>
      <c r="U458" s="431"/>
      <c r="V458" s="431"/>
      <c r="W458" s="77"/>
      <c r="X458" s="77"/>
      <c r="Y458" s="77"/>
      <c r="Z458" s="77"/>
    </row>
    <row r="459" ht="16.5" customHeight="1">
      <c r="A459" s="428" t="s">
        <v>9771</v>
      </c>
      <c r="B459" s="428" t="s">
        <v>9460</v>
      </c>
      <c r="C459" s="427" t="s">
        <v>9365</v>
      </c>
      <c r="D459" s="427" t="s">
        <v>8952</v>
      </c>
      <c r="E459" s="427" t="s">
        <v>4702</v>
      </c>
      <c r="F459" s="427" t="s">
        <v>4703</v>
      </c>
      <c r="G459" s="427" t="s">
        <v>4320</v>
      </c>
      <c r="H459" s="427" t="s">
        <v>436</v>
      </c>
      <c r="I459" s="427" t="s">
        <v>4704</v>
      </c>
      <c r="J459" s="427" t="s">
        <v>135</v>
      </c>
      <c r="K459" s="427" t="s">
        <v>128</v>
      </c>
      <c r="N459" s="431"/>
      <c r="O459" s="431"/>
      <c r="P459" s="431"/>
      <c r="Q459" s="431"/>
      <c r="R459" s="431"/>
      <c r="S459" s="431"/>
      <c r="T459" s="431"/>
      <c r="U459" s="431"/>
      <c r="V459" s="431"/>
      <c r="W459" s="77"/>
      <c r="X459" s="77"/>
      <c r="Y459" s="77"/>
      <c r="Z459" s="77"/>
    </row>
    <row r="460" ht="16.5" customHeight="1">
      <c r="A460" s="31" t="s">
        <v>2072</v>
      </c>
      <c r="B460" s="31" t="s">
        <v>1864</v>
      </c>
      <c r="C460" s="4" t="s">
        <v>9441</v>
      </c>
      <c r="D460" s="4" t="s">
        <v>9109</v>
      </c>
      <c r="E460" s="4" t="s">
        <v>9286</v>
      </c>
      <c r="F460" s="4" t="s">
        <v>9774</v>
      </c>
      <c r="G460" s="4" t="s">
        <v>9277</v>
      </c>
      <c r="H460" s="4" t="s">
        <v>6288</v>
      </c>
      <c r="I460" s="4" t="s">
        <v>10124</v>
      </c>
      <c r="J460" s="4" t="s">
        <v>10125</v>
      </c>
      <c r="K460" s="4" t="s">
        <v>10126</v>
      </c>
      <c r="L460" s="8"/>
      <c r="M460" s="8"/>
      <c r="N460" s="431"/>
      <c r="O460" s="431"/>
      <c r="P460" s="431"/>
      <c r="Q460" s="431"/>
      <c r="R460" s="431"/>
      <c r="S460" s="431"/>
      <c r="T460" s="431"/>
      <c r="U460" s="431"/>
      <c r="V460" s="431"/>
      <c r="W460" s="77"/>
      <c r="X460" s="77"/>
      <c r="Y460" s="77"/>
      <c r="Z460" s="77"/>
    </row>
    <row r="461" ht="16.5" customHeight="1">
      <c r="A461" s="31" t="s">
        <v>3759</v>
      </c>
      <c r="B461" s="31" t="s">
        <v>9998</v>
      </c>
      <c r="C461" s="108" t="s">
        <v>9676</v>
      </c>
      <c r="L461" s="8"/>
      <c r="M461" s="8"/>
      <c r="N461" s="431"/>
      <c r="O461" s="431"/>
      <c r="P461" s="431"/>
      <c r="Q461" s="431"/>
      <c r="R461" s="431"/>
      <c r="S461" s="431"/>
      <c r="T461" s="431"/>
      <c r="U461" s="431"/>
      <c r="V461" s="431"/>
      <c r="W461" s="77"/>
      <c r="X461" s="77"/>
      <c r="Y461" s="77"/>
      <c r="Z461" s="77"/>
    </row>
    <row r="462" ht="16.5" customHeight="1">
      <c r="A462" s="31" t="s">
        <v>9878</v>
      </c>
      <c r="B462" s="31" t="s">
        <v>9558</v>
      </c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431"/>
      <c r="O462" s="431"/>
      <c r="P462" s="431"/>
      <c r="Q462" s="431"/>
      <c r="R462" s="431"/>
      <c r="S462" s="431"/>
      <c r="T462" s="431"/>
      <c r="U462" s="431"/>
      <c r="V462" s="431"/>
      <c r="W462" s="77"/>
      <c r="X462" s="77"/>
      <c r="Y462" s="77"/>
      <c r="Z462" s="77"/>
    </row>
    <row r="463" ht="16.5" customHeight="1">
      <c r="A463" s="31" t="s">
        <v>10000</v>
      </c>
      <c r="B463" s="31" t="s">
        <v>9999</v>
      </c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431"/>
      <c r="O463" s="431"/>
      <c r="P463" s="431"/>
      <c r="Q463" s="431"/>
      <c r="R463" s="431"/>
      <c r="S463" s="431"/>
      <c r="T463" s="431"/>
      <c r="U463" s="431"/>
      <c r="V463" s="431"/>
      <c r="W463" s="77"/>
      <c r="X463" s="77"/>
      <c r="Y463" s="77"/>
      <c r="Z463" s="77"/>
    </row>
    <row r="464" ht="16.5" customHeight="1">
      <c r="A464" s="31" t="s">
        <v>8147</v>
      </c>
      <c r="B464" s="31" t="s">
        <v>10001</v>
      </c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431"/>
      <c r="O464" s="431"/>
      <c r="P464" s="431"/>
      <c r="Q464" s="431"/>
      <c r="R464" s="431"/>
      <c r="S464" s="431"/>
      <c r="T464" s="431"/>
      <c r="U464" s="431"/>
      <c r="V464" s="431"/>
      <c r="W464" s="77"/>
      <c r="X464" s="77"/>
      <c r="Y464" s="77"/>
      <c r="Z464" s="77"/>
    </row>
    <row r="465" ht="16.5" customHeight="1">
      <c r="A465" s="31" t="s">
        <v>8158</v>
      </c>
      <c r="B465" s="31" t="s">
        <v>10002</v>
      </c>
      <c r="N465" s="431"/>
      <c r="O465" s="431"/>
      <c r="P465" s="431"/>
      <c r="Q465" s="431"/>
      <c r="R465" s="431"/>
      <c r="S465" s="431"/>
      <c r="T465" s="431"/>
      <c r="U465" s="431"/>
      <c r="V465" s="431"/>
      <c r="W465" s="77"/>
      <c r="X465" s="77"/>
      <c r="Y465" s="77"/>
      <c r="Z465" s="77"/>
    </row>
    <row r="466" ht="16.5" customHeight="1">
      <c r="A466" s="31" t="s">
        <v>10004</v>
      </c>
      <c r="B466" s="31" t="s">
        <v>10003</v>
      </c>
      <c r="N466" s="431"/>
      <c r="O466" s="431"/>
      <c r="P466" s="431"/>
      <c r="Q466" s="431"/>
      <c r="R466" s="431"/>
      <c r="S466" s="431"/>
      <c r="T466" s="431"/>
      <c r="U466" s="431"/>
      <c r="V466" s="431"/>
      <c r="W466" s="77"/>
      <c r="X466" s="77"/>
      <c r="Y466" s="77"/>
      <c r="Z466" s="77"/>
    </row>
    <row r="467" ht="16.5" customHeight="1">
      <c r="A467" s="31" t="s">
        <v>3784</v>
      </c>
      <c r="B467" s="31" t="s">
        <v>10127</v>
      </c>
      <c r="N467" s="431"/>
      <c r="O467" s="431"/>
      <c r="P467" s="431"/>
      <c r="Q467" s="431"/>
      <c r="R467" s="431"/>
      <c r="S467" s="431"/>
      <c r="T467" s="431"/>
      <c r="U467" s="431"/>
      <c r="V467" s="431"/>
      <c r="W467" s="77"/>
      <c r="X467" s="77"/>
      <c r="Y467" s="77"/>
      <c r="Z467" s="77"/>
    </row>
    <row r="468" ht="16.5" customHeight="1">
      <c r="A468" s="31" t="s">
        <v>10006</v>
      </c>
      <c r="B468" s="31" t="s">
        <v>9607</v>
      </c>
      <c r="N468" s="431"/>
      <c r="O468" s="431"/>
      <c r="P468" s="431"/>
      <c r="Q468" s="431"/>
      <c r="R468" s="431"/>
      <c r="S468" s="431"/>
      <c r="T468" s="431"/>
      <c r="U468" s="431"/>
      <c r="V468" s="431"/>
      <c r="W468" s="77"/>
      <c r="X468" s="77"/>
      <c r="Y468" s="77"/>
      <c r="Z468" s="77"/>
    </row>
    <row r="469" ht="16.5" customHeight="1">
      <c r="A469" s="31" t="s">
        <v>10008</v>
      </c>
      <c r="B469" s="31" t="s">
        <v>10007</v>
      </c>
      <c r="N469" s="431"/>
      <c r="O469" s="431"/>
      <c r="P469" s="431"/>
      <c r="Q469" s="431"/>
      <c r="R469" s="431"/>
      <c r="S469" s="431"/>
      <c r="T469" s="431"/>
      <c r="U469" s="431"/>
      <c r="V469" s="431"/>
      <c r="W469" s="77"/>
      <c r="X469" s="77"/>
      <c r="Y469" s="77"/>
      <c r="Z469" s="77"/>
    </row>
    <row r="470" ht="16.5" customHeight="1">
      <c r="A470" s="31" t="s">
        <v>10010</v>
      </c>
      <c r="B470" s="31" t="s">
        <v>10009</v>
      </c>
      <c r="N470" s="431"/>
      <c r="O470" s="431"/>
      <c r="P470" s="431"/>
      <c r="Q470" s="431"/>
      <c r="R470" s="431"/>
      <c r="S470" s="431"/>
      <c r="T470" s="431"/>
      <c r="U470" s="431"/>
      <c r="V470" s="431"/>
      <c r="W470" s="77"/>
      <c r="X470" s="77"/>
      <c r="Y470" s="77"/>
      <c r="Z470" s="77"/>
    </row>
    <row r="471" ht="16.5" customHeight="1">
      <c r="A471" s="31" t="s">
        <v>9883</v>
      </c>
      <c r="B471" s="31" t="s">
        <v>10011</v>
      </c>
      <c r="N471" s="431"/>
      <c r="O471" s="431"/>
      <c r="P471" s="431"/>
      <c r="Q471" s="431"/>
      <c r="R471" s="431"/>
      <c r="S471" s="431"/>
      <c r="T471" s="431"/>
      <c r="U471" s="431"/>
      <c r="V471" s="431"/>
      <c r="W471" s="77"/>
      <c r="X471" s="77"/>
      <c r="Y471" s="77"/>
      <c r="Z471" s="77"/>
    </row>
    <row r="472" ht="16.5" customHeight="1">
      <c r="A472" s="31" t="s">
        <v>9966</v>
      </c>
      <c r="B472" s="31" t="s">
        <v>10012</v>
      </c>
      <c r="N472" s="431"/>
      <c r="O472" s="431"/>
      <c r="P472" s="431"/>
      <c r="Q472" s="431"/>
      <c r="R472" s="431"/>
      <c r="S472" s="431"/>
      <c r="T472" s="431"/>
      <c r="U472" s="431"/>
      <c r="V472" s="431"/>
      <c r="W472" s="77"/>
      <c r="X472" s="77"/>
      <c r="Y472" s="77"/>
      <c r="Z472" s="77"/>
    </row>
    <row r="473" ht="16.5" customHeight="1">
      <c r="A473" s="31" t="s">
        <v>9968</v>
      </c>
      <c r="B473" s="31" t="s">
        <v>10013</v>
      </c>
      <c r="M473" s="8"/>
      <c r="N473" s="424"/>
      <c r="O473" s="431"/>
      <c r="P473" s="431"/>
      <c r="Q473" s="431"/>
      <c r="R473" s="431"/>
      <c r="S473" s="431"/>
      <c r="T473" s="431"/>
      <c r="U473" s="431"/>
      <c r="V473" s="431"/>
      <c r="W473" s="77"/>
      <c r="X473" s="77"/>
      <c r="Y473" s="77"/>
      <c r="Z473" s="77"/>
    </row>
    <row r="474" ht="16.5" customHeight="1">
      <c r="A474" s="423" t="s">
        <v>10128</v>
      </c>
      <c r="M474" s="8"/>
      <c r="N474" s="424"/>
      <c r="O474" s="431"/>
      <c r="P474" s="431"/>
      <c r="Q474" s="431"/>
      <c r="R474" s="431"/>
      <c r="S474" s="431"/>
      <c r="T474" s="431"/>
      <c r="U474" s="431"/>
      <c r="V474" s="431"/>
      <c r="W474" s="77"/>
      <c r="X474" s="77"/>
      <c r="Y474" s="77"/>
      <c r="Z474" s="77"/>
    </row>
    <row r="475" ht="16.5" customHeight="1">
      <c r="A475" s="425" t="s">
        <v>9802</v>
      </c>
      <c r="B475" s="425" t="s">
        <v>9531</v>
      </c>
      <c r="C475" s="425" t="s">
        <v>9361</v>
      </c>
      <c r="D475" s="426" t="s">
        <v>9363</v>
      </c>
      <c r="M475" s="8"/>
      <c r="N475" s="424"/>
      <c r="O475" s="431"/>
      <c r="P475" s="431"/>
      <c r="Q475" s="431"/>
      <c r="R475" s="431"/>
      <c r="S475" s="431"/>
      <c r="T475" s="431"/>
      <c r="U475" s="431"/>
      <c r="V475" s="431"/>
      <c r="W475" s="77"/>
      <c r="X475" s="77"/>
      <c r="Y475" s="77"/>
      <c r="Z475" s="77"/>
    </row>
    <row r="476" ht="16.5" customHeight="1">
      <c r="A476" s="428" t="s">
        <v>10129</v>
      </c>
      <c r="B476" s="428" t="s">
        <v>10130</v>
      </c>
      <c r="C476" s="31" t="s">
        <v>3944</v>
      </c>
      <c r="D476" s="427" t="s">
        <v>9365</v>
      </c>
      <c r="E476" s="427" t="s">
        <v>8952</v>
      </c>
      <c r="F476" s="427" t="s">
        <v>4702</v>
      </c>
      <c r="G476" s="427" t="s">
        <v>4703</v>
      </c>
      <c r="H476" s="427" t="s">
        <v>4320</v>
      </c>
      <c r="I476" s="427" t="s">
        <v>436</v>
      </c>
      <c r="J476" s="427" t="s">
        <v>4704</v>
      </c>
      <c r="K476" s="427" t="s">
        <v>135</v>
      </c>
      <c r="L476" s="427" t="s">
        <v>128</v>
      </c>
      <c r="M476" s="8"/>
      <c r="N476" s="424"/>
      <c r="O476" s="431"/>
      <c r="P476" s="431"/>
      <c r="Q476" s="431"/>
      <c r="R476" s="431"/>
      <c r="S476" s="431"/>
      <c r="T476" s="431"/>
      <c r="U476" s="431"/>
      <c r="V476" s="431"/>
      <c r="W476" s="77"/>
      <c r="X476" s="77"/>
      <c r="Y476" s="77"/>
      <c r="Z476" s="77"/>
    </row>
    <row r="477" ht="16.5" customHeight="1">
      <c r="A477" s="31" t="s">
        <v>10131</v>
      </c>
      <c r="B477" s="31" t="s">
        <v>1265</v>
      </c>
      <c r="C477" s="31" t="s">
        <v>9366</v>
      </c>
      <c r="D477" s="4" t="s">
        <v>10132</v>
      </c>
      <c r="E477" s="4" t="s">
        <v>9181</v>
      </c>
      <c r="F477" s="4" t="s">
        <v>9282</v>
      </c>
      <c r="G477" s="4" t="s">
        <v>5803</v>
      </c>
      <c r="H477" s="4" t="s">
        <v>4</v>
      </c>
      <c r="I477" s="4" t="s">
        <v>158</v>
      </c>
      <c r="J477" s="4" t="s">
        <v>10133</v>
      </c>
      <c r="K477" s="4" t="s">
        <v>10134</v>
      </c>
      <c r="L477" s="4" t="s">
        <v>10133</v>
      </c>
      <c r="M477" s="8"/>
      <c r="N477" s="424"/>
      <c r="O477" s="431"/>
      <c r="P477" s="431"/>
      <c r="Q477" s="431"/>
      <c r="R477" s="431"/>
      <c r="S477" s="431"/>
      <c r="T477" s="431"/>
      <c r="U477" s="431"/>
      <c r="V477" s="431"/>
      <c r="W477" s="77"/>
      <c r="X477" s="77"/>
      <c r="Y477" s="77"/>
      <c r="Z477" s="77"/>
    </row>
    <row r="478" ht="16.5" customHeight="1">
      <c r="A478" s="31" t="s">
        <v>440</v>
      </c>
      <c r="B478" s="31" t="s">
        <v>10135</v>
      </c>
      <c r="C478" s="31" t="s">
        <v>10136</v>
      </c>
      <c r="D478" s="4" t="s">
        <v>10137</v>
      </c>
      <c r="E478" s="4" t="s">
        <v>9181</v>
      </c>
      <c r="F478" s="4" t="s">
        <v>9286</v>
      </c>
      <c r="G478" s="4" t="s">
        <v>5787</v>
      </c>
      <c r="H478" s="4" t="s">
        <v>17</v>
      </c>
      <c r="I478" s="4" t="s">
        <v>268</v>
      </c>
      <c r="J478" s="4" t="s">
        <v>10138</v>
      </c>
      <c r="K478" s="4" t="s">
        <v>10138</v>
      </c>
      <c r="L478" s="4" t="s">
        <v>10138</v>
      </c>
      <c r="M478" s="8"/>
      <c r="N478" s="424"/>
      <c r="O478" s="431"/>
      <c r="P478" s="431"/>
      <c r="Q478" s="431"/>
      <c r="R478" s="431"/>
      <c r="S478" s="431"/>
      <c r="T478" s="431"/>
      <c r="U478" s="431"/>
      <c r="V478" s="431"/>
      <c r="W478" s="77"/>
      <c r="X478" s="77"/>
      <c r="Y478" s="77"/>
      <c r="Z478" s="77"/>
    </row>
    <row r="479" ht="16.5" customHeight="1">
      <c r="A479" s="31" t="s">
        <v>824</v>
      </c>
      <c r="B479" s="31" t="s">
        <v>10139</v>
      </c>
      <c r="C479" s="31" t="s">
        <v>10140</v>
      </c>
      <c r="D479" s="4" t="s">
        <v>10141</v>
      </c>
      <c r="E479" s="4" t="s">
        <v>10142</v>
      </c>
      <c r="F479" s="4" t="s">
        <v>9291</v>
      </c>
      <c r="G479" s="4" t="s">
        <v>5816</v>
      </c>
      <c r="H479" s="4" t="s">
        <v>4</v>
      </c>
      <c r="I479" s="4" t="s">
        <v>6288</v>
      </c>
      <c r="J479" s="4" t="s">
        <v>10143</v>
      </c>
      <c r="K479" s="4" t="s">
        <v>10138</v>
      </c>
      <c r="L479" s="4" t="s">
        <v>10143</v>
      </c>
      <c r="M479" s="8"/>
      <c r="N479" s="424"/>
      <c r="O479" s="431"/>
      <c r="P479" s="431"/>
      <c r="Q479" s="431"/>
      <c r="R479" s="431"/>
      <c r="S479" s="431"/>
      <c r="T479" s="431"/>
      <c r="U479" s="431"/>
      <c r="V479" s="431"/>
      <c r="W479" s="77"/>
      <c r="X479" s="77"/>
      <c r="Y479" s="77"/>
      <c r="Z479" s="77"/>
    </row>
    <row r="480" ht="16.5" customHeight="1">
      <c r="A480" s="31" t="s">
        <v>10144</v>
      </c>
      <c r="B480" s="31" t="s">
        <v>10145</v>
      </c>
      <c r="C480" s="31" t="s">
        <v>10146</v>
      </c>
      <c r="D480" s="4" t="s">
        <v>10147</v>
      </c>
      <c r="E480" s="4" t="s">
        <v>9181</v>
      </c>
      <c r="F480" s="4" t="s">
        <v>8928</v>
      </c>
      <c r="G480" s="4" t="s">
        <v>5797</v>
      </c>
      <c r="H480" s="4" t="s">
        <v>4</v>
      </c>
      <c r="I480" s="4" t="s">
        <v>6288</v>
      </c>
      <c r="J480" s="4" t="s">
        <v>9805</v>
      </c>
      <c r="K480" s="4" t="s">
        <v>9805</v>
      </c>
      <c r="L480" s="4" t="s">
        <v>10143</v>
      </c>
      <c r="M480" s="8"/>
      <c r="N480" s="431"/>
      <c r="O480" s="431"/>
      <c r="P480" s="431"/>
      <c r="Q480" s="431"/>
      <c r="R480" s="431"/>
      <c r="S480" s="431"/>
      <c r="T480" s="431"/>
      <c r="U480" s="431"/>
      <c r="V480" s="431"/>
      <c r="W480" s="77"/>
      <c r="X480" s="77"/>
      <c r="Y480" s="77"/>
      <c r="Z480" s="77"/>
    </row>
    <row r="481" ht="16.5" customHeight="1">
      <c r="A481" s="31" t="s">
        <v>10148</v>
      </c>
      <c r="B481" s="31" t="s">
        <v>10149</v>
      </c>
      <c r="C481" s="31" t="s">
        <v>10150</v>
      </c>
      <c r="D481" s="4" t="s">
        <v>10151</v>
      </c>
      <c r="E481" s="4" t="s">
        <v>9181</v>
      </c>
      <c r="F481" s="4" t="s">
        <v>9909</v>
      </c>
      <c r="G481" s="4" t="s">
        <v>5838</v>
      </c>
      <c r="H481" s="4" t="s">
        <v>17</v>
      </c>
      <c r="I481" s="4" t="s">
        <v>9937</v>
      </c>
      <c r="J481" s="4" t="s">
        <v>10152</v>
      </c>
      <c r="K481" s="4" t="s">
        <v>10152</v>
      </c>
      <c r="L481" s="4" t="s">
        <v>10153</v>
      </c>
      <c r="M481" s="8"/>
      <c r="N481" s="431"/>
      <c r="O481" s="431"/>
      <c r="P481" s="431"/>
      <c r="Q481" s="431"/>
      <c r="R481" s="431"/>
      <c r="S481" s="431"/>
      <c r="T481" s="431"/>
      <c r="U481" s="431"/>
      <c r="V481" s="431"/>
      <c r="W481" s="77"/>
      <c r="X481" s="77"/>
      <c r="Y481" s="77"/>
      <c r="Z481" s="77"/>
    </row>
    <row r="482" ht="16.5" customHeight="1">
      <c r="A482" s="31" t="s">
        <v>10154</v>
      </c>
      <c r="B482" s="31" t="s">
        <v>10155</v>
      </c>
      <c r="C482" s="31" t="s">
        <v>10156</v>
      </c>
      <c r="D482" s="4" t="s">
        <v>10157</v>
      </c>
      <c r="E482" s="4" t="s">
        <v>9181</v>
      </c>
      <c r="F482" s="4" t="s">
        <v>9304</v>
      </c>
      <c r="G482" s="4" t="s">
        <v>5811</v>
      </c>
      <c r="H482" s="4" t="s">
        <v>17</v>
      </c>
      <c r="I482" s="4" t="s">
        <v>6288</v>
      </c>
      <c r="J482" s="4" t="s">
        <v>10152</v>
      </c>
      <c r="K482" s="4" t="s">
        <v>10152</v>
      </c>
      <c r="L482" s="4" t="s">
        <v>10153</v>
      </c>
      <c r="M482" s="8"/>
      <c r="N482" s="431"/>
      <c r="O482" s="431"/>
      <c r="P482" s="431"/>
      <c r="Q482" s="431"/>
      <c r="R482" s="431"/>
      <c r="S482" s="431"/>
      <c r="T482" s="431"/>
      <c r="U482" s="431"/>
      <c r="V482" s="431"/>
      <c r="W482" s="77"/>
      <c r="X482" s="77"/>
      <c r="Y482" s="77"/>
      <c r="Z482" s="77"/>
    </row>
    <row r="483" ht="16.5" customHeight="1">
      <c r="A483" s="31" t="s">
        <v>10158</v>
      </c>
      <c r="B483" s="31" t="s">
        <v>10159</v>
      </c>
      <c r="C483" s="31" t="s">
        <v>10160</v>
      </c>
      <c r="D483" s="4" t="s">
        <v>10161</v>
      </c>
      <c r="E483" s="4" t="s">
        <v>9181</v>
      </c>
      <c r="F483" s="4" t="s">
        <v>9311</v>
      </c>
      <c r="G483" s="4" t="s">
        <v>10162</v>
      </c>
      <c r="H483" s="4" t="s">
        <v>17</v>
      </c>
      <c r="I483" s="4" t="s">
        <v>6288</v>
      </c>
      <c r="J483" s="4" t="s">
        <v>10163</v>
      </c>
      <c r="K483" s="4" t="s">
        <v>10163</v>
      </c>
      <c r="L483" s="4" t="s">
        <v>10152</v>
      </c>
      <c r="M483" s="8"/>
      <c r="N483" s="431"/>
      <c r="O483" s="431"/>
      <c r="P483" s="431"/>
      <c r="Q483" s="431"/>
      <c r="R483" s="431"/>
      <c r="S483" s="431"/>
      <c r="T483" s="431"/>
      <c r="U483" s="431"/>
      <c r="V483" s="431"/>
      <c r="W483" s="77"/>
      <c r="X483" s="77"/>
      <c r="Y483" s="77"/>
      <c r="Z483" s="77"/>
    </row>
    <row r="484" ht="16.5" customHeight="1">
      <c r="A484" s="31"/>
      <c r="B484" s="31"/>
      <c r="C484" s="31"/>
      <c r="D484" s="108" t="s">
        <v>9982</v>
      </c>
      <c r="M484" s="8"/>
      <c r="N484" s="431"/>
      <c r="O484" s="431"/>
      <c r="P484" s="431"/>
      <c r="Q484" s="431"/>
      <c r="R484" s="431"/>
      <c r="S484" s="431"/>
      <c r="T484" s="431"/>
      <c r="U484" s="431"/>
      <c r="V484" s="431"/>
      <c r="W484" s="77"/>
      <c r="X484" s="77"/>
      <c r="Y484" s="77"/>
      <c r="Z484" s="77"/>
    </row>
    <row r="485" ht="16.5" customHeight="1">
      <c r="A485" s="423" t="s">
        <v>10164</v>
      </c>
      <c r="N485" s="431"/>
      <c r="O485" s="431"/>
      <c r="P485" s="431"/>
      <c r="Q485" s="431"/>
      <c r="R485" s="431"/>
      <c r="S485" s="431"/>
      <c r="T485" s="431"/>
      <c r="U485" s="431"/>
      <c r="V485" s="431"/>
      <c r="W485" s="77"/>
      <c r="X485" s="77"/>
      <c r="Y485" s="77"/>
      <c r="Z485" s="77"/>
    </row>
    <row r="486" ht="16.5" customHeight="1">
      <c r="A486" s="425" t="s">
        <v>10165</v>
      </c>
      <c r="B486" s="425" t="s">
        <v>9459</v>
      </c>
      <c r="C486" s="426" t="s">
        <v>9363</v>
      </c>
      <c r="N486" s="431"/>
      <c r="O486" s="431"/>
      <c r="P486" s="431"/>
      <c r="Q486" s="431"/>
      <c r="R486" s="431"/>
      <c r="S486" s="431"/>
      <c r="T486" s="431"/>
      <c r="U486" s="431"/>
      <c r="V486" s="431"/>
      <c r="W486" s="77"/>
      <c r="X486" s="77"/>
      <c r="Y486" s="77"/>
      <c r="Z486" s="77"/>
    </row>
    <row r="487" ht="16.5" customHeight="1">
      <c r="A487" s="428" t="s">
        <v>387</v>
      </c>
      <c r="B487" s="428" t="s">
        <v>10166</v>
      </c>
      <c r="C487" s="427" t="s">
        <v>9365</v>
      </c>
      <c r="D487" s="427" t="s">
        <v>8952</v>
      </c>
      <c r="E487" s="427" t="s">
        <v>4702</v>
      </c>
      <c r="F487" s="427" t="s">
        <v>4703</v>
      </c>
      <c r="G487" s="427" t="s">
        <v>4320</v>
      </c>
      <c r="H487" s="427" t="s">
        <v>436</v>
      </c>
      <c r="I487" s="427" t="s">
        <v>4704</v>
      </c>
      <c r="J487" s="427" t="s">
        <v>135</v>
      </c>
      <c r="K487" s="427" t="s">
        <v>128</v>
      </c>
      <c r="N487" s="431"/>
      <c r="O487" s="431"/>
      <c r="P487" s="431"/>
      <c r="Q487" s="431"/>
      <c r="R487" s="431"/>
      <c r="S487" s="431"/>
      <c r="T487" s="431"/>
      <c r="U487" s="431"/>
      <c r="V487" s="431"/>
      <c r="W487" s="77"/>
      <c r="X487" s="77"/>
      <c r="Y487" s="77"/>
      <c r="Z487" s="77"/>
    </row>
    <row r="488" ht="16.5" customHeight="1">
      <c r="A488" s="31" t="s">
        <v>10167</v>
      </c>
      <c r="B488" s="31" t="s">
        <v>10168</v>
      </c>
      <c r="C488" s="4" t="s">
        <v>9441</v>
      </c>
      <c r="D488" s="4" t="s">
        <v>10169</v>
      </c>
      <c r="E488" s="4" t="s">
        <v>9282</v>
      </c>
      <c r="F488" s="4" t="s">
        <v>10170</v>
      </c>
      <c r="G488" s="4" t="s">
        <v>9277</v>
      </c>
      <c r="H488" s="4" t="s">
        <v>4368</v>
      </c>
      <c r="I488" s="4" t="s">
        <v>10171</v>
      </c>
      <c r="J488" s="4" t="s">
        <v>10172</v>
      </c>
      <c r="K488" s="4" t="s">
        <v>10171</v>
      </c>
      <c r="L488" s="8"/>
      <c r="N488" s="431"/>
      <c r="O488" s="431"/>
      <c r="P488" s="431"/>
      <c r="Q488" s="431"/>
      <c r="R488" s="431"/>
      <c r="S488" s="431"/>
      <c r="T488" s="431"/>
      <c r="U488" s="431"/>
      <c r="V488" s="431"/>
      <c r="W488" s="77"/>
      <c r="X488" s="77"/>
      <c r="Y488" s="77"/>
      <c r="Z488" s="77"/>
    </row>
    <row r="489" ht="16.5" customHeight="1">
      <c r="A489" s="31" t="s">
        <v>10173</v>
      </c>
      <c r="B489" s="31" t="s">
        <v>10174</v>
      </c>
      <c r="C489" s="4" t="s">
        <v>9466</v>
      </c>
      <c r="D489" s="4" t="s">
        <v>10169</v>
      </c>
      <c r="E489" s="4" t="s">
        <v>9291</v>
      </c>
      <c r="F489" s="4" t="s">
        <v>10170</v>
      </c>
      <c r="G489" s="4" t="s">
        <v>9277</v>
      </c>
      <c r="H489" s="4" t="s">
        <v>4393</v>
      </c>
      <c r="I489" s="4" t="s">
        <v>9673</v>
      </c>
      <c r="J489" s="4" t="s">
        <v>10175</v>
      </c>
      <c r="K489" s="4" t="s">
        <v>10176</v>
      </c>
      <c r="L489" s="8"/>
      <c r="N489" s="431"/>
      <c r="O489" s="431"/>
      <c r="P489" s="431"/>
      <c r="Q489" s="431"/>
      <c r="R489" s="431"/>
      <c r="S489" s="431"/>
      <c r="T489" s="431"/>
      <c r="U489" s="431"/>
      <c r="V489" s="431"/>
      <c r="W489" s="77"/>
      <c r="X489" s="77"/>
      <c r="Y489" s="77"/>
      <c r="Z489" s="77"/>
    </row>
    <row r="490" ht="16.5" customHeight="1">
      <c r="A490" s="31" t="s">
        <v>10177</v>
      </c>
      <c r="B490" s="31" t="s">
        <v>10178</v>
      </c>
      <c r="C490" s="4" t="s">
        <v>9472</v>
      </c>
      <c r="D490" s="4" t="s">
        <v>10169</v>
      </c>
      <c r="E490" s="4" t="s">
        <v>8928</v>
      </c>
      <c r="F490" s="4" t="s">
        <v>10170</v>
      </c>
      <c r="G490" s="4" t="s">
        <v>9277</v>
      </c>
      <c r="H490" s="4" t="s">
        <v>8066</v>
      </c>
      <c r="I490" s="4" t="s">
        <v>10179</v>
      </c>
      <c r="J490" s="4" t="s">
        <v>10180</v>
      </c>
      <c r="K490" s="4" t="s">
        <v>10179</v>
      </c>
      <c r="L490" s="8"/>
      <c r="N490" s="431"/>
      <c r="O490" s="431"/>
      <c r="P490" s="431"/>
      <c r="Q490" s="431"/>
      <c r="R490" s="431"/>
      <c r="S490" s="431"/>
      <c r="T490" s="431"/>
      <c r="U490" s="431"/>
      <c r="V490" s="431"/>
      <c r="W490" s="77"/>
      <c r="X490" s="77"/>
      <c r="Y490" s="77"/>
      <c r="Z490" s="77"/>
    </row>
    <row r="491" ht="16.5" customHeight="1">
      <c r="A491" s="31" t="s">
        <v>10181</v>
      </c>
      <c r="B491" s="31" t="s">
        <v>10182</v>
      </c>
      <c r="C491" s="108" t="s">
        <v>9676</v>
      </c>
      <c r="L491" s="8"/>
      <c r="N491" s="431"/>
      <c r="O491" s="431"/>
      <c r="P491" s="431"/>
      <c r="Q491" s="431"/>
      <c r="R491" s="431"/>
      <c r="S491" s="431"/>
      <c r="T491" s="431"/>
      <c r="U491" s="431"/>
      <c r="V491" s="431"/>
      <c r="W491" s="77"/>
      <c r="X491" s="77"/>
      <c r="Y491" s="77"/>
      <c r="Z491" s="77"/>
    </row>
    <row r="492" ht="16.5" customHeight="1">
      <c r="A492" s="31" t="s">
        <v>10183</v>
      </c>
      <c r="B492" s="31" t="s">
        <v>2114</v>
      </c>
      <c r="C492" s="8"/>
      <c r="D492" s="8"/>
      <c r="E492" s="8"/>
      <c r="F492" s="8"/>
      <c r="G492" s="8"/>
      <c r="H492" s="8"/>
      <c r="I492" s="8"/>
      <c r="J492" s="8"/>
      <c r="K492" s="8"/>
      <c r="L492" s="8"/>
      <c r="N492" s="431"/>
      <c r="O492" s="431"/>
      <c r="P492" s="431"/>
      <c r="Q492" s="431"/>
      <c r="R492" s="431"/>
      <c r="S492" s="431"/>
      <c r="T492" s="431"/>
      <c r="U492" s="431"/>
      <c r="V492" s="431"/>
      <c r="W492" s="77"/>
      <c r="X492" s="77"/>
      <c r="Y492" s="77"/>
      <c r="Z492" s="77"/>
    </row>
    <row r="493" ht="16.5" customHeight="1">
      <c r="A493" s="31" t="s">
        <v>10184</v>
      </c>
      <c r="B493" s="31" t="s">
        <v>4106</v>
      </c>
      <c r="C493" s="8"/>
      <c r="D493" s="8"/>
      <c r="E493" s="8"/>
      <c r="F493" s="8"/>
      <c r="G493" s="8"/>
      <c r="H493" s="8"/>
      <c r="I493" s="8"/>
      <c r="J493" s="8"/>
      <c r="K493" s="8"/>
      <c r="L493" s="8"/>
      <c r="N493" s="431"/>
      <c r="O493" s="431"/>
      <c r="P493" s="431"/>
      <c r="Q493" s="431"/>
      <c r="R493" s="431"/>
      <c r="S493" s="431"/>
      <c r="T493" s="431"/>
      <c r="U493" s="431"/>
      <c r="V493" s="431"/>
      <c r="W493" s="77"/>
      <c r="X493" s="77"/>
      <c r="Y493" s="77"/>
      <c r="Z493" s="77"/>
    </row>
    <row r="494" ht="16.5" customHeight="1">
      <c r="A494" s="31" t="s">
        <v>406</v>
      </c>
      <c r="B494" s="31" t="s">
        <v>10185</v>
      </c>
      <c r="N494" s="431"/>
      <c r="O494" s="431"/>
      <c r="P494" s="431"/>
      <c r="Q494" s="431"/>
      <c r="R494" s="431"/>
      <c r="S494" s="431"/>
      <c r="T494" s="431"/>
      <c r="U494" s="431"/>
      <c r="V494" s="431"/>
      <c r="W494" s="77"/>
      <c r="X494" s="77"/>
      <c r="Y494" s="77"/>
      <c r="Z494" s="77"/>
    </row>
    <row r="495" ht="16.5" customHeight="1">
      <c r="B495" s="31" t="s">
        <v>10186</v>
      </c>
      <c r="N495" s="431"/>
      <c r="O495" s="431"/>
      <c r="P495" s="431"/>
      <c r="Q495" s="431"/>
      <c r="R495" s="431"/>
      <c r="S495" s="431"/>
      <c r="T495" s="431"/>
      <c r="U495" s="431"/>
      <c r="V495" s="431"/>
      <c r="W495" s="77"/>
      <c r="X495" s="77"/>
      <c r="Y495" s="77"/>
      <c r="Z495" s="77"/>
    </row>
    <row r="496" ht="16.5" customHeight="1">
      <c r="B496" s="31" t="s">
        <v>10187</v>
      </c>
      <c r="N496" s="431"/>
      <c r="O496" s="431"/>
      <c r="P496" s="431"/>
      <c r="Q496" s="431"/>
      <c r="R496" s="431"/>
      <c r="S496" s="431"/>
      <c r="T496" s="431"/>
      <c r="U496" s="431"/>
      <c r="V496" s="431"/>
      <c r="W496" s="77"/>
      <c r="X496" s="77"/>
      <c r="Y496" s="77"/>
      <c r="Z496" s="77"/>
    </row>
    <row r="497" ht="16.5" customHeight="1">
      <c r="A497" s="423" t="s">
        <v>10188</v>
      </c>
      <c r="N497" s="431"/>
      <c r="O497" s="431"/>
      <c r="P497" s="431"/>
      <c r="Q497" s="431"/>
      <c r="R497" s="431"/>
      <c r="S497" s="431"/>
      <c r="T497" s="431"/>
      <c r="U497" s="431"/>
      <c r="V497" s="431"/>
      <c r="W497" s="77"/>
      <c r="X497" s="77"/>
      <c r="Y497" s="77"/>
      <c r="Z497" s="77"/>
    </row>
    <row r="498" ht="16.5" customHeight="1">
      <c r="A498" s="425" t="s">
        <v>9459</v>
      </c>
      <c r="B498" s="425" t="s">
        <v>10015</v>
      </c>
      <c r="C498" s="426" t="s">
        <v>9363</v>
      </c>
      <c r="N498" s="431"/>
      <c r="O498" s="431"/>
      <c r="P498" s="431"/>
      <c r="Q498" s="431"/>
      <c r="R498" s="431"/>
      <c r="S498" s="431"/>
      <c r="T498" s="431"/>
      <c r="U498" s="431"/>
      <c r="V498" s="431"/>
      <c r="W498" s="77"/>
      <c r="X498" s="77"/>
      <c r="Y498" s="77"/>
      <c r="Z498" s="77"/>
    </row>
    <row r="499" ht="16.5" customHeight="1">
      <c r="A499" s="428" t="s">
        <v>9669</v>
      </c>
      <c r="B499" s="428" t="s">
        <v>10189</v>
      </c>
      <c r="C499" s="427" t="s">
        <v>9365</v>
      </c>
      <c r="D499" s="427" t="s">
        <v>8952</v>
      </c>
      <c r="E499" s="427" t="s">
        <v>4702</v>
      </c>
      <c r="F499" s="427" t="s">
        <v>4703</v>
      </c>
      <c r="G499" s="427" t="s">
        <v>4320</v>
      </c>
      <c r="H499" s="427" t="s">
        <v>436</v>
      </c>
      <c r="I499" s="427" t="s">
        <v>4704</v>
      </c>
      <c r="J499" s="427" t="s">
        <v>135</v>
      </c>
      <c r="K499" s="427" t="s">
        <v>128</v>
      </c>
      <c r="N499" s="431"/>
      <c r="O499" s="431"/>
      <c r="P499" s="431"/>
      <c r="Q499" s="431"/>
      <c r="R499" s="431"/>
      <c r="S499" s="431"/>
      <c r="T499" s="431"/>
      <c r="U499" s="431"/>
      <c r="V499" s="431"/>
      <c r="W499" s="77"/>
      <c r="X499" s="77"/>
      <c r="Y499" s="77"/>
      <c r="Z499" s="77"/>
    </row>
    <row r="500" ht="16.5" customHeight="1">
      <c r="A500" s="31" t="s">
        <v>1864</v>
      </c>
      <c r="B500" s="31" t="s">
        <v>10190</v>
      </c>
      <c r="C500" s="4" t="s">
        <v>9441</v>
      </c>
      <c r="D500" s="4" t="s">
        <v>9183</v>
      </c>
      <c r="E500" s="4" t="s">
        <v>10191</v>
      </c>
      <c r="F500" s="4" t="s">
        <v>10192</v>
      </c>
      <c r="G500" s="4" t="s">
        <v>9277</v>
      </c>
      <c r="H500" s="4" t="s">
        <v>10193</v>
      </c>
      <c r="I500" s="4" t="s">
        <v>10194</v>
      </c>
      <c r="J500" s="4" t="s">
        <v>10195</v>
      </c>
      <c r="K500" s="4" t="s">
        <v>10194</v>
      </c>
      <c r="L500" s="8"/>
      <c r="M500" s="8"/>
      <c r="N500" s="431"/>
      <c r="O500" s="431"/>
      <c r="P500" s="431"/>
      <c r="Q500" s="431"/>
      <c r="R500" s="431"/>
      <c r="S500" s="431"/>
      <c r="T500" s="431"/>
      <c r="U500" s="431"/>
      <c r="V500" s="431"/>
      <c r="W500" s="77"/>
      <c r="X500" s="77"/>
      <c r="Y500" s="77"/>
      <c r="Z500" s="77"/>
    </row>
    <row r="501" ht="16.5" customHeight="1">
      <c r="A501" s="31" t="s">
        <v>10196</v>
      </c>
      <c r="B501" s="31" t="s">
        <v>10197</v>
      </c>
      <c r="C501" s="108" t="s">
        <v>9676</v>
      </c>
      <c r="L501" s="8"/>
      <c r="M501" s="8"/>
      <c r="N501" s="431"/>
      <c r="O501" s="431"/>
      <c r="P501" s="431"/>
      <c r="Q501" s="431"/>
      <c r="R501" s="431"/>
      <c r="S501" s="431"/>
      <c r="T501" s="431"/>
      <c r="U501" s="431"/>
      <c r="V501" s="431"/>
      <c r="W501" s="77"/>
      <c r="X501" s="77"/>
      <c r="Y501" s="77"/>
      <c r="Z501" s="77"/>
    </row>
    <row r="502" ht="16.5" customHeight="1">
      <c r="A502" s="31" t="s">
        <v>10198</v>
      </c>
      <c r="B502" s="31" t="s">
        <v>5262</v>
      </c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431"/>
      <c r="O502" s="431"/>
      <c r="P502" s="431"/>
      <c r="Q502" s="431"/>
      <c r="R502" s="431"/>
      <c r="S502" s="431"/>
      <c r="T502" s="431"/>
      <c r="U502" s="431"/>
      <c r="V502" s="431"/>
      <c r="W502" s="77"/>
      <c r="X502" s="77"/>
      <c r="Y502" s="77"/>
      <c r="Z502" s="77"/>
    </row>
    <row r="503" ht="16.5" customHeight="1">
      <c r="A503" s="31" t="s">
        <v>10199</v>
      </c>
      <c r="B503" s="31" t="s">
        <v>10200</v>
      </c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431"/>
      <c r="O503" s="431"/>
      <c r="P503" s="431"/>
      <c r="Q503" s="431"/>
      <c r="R503" s="431"/>
      <c r="S503" s="431"/>
      <c r="T503" s="431"/>
      <c r="U503" s="431"/>
      <c r="V503" s="431"/>
      <c r="W503" s="77"/>
      <c r="X503" s="77"/>
      <c r="Y503" s="77"/>
      <c r="Z503" s="77"/>
    </row>
    <row r="504" ht="16.5" customHeight="1">
      <c r="A504" s="31" t="s">
        <v>10201</v>
      </c>
      <c r="B504" s="31" t="s">
        <v>10202</v>
      </c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431"/>
      <c r="O504" s="431"/>
      <c r="P504" s="431"/>
      <c r="Q504" s="431"/>
      <c r="R504" s="431"/>
      <c r="S504" s="431"/>
      <c r="T504" s="431"/>
      <c r="U504" s="431"/>
      <c r="V504" s="431"/>
      <c r="W504" s="77"/>
      <c r="X504" s="77"/>
      <c r="Y504" s="77"/>
      <c r="Z504" s="77"/>
    </row>
    <row r="505" ht="16.5" customHeight="1">
      <c r="A505" s="31" t="s">
        <v>10203</v>
      </c>
      <c r="B505" s="31" t="s">
        <v>10204</v>
      </c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431"/>
      <c r="O505" s="431"/>
      <c r="P505" s="431"/>
      <c r="Q505" s="431"/>
      <c r="R505" s="431"/>
      <c r="S505" s="431"/>
      <c r="T505" s="431"/>
      <c r="U505" s="431"/>
      <c r="V505" s="431"/>
      <c r="W505" s="77"/>
      <c r="X505" s="77"/>
      <c r="Y505" s="77"/>
      <c r="Z505" s="77"/>
    </row>
    <row r="506" ht="16.5" customHeight="1">
      <c r="A506" s="31" t="s">
        <v>10205</v>
      </c>
      <c r="B506" s="31" t="s">
        <v>10206</v>
      </c>
      <c r="L506" s="8"/>
      <c r="M506" s="8"/>
      <c r="N506" s="424"/>
      <c r="O506" s="431"/>
      <c r="P506" s="431"/>
      <c r="Q506" s="431"/>
      <c r="R506" s="431"/>
      <c r="S506" s="431"/>
      <c r="T506" s="431"/>
      <c r="U506" s="431"/>
      <c r="V506" s="431"/>
      <c r="W506" s="77"/>
      <c r="X506" s="77"/>
      <c r="Y506" s="77"/>
      <c r="Z506" s="77"/>
    </row>
    <row r="507" ht="16.5" customHeight="1">
      <c r="A507" s="31" t="s">
        <v>9765</v>
      </c>
      <c r="B507" s="31" t="s">
        <v>10207</v>
      </c>
      <c r="L507" s="8"/>
      <c r="M507" s="8"/>
      <c r="N507" s="424"/>
      <c r="O507" s="431"/>
      <c r="P507" s="431"/>
      <c r="Q507" s="431"/>
      <c r="R507" s="431"/>
      <c r="S507" s="431"/>
      <c r="T507" s="431"/>
      <c r="U507" s="431"/>
      <c r="V507" s="431"/>
      <c r="W507" s="77"/>
      <c r="X507" s="77"/>
      <c r="Y507" s="77"/>
      <c r="Z507" s="77"/>
    </row>
    <row r="508" ht="16.5" customHeight="1">
      <c r="A508" s="31" t="s">
        <v>10208</v>
      </c>
      <c r="B508" s="31" t="s">
        <v>10209</v>
      </c>
      <c r="L508" s="8"/>
      <c r="M508" s="8"/>
      <c r="N508" s="424"/>
      <c r="O508" s="431"/>
      <c r="P508" s="431"/>
      <c r="Q508" s="431"/>
      <c r="R508" s="431"/>
      <c r="S508" s="431"/>
      <c r="T508" s="431"/>
      <c r="U508" s="431"/>
      <c r="V508" s="431"/>
      <c r="W508" s="77"/>
      <c r="X508" s="77"/>
      <c r="Y508" s="77"/>
      <c r="Z508" s="77"/>
    </row>
    <row r="509" ht="16.5" customHeight="1">
      <c r="A509" s="423" t="s">
        <v>10210</v>
      </c>
      <c r="L509" s="8"/>
      <c r="M509" s="8"/>
      <c r="N509" s="424"/>
      <c r="O509" s="431"/>
      <c r="P509" s="431"/>
      <c r="Q509" s="431"/>
      <c r="R509" s="431"/>
      <c r="S509" s="431"/>
      <c r="T509" s="431"/>
      <c r="U509" s="431"/>
      <c r="V509" s="431"/>
      <c r="W509" s="77"/>
      <c r="X509" s="77"/>
      <c r="Y509" s="77"/>
      <c r="Z509" s="77"/>
    </row>
    <row r="510" ht="16.5" customHeight="1">
      <c r="A510" s="425" t="s">
        <v>10015</v>
      </c>
      <c r="B510" s="425" t="s">
        <v>9459</v>
      </c>
      <c r="C510" s="426" t="s">
        <v>9363</v>
      </c>
      <c r="L510" s="8"/>
      <c r="M510" s="8"/>
      <c r="N510" s="424"/>
      <c r="O510" s="431"/>
      <c r="P510" s="431"/>
      <c r="Q510" s="431"/>
      <c r="R510" s="431"/>
      <c r="S510" s="431"/>
      <c r="T510" s="431"/>
      <c r="U510" s="431"/>
      <c r="V510" s="431"/>
      <c r="W510" s="77"/>
      <c r="X510" s="77"/>
      <c r="Y510" s="77"/>
      <c r="Z510" s="77"/>
    </row>
    <row r="511" ht="16.5" customHeight="1">
      <c r="A511" s="428" t="s">
        <v>10189</v>
      </c>
      <c r="B511" s="428" t="s">
        <v>9669</v>
      </c>
      <c r="C511" s="427" t="s">
        <v>9365</v>
      </c>
      <c r="D511" s="427" t="s">
        <v>8952</v>
      </c>
      <c r="E511" s="427" t="s">
        <v>4702</v>
      </c>
      <c r="F511" s="427" t="s">
        <v>4703</v>
      </c>
      <c r="G511" s="427" t="s">
        <v>4320</v>
      </c>
      <c r="H511" s="427" t="s">
        <v>436</v>
      </c>
      <c r="I511" s="427" t="s">
        <v>4704</v>
      </c>
      <c r="J511" s="427" t="s">
        <v>135</v>
      </c>
      <c r="K511" s="427" t="s">
        <v>128</v>
      </c>
      <c r="N511" s="431"/>
      <c r="O511" s="431"/>
      <c r="P511" s="431"/>
      <c r="Q511" s="431"/>
      <c r="R511" s="431"/>
      <c r="S511" s="431"/>
      <c r="T511" s="431"/>
      <c r="U511" s="431"/>
      <c r="V511" s="431"/>
      <c r="W511" s="77"/>
      <c r="X511" s="77"/>
      <c r="Y511" s="77"/>
      <c r="Z511" s="77"/>
    </row>
    <row r="512" ht="16.5" customHeight="1">
      <c r="A512" s="31" t="s">
        <v>10190</v>
      </c>
      <c r="B512" s="31" t="s">
        <v>9496</v>
      </c>
      <c r="C512" s="4" t="s">
        <v>9441</v>
      </c>
      <c r="D512" s="4" t="s">
        <v>9183</v>
      </c>
      <c r="E512" s="4" t="s">
        <v>9278</v>
      </c>
      <c r="F512" s="4" t="s">
        <v>10211</v>
      </c>
      <c r="G512" s="4" t="s">
        <v>9</v>
      </c>
      <c r="H512" s="4" t="s">
        <v>8066</v>
      </c>
      <c r="I512" s="4" t="s">
        <v>10212</v>
      </c>
      <c r="J512" s="4" t="s">
        <v>10213</v>
      </c>
      <c r="K512" s="4" t="s">
        <v>10212</v>
      </c>
      <c r="N512" s="431"/>
      <c r="O512" s="431"/>
      <c r="P512" s="431"/>
      <c r="Q512" s="431"/>
      <c r="R512" s="431"/>
      <c r="S512" s="431"/>
      <c r="T512" s="431"/>
      <c r="U512" s="431"/>
      <c r="V512" s="431"/>
      <c r="W512" s="77"/>
      <c r="X512" s="77"/>
      <c r="Y512" s="77"/>
      <c r="Z512" s="77"/>
    </row>
    <row r="513" ht="16.5" customHeight="1">
      <c r="A513" s="31" t="s">
        <v>10197</v>
      </c>
      <c r="B513" s="31" t="s">
        <v>2101</v>
      </c>
      <c r="C513" s="108" t="s">
        <v>10026</v>
      </c>
      <c r="N513" s="431"/>
      <c r="O513" s="431"/>
      <c r="P513" s="431"/>
      <c r="Q513" s="431"/>
      <c r="R513" s="431"/>
      <c r="S513" s="431"/>
      <c r="T513" s="431"/>
      <c r="U513" s="431"/>
      <c r="V513" s="431"/>
      <c r="W513" s="77"/>
      <c r="X513" s="77"/>
      <c r="Y513" s="77"/>
      <c r="Z513" s="77"/>
    </row>
    <row r="514" ht="16.5" customHeight="1">
      <c r="A514" s="31" t="s">
        <v>5262</v>
      </c>
      <c r="B514" s="31" t="s">
        <v>10214</v>
      </c>
      <c r="C514" s="8"/>
      <c r="D514" s="8"/>
      <c r="E514" s="8"/>
      <c r="F514" s="8"/>
      <c r="G514" s="8"/>
      <c r="H514" s="8"/>
      <c r="I514" s="8"/>
      <c r="J514" s="8"/>
      <c r="K514" s="8"/>
      <c r="N514" s="431"/>
      <c r="O514" s="431"/>
      <c r="P514" s="431"/>
      <c r="Q514" s="431"/>
      <c r="R514" s="431"/>
      <c r="S514" s="431"/>
      <c r="T514" s="431"/>
      <c r="U514" s="431"/>
      <c r="V514" s="431"/>
      <c r="W514" s="77"/>
      <c r="X514" s="77"/>
      <c r="Y514" s="77"/>
      <c r="Z514" s="77"/>
    </row>
    <row r="515" ht="16.5" customHeight="1">
      <c r="A515" s="31" t="s">
        <v>10200</v>
      </c>
      <c r="B515" s="31" t="s">
        <v>10215</v>
      </c>
      <c r="C515" s="8"/>
      <c r="D515" s="8"/>
      <c r="E515" s="8"/>
      <c r="F515" s="8"/>
      <c r="G515" s="8"/>
      <c r="H515" s="8"/>
      <c r="I515" s="8"/>
      <c r="J515" s="8"/>
      <c r="K515" s="8"/>
      <c r="N515" s="431"/>
      <c r="O515" s="431"/>
      <c r="P515" s="431"/>
      <c r="Q515" s="431"/>
      <c r="R515" s="431"/>
      <c r="S515" s="431"/>
      <c r="T515" s="431"/>
      <c r="U515" s="431"/>
      <c r="V515" s="431"/>
      <c r="W515" s="77"/>
      <c r="X515" s="77"/>
      <c r="Y515" s="77"/>
      <c r="Z515" s="77"/>
    </row>
    <row r="516" ht="16.5" customHeight="1">
      <c r="A516" s="31" t="s">
        <v>10202</v>
      </c>
      <c r="B516" s="31" t="s">
        <v>10201</v>
      </c>
      <c r="C516" s="8"/>
      <c r="D516" s="8"/>
      <c r="E516" s="8"/>
      <c r="F516" s="8"/>
      <c r="G516" s="8"/>
      <c r="H516" s="8"/>
      <c r="I516" s="8"/>
      <c r="J516" s="8"/>
      <c r="K516" s="8"/>
      <c r="N516" s="431"/>
      <c r="O516" s="431"/>
      <c r="P516" s="431"/>
      <c r="Q516" s="431"/>
      <c r="R516" s="431"/>
      <c r="S516" s="431"/>
      <c r="T516" s="431"/>
      <c r="U516" s="431"/>
      <c r="V516" s="431"/>
      <c r="W516" s="77"/>
      <c r="X516" s="77"/>
      <c r="Y516" s="77"/>
      <c r="Z516" s="77"/>
    </row>
    <row r="517" ht="16.5" customHeight="1">
      <c r="A517" s="31" t="s">
        <v>10204</v>
      </c>
      <c r="B517" s="31" t="s">
        <v>10203</v>
      </c>
      <c r="N517" s="431"/>
      <c r="O517" s="431"/>
      <c r="P517" s="431"/>
      <c r="Q517" s="431"/>
      <c r="R517" s="431"/>
      <c r="S517" s="431"/>
      <c r="T517" s="431"/>
      <c r="U517" s="431"/>
      <c r="V517" s="431"/>
      <c r="W517" s="77"/>
      <c r="X517" s="77"/>
      <c r="Y517" s="77"/>
      <c r="Z517" s="77"/>
    </row>
    <row r="518" ht="16.5" customHeight="1">
      <c r="A518" s="31" t="s">
        <v>10206</v>
      </c>
      <c r="B518" s="31" t="s">
        <v>10216</v>
      </c>
      <c r="L518" s="8"/>
      <c r="M518" s="8"/>
      <c r="N518" s="424"/>
      <c r="O518" s="431"/>
      <c r="P518" s="431"/>
      <c r="Q518" s="431"/>
      <c r="R518" s="431"/>
      <c r="S518" s="431"/>
      <c r="T518" s="431"/>
      <c r="U518" s="431"/>
      <c r="V518" s="431"/>
      <c r="W518" s="77"/>
      <c r="X518" s="77"/>
      <c r="Y518" s="77"/>
      <c r="Z518" s="77"/>
    </row>
    <row r="519" ht="16.5" customHeight="1">
      <c r="A519" s="31" t="s">
        <v>10207</v>
      </c>
      <c r="B519" s="31" t="s">
        <v>10217</v>
      </c>
      <c r="L519" s="8"/>
      <c r="M519" s="8"/>
      <c r="N519" s="424"/>
      <c r="O519" s="431"/>
      <c r="P519" s="431"/>
      <c r="Q519" s="431"/>
      <c r="R519" s="431"/>
      <c r="S519" s="431"/>
      <c r="T519" s="431"/>
      <c r="U519" s="431"/>
      <c r="V519" s="431"/>
      <c r="W519" s="77"/>
      <c r="X519" s="77"/>
      <c r="Y519" s="77"/>
      <c r="Z519" s="77"/>
    </row>
    <row r="520" ht="16.5" customHeight="1">
      <c r="A520" s="31" t="s">
        <v>10209</v>
      </c>
      <c r="B520" s="31" t="s">
        <v>10218</v>
      </c>
      <c r="L520" s="8"/>
      <c r="M520" s="8"/>
      <c r="N520" s="424"/>
      <c r="O520" s="431"/>
      <c r="P520" s="431"/>
      <c r="Q520" s="431"/>
      <c r="R520" s="431"/>
      <c r="S520" s="431"/>
      <c r="T520" s="431"/>
      <c r="U520" s="431"/>
      <c r="V520" s="431"/>
      <c r="W520" s="77"/>
      <c r="X520" s="77"/>
      <c r="Y520" s="77"/>
      <c r="Z520" s="77"/>
    </row>
    <row r="521" ht="16.5" customHeight="1">
      <c r="A521" s="423" t="s">
        <v>10219</v>
      </c>
      <c r="L521" s="8"/>
      <c r="M521" s="8"/>
      <c r="N521" s="424"/>
      <c r="O521" s="431"/>
      <c r="P521" s="431"/>
      <c r="Q521" s="431"/>
      <c r="R521" s="431"/>
      <c r="S521" s="431"/>
      <c r="T521" s="431"/>
      <c r="U521" s="431"/>
      <c r="V521" s="431"/>
      <c r="W521" s="77"/>
      <c r="X521" s="77"/>
      <c r="Y521" s="77"/>
      <c r="Z521" s="77"/>
    </row>
    <row r="522" ht="16.5" customHeight="1">
      <c r="A522" s="425" t="s">
        <v>9533</v>
      </c>
      <c r="B522" s="425" t="s">
        <v>10015</v>
      </c>
      <c r="C522" s="426" t="s">
        <v>9363</v>
      </c>
      <c r="L522" s="8"/>
      <c r="M522" s="8"/>
      <c r="N522" s="424"/>
      <c r="O522" s="431"/>
      <c r="P522" s="431"/>
      <c r="Q522" s="431"/>
      <c r="R522" s="431"/>
      <c r="S522" s="431"/>
      <c r="T522" s="431"/>
      <c r="U522" s="431"/>
      <c r="V522" s="431"/>
      <c r="W522" s="77"/>
      <c r="X522" s="77"/>
      <c r="Y522" s="77"/>
      <c r="Z522" s="77"/>
    </row>
    <row r="523" ht="16.5" customHeight="1">
      <c r="A523" s="428" t="s">
        <v>10220</v>
      </c>
      <c r="B523" s="428" t="s">
        <v>2207</v>
      </c>
      <c r="C523" s="427" t="s">
        <v>9365</v>
      </c>
      <c r="D523" s="427" t="s">
        <v>8952</v>
      </c>
      <c r="E523" s="427" t="s">
        <v>4702</v>
      </c>
      <c r="F523" s="427" t="s">
        <v>4703</v>
      </c>
      <c r="G523" s="427" t="s">
        <v>4320</v>
      </c>
      <c r="H523" s="427" t="s">
        <v>436</v>
      </c>
      <c r="I523" s="427" t="s">
        <v>4704</v>
      </c>
      <c r="J523" s="427" t="s">
        <v>135</v>
      </c>
      <c r="K523" s="427" t="s">
        <v>128</v>
      </c>
      <c r="L523" s="8"/>
      <c r="M523" s="8"/>
      <c r="N523" s="424"/>
      <c r="O523" s="431"/>
      <c r="P523" s="431"/>
      <c r="Q523" s="431"/>
      <c r="R523" s="431"/>
      <c r="S523" s="431"/>
      <c r="T523" s="431"/>
      <c r="U523" s="431"/>
      <c r="V523" s="431"/>
      <c r="W523" s="77"/>
      <c r="X523" s="77"/>
      <c r="Y523" s="77"/>
      <c r="Z523" s="77"/>
    </row>
    <row r="524" ht="16.5" customHeight="1">
      <c r="A524" s="31" t="s">
        <v>10221</v>
      </c>
      <c r="B524" s="31" t="s">
        <v>10222</v>
      </c>
      <c r="C524" s="4" t="s">
        <v>9441</v>
      </c>
      <c r="D524" s="4" t="s">
        <v>9130</v>
      </c>
      <c r="E524" s="4" t="s">
        <v>9278</v>
      </c>
      <c r="F524" s="4" t="s">
        <v>10070</v>
      </c>
      <c r="G524" s="4" t="s">
        <v>9</v>
      </c>
      <c r="H524" s="4" t="s">
        <v>8066</v>
      </c>
      <c r="I524" s="4" t="s">
        <v>10223</v>
      </c>
      <c r="J524" s="4" t="s">
        <v>10224</v>
      </c>
      <c r="K524" s="4" t="s">
        <v>10223</v>
      </c>
      <c r="L524" s="8"/>
      <c r="M524" s="8"/>
      <c r="N524" s="424"/>
      <c r="O524" s="431"/>
      <c r="P524" s="431"/>
      <c r="Q524" s="431"/>
      <c r="R524" s="431"/>
      <c r="S524" s="431"/>
      <c r="T524" s="431"/>
      <c r="U524" s="431"/>
      <c r="V524" s="431"/>
      <c r="W524" s="77"/>
      <c r="X524" s="77"/>
      <c r="Y524" s="77"/>
      <c r="Z524" s="77"/>
    </row>
    <row r="525" ht="16.5" customHeight="1">
      <c r="A525" s="31" t="s">
        <v>10225</v>
      </c>
      <c r="B525" s="31" t="s">
        <v>10226</v>
      </c>
      <c r="C525" s="4" t="s">
        <v>9466</v>
      </c>
      <c r="D525" s="4" t="s">
        <v>9130</v>
      </c>
      <c r="E525" s="4" t="s">
        <v>9282</v>
      </c>
      <c r="F525" s="4" t="s">
        <v>10070</v>
      </c>
      <c r="G525" s="4" t="s">
        <v>109</v>
      </c>
      <c r="H525" s="4" t="s">
        <v>8066</v>
      </c>
      <c r="I525" s="4" t="s">
        <v>10227</v>
      </c>
      <c r="J525" s="4" t="s">
        <v>10228</v>
      </c>
      <c r="K525" s="4" t="s">
        <v>10229</v>
      </c>
      <c r="L525" s="8"/>
      <c r="M525" s="8"/>
      <c r="N525" s="424"/>
      <c r="O525" s="431"/>
      <c r="P525" s="431"/>
      <c r="Q525" s="431"/>
      <c r="R525" s="431"/>
      <c r="S525" s="431"/>
      <c r="T525" s="431"/>
      <c r="U525" s="431"/>
      <c r="V525" s="431"/>
      <c r="W525" s="77"/>
      <c r="X525" s="77"/>
      <c r="Y525" s="77"/>
      <c r="Z525" s="77"/>
    </row>
    <row r="526" ht="16.5" customHeight="1">
      <c r="A526" s="31" t="s">
        <v>2183</v>
      </c>
      <c r="B526" s="31" t="s">
        <v>10230</v>
      </c>
      <c r="C526" s="4" t="s">
        <v>9472</v>
      </c>
      <c r="D526" s="4" t="s">
        <v>9130</v>
      </c>
      <c r="E526" s="4" t="s">
        <v>9286</v>
      </c>
      <c r="F526" s="4" t="s">
        <v>10070</v>
      </c>
      <c r="G526" s="4" t="s">
        <v>9</v>
      </c>
      <c r="H526" s="4" t="s">
        <v>8066</v>
      </c>
      <c r="I526" s="4" t="s">
        <v>10223</v>
      </c>
      <c r="J526" s="4" t="s">
        <v>10224</v>
      </c>
      <c r="K526" s="4" t="s">
        <v>10231</v>
      </c>
      <c r="L526" s="8"/>
      <c r="M526" s="8"/>
      <c r="N526" s="424"/>
      <c r="O526" s="431"/>
      <c r="P526" s="431"/>
      <c r="Q526" s="431"/>
      <c r="R526" s="431"/>
      <c r="S526" s="431"/>
      <c r="T526" s="431"/>
      <c r="U526" s="431"/>
      <c r="V526" s="431"/>
      <c r="W526" s="77"/>
      <c r="X526" s="77"/>
      <c r="Y526" s="77"/>
      <c r="Z526" s="77"/>
    </row>
    <row r="527" ht="16.5" customHeight="1">
      <c r="A527" s="31" t="s">
        <v>10232</v>
      </c>
      <c r="B527" s="31" t="s">
        <v>10233</v>
      </c>
      <c r="C527" s="108" t="s">
        <v>10026</v>
      </c>
      <c r="L527" s="8"/>
      <c r="M527" s="8"/>
      <c r="N527" s="424"/>
      <c r="O527" s="431"/>
      <c r="P527" s="431"/>
      <c r="Q527" s="431"/>
      <c r="R527" s="431"/>
      <c r="S527" s="431"/>
      <c r="T527" s="431"/>
      <c r="U527" s="431"/>
      <c r="V527" s="431"/>
      <c r="W527" s="77"/>
      <c r="X527" s="77"/>
      <c r="Y527" s="77"/>
      <c r="Z527" s="77"/>
    </row>
    <row r="528" ht="16.5" customHeight="1">
      <c r="A528" s="31" t="s">
        <v>10234</v>
      </c>
      <c r="B528" s="31" t="s">
        <v>10235</v>
      </c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424"/>
      <c r="O528" s="431"/>
      <c r="P528" s="431"/>
      <c r="Q528" s="431"/>
      <c r="R528" s="431"/>
      <c r="S528" s="431"/>
      <c r="T528" s="431"/>
      <c r="U528" s="431"/>
      <c r="V528" s="431"/>
      <c r="W528" s="77"/>
      <c r="X528" s="77"/>
      <c r="Y528" s="77"/>
      <c r="Z528" s="77"/>
    </row>
    <row r="529" ht="16.5" customHeight="1">
      <c r="A529" s="31" t="s">
        <v>10236</v>
      </c>
      <c r="B529" s="31" t="s">
        <v>5023</v>
      </c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424"/>
      <c r="O529" s="431"/>
      <c r="P529" s="431"/>
      <c r="Q529" s="431"/>
      <c r="R529" s="431"/>
      <c r="S529" s="431"/>
      <c r="T529" s="431"/>
      <c r="U529" s="431"/>
      <c r="V529" s="431"/>
      <c r="W529" s="77"/>
      <c r="X529" s="77"/>
      <c r="Y529" s="77"/>
      <c r="Z529" s="77"/>
    </row>
    <row r="530" ht="16.5" customHeight="1">
      <c r="A530" s="31" t="s">
        <v>10237</v>
      </c>
      <c r="B530" s="31" t="s">
        <v>10238</v>
      </c>
      <c r="N530" s="431"/>
      <c r="O530" s="431"/>
      <c r="P530" s="431"/>
      <c r="Q530" s="431"/>
      <c r="R530" s="431"/>
      <c r="S530" s="431"/>
      <c r="T530" s="431"/>
      <c r="U530" s="431"/>
      <c r="V530" s="431"/>
      <c r="W530" s="77"/>
      <c r="X530" s="77"/>
      <c r="Y530" s="77"/>
      <c r="Z530" s="77"/>
    </row>
    <row r="531" ht="16.5" customHeight="1">
      <c r="A531" s="31" t="s">
        <v>10239</v>
      </c>
      <c r="B531" s="31" t="s">
        <v>10240</v>
      </c>
      <c r="N531" s="431"/>
      <c r="O531" s="431"/>
      <c r="P531" s="431"/>
      <c r="Q531" s="431"/>
      <c r="R531" s="431"/>
      <c r="S531" s="431"/>
      <c r="T531" s="431"/>
      <c r="U531" s="431"/>
      <c r="V531" s="431"/>
      <c r="W531" s="77"/>
      <c r="X531" s="77"/>
      <c r="Y531" s="77"/>
      <c r="Z531" s="77"/>
    </row>
    <row r="532" ht="16.5" customHeight="1">
      <c r="A532" s="31" t="s">
        <v>10241</v>
      </c>
      <c r="B532" s="31" t="s">
        <v>10242</v>
      </c>
      <c r="N532" s="431"/>
      <c r="O532" s="431"/>
      <c r="P532" s="431"/>
      <c r="Q532" s="431"/>
      <c r="R532" s="431"/>
      <c r="S532" s="431"/>
      <c r="T532" s="431"/>
      <c r="U532" s="431"/>
      <c r="V532" s="431"/>
      <c r="W532" s="77"/>
      <c r="X532" s="77"/>
      <c r="Y532" s="77"/>
      <c r="Z532" s="77"/>
    </row>
    <row r="533" ht="16.5" customHeight="1">
      <c r="A533" s="31" t="s">
        <v>10090</v>
      </c>
      <c r="B533" s="31" t="s">
        <v>10243</v>
      </c>
      <c r="N533" s="431"/>
      <c r="O533" s="431"/>
      <c r="P533" s="431"/>
      <c r="Q533" s="431"/>
      <c r="R533" s="431"/>
      <c r="S533" s="431"/>
      <c r="T533" s="431"/>
      <c r="U533" s="431"/>
      <c r="V533" s="431"/>
      <c r="W533" s="77"/>
      <c r="X533" s="77"/>
      <c r="Y533" s="77"/>
      <c r="Z533" s="77"/>
    </row>
    <row r="534" ht="16.5" customHeight="1">
      <c r="A534" s="31" t="s">
        <v>10093</v>
      </c>
      <c r="B534" s="31" t="s">
        <v>10244</v>
      </c>
      <c r="N534" s="431"/>
      <c r="O534" s="431"/>
      <c r="P534" s="431"/>
      <c r="Q534" s="431"/>
      <c r="R534" s="431"/>
      <c r="S534" s="431"/>
      <c r="T534" s="431"/>
      <c r="U534" s="431"/>
      <c r="V534" s="431"/>
      <c r="W534" s="77"/>
      <c r="X534" s="77"/>
      <c r="Y534" s="77"/>
      <c r="Z534" s="77"/>
    </row>
    <row r="535" ht="16.5" customHeight="1">
      <c r="A535" s="423" t="s">
        <v>10245</v>
      </c>
      <c r="N535" s="431"/>
      <c r="O535" s="431"/>
      <c r="P535" s="431"/>
      <c r="Q535" s="431"/>
      <c r="R535" s="431"/>
      <c r="S535" s="431"/>
      <c r="T535" s="431"/>
      <c r="U535" s="431"/>
      <c r="V535" s="431"/>
      <c r="W535" s="77"/>
      <c r="X535" s="77"/>
      <c r="Y535" s="77"/>
      <c r="Z535" s="77"/>
    </row>
    <row r="536" ht="16.5" customHeight="1">
      <c r="A536" s="425" t="s">
        <v>9801</v>
      </c>
      <c r="B536" s="425" t="s">
        <v>9361</v>
      </c>
      <c r="C536" s="426" t="s">
        <v>9363</v>
      </c>
      <c r="N536" s="431"/>
      <c r="O536" s="431"/>
      <c r="P536" s="431"/>
      <c r="Q536" s="431"/>
      <c r="R536" s="431"/>
      <c r="S536" s="431"/>
      <c r="T536" s="431"/>
      <c r="U536" s="431"/>
      <c r="V536" s="431"/>
      <c r="W536" s="77"/>
      <c r="X536" s="77"/>
      <c r="Y536" s="77"/>
      <c r="Z536" s="77"/>
    </row>
    <row r="537" ht="16.5" customHeight="1">
      <c r="A537" s="428" t="s">
        <v>2338</v>
      </c>
      <c r="B537" s="428" t="s">
        <v>4220</v>
      </c>
      <c r="C537" s="427" t="s">
        <v>9365</v>
      </c>
      <c r="D537" s="427" t="s">
        <v>8952</v>
      </c>
      <c r="E537" s="427" t="s">
        <v>4702</v>
      </c>
      <c r="F537" s="427" t="s">
        <v>4703</v>
      </c>
      <c r="G537" s="427" t="s">
        <v>4320</v>
      </c>
      <c r="H537" s="427" t="s">
        <v>436</v>
      </c>
      <c r="I537" s="427" t="s">
        <v>4704</v>
      </c>
      <c r="J537" s="427" t="s">
        <v>135</v>
      </c>
      <c r="K537" s="427" t="s">
        <v>128</v>
      </c>
      <c r="N537" s="431"/>
      <c r="O537" s="431"/>
      <c r="P537" s="431"/>
      <c r="Q537" s="431"/>
      <c r="R537" s="431"/>
      <c r="S537" s="431"/>
      <c r="T537" s="431"/>
      <c r="U537" s="431"/>
      <c r="V537" s="431"/>
      <c r="W537" s="77"/>
      <c r="X537" s="77"/>
      <c r="Y537" s="77"/>
      <c r="Z537" s="77"/>
    </row>
    <row r="538" ht="16.5" customHeight="1">
      <c r="A538" s="31" t="s">
        <v>5201</v>
      </c>
      <c r="B538" s="31" t="s">
        <v>9733</v>
      </c>
      <c r="C538" s="4" t="s">
        <v>9441</v>
      </c>
      <c r="D538" s="4" t="s">
        <v>9109</v>
      </c>
      <c r="E538" s="4" t="s">
        <v>10246</v>
      </c>
      <c r="F538" s="4" t="s">
        <v>4854</v>
      </c>
      <c r="G538" s="4" t="s">
        <v>10</v>
      </c>
      <c r="H538" s="4" t="s">
        <v>6306</v>
      </c>
      <c r="I538" s="4" t="s">
        <v>10247</v>
      </c>
      <c r="J538" s="4" t="s">
        <v>10248</v>
      </c>
      <c r="K538" s="4" t="s">
        <v>10247</v>
      </c>
      <c r="N538" s="431"/>
      <c r="O538" s="431"/>
      <c r="P538" s="431"/>
      <c r="Q538" s="431"/>
      <c r="R538" s="431"/>
      <c r="S538" s="431"/>
      <c r="T538" s="431"/>
      <c r="U538" s="431"/>
      <c r="V538" s="431"/>
      <c r="W538" s="77"/>
      <c r="X538" s="77"/>
      <c r="Y538" s="77"/>
      <c r="Z538" s="77"/>
    </row>
    <row r="539" ht="16.5" customHeight="1">
      <c r="A539" s="31" t="s">
        <v>9806</v>
      </c>
      <c r="B539" s="31" t="s">
        <v>10249</v>
      </c>
      <c r="C539" s="4" t="s">
        <v>9466</v>
      </c>
      <c r="D539" s="4" t="s">
        <v>9109</v>
      </c>
      <c r="E539" s="4" t="s">
        <v>9278</v>
      </c>
      <c r="F539" s="4" t="s">
        <v>10250</v>
      </c>
      <c r="G539" s="4" t="s">
        <v>10</v>
      </c>
      <c r="H539" s="4" t="s">
        <v>6306</v>
      </c>
      <c r="I539" s="4" t="s">
        <v>10251</v>
      </c>
      <c r="J539" s="4" t="s">
        <v>10251</v>
      </c>
      <c r="K539" s="4" t="s">
        <v>10252</v>
      </c>
      <c r="N539" s="431"/>
      <c r="O539" s="431"/>
      <c r="P539" s="431"/>
      <c r="Q539" s="431"/>
      <c r="R539" s="431"/>
      <c r="S539" s="431"/>
      <c r="T539" s="431"/>
      <c r="U539" s="431"/>
      <c r="V539" s="431"/>
      <c r="W539" s="77"/>
      <c r="X539" s="77"/>
      <c r="Y539" s="77"/>
      <c r="Z539" s="77"/>
    </row>
    <row r="540" ht="16.5" customHeight="1">
      <c r="A540" s="31" t="s">
        <v>9808</v>
      </c>
      <c r="B540" s="31" t="s">
        <v>10253</v>
      </c>
      <c r="C540" s="4" t="s">
        <v>9472</v>
      </c>
      <c r="D540" s="4" t="s">
        <v>9109</v>
      </c>
      <c r="E540" s="4" t="s">
        <v>9282</v>
      </c>
      <c r="F540" s="4" t="s">
        <v>4740</v>
      </c>
      <c r="G540" s="4" t="s">
        <v>10</v>
      </c>
      <c r="H540" s="4" t="s">
        <v>204</v>
      </c>
      <c r="I540" s="4" t="s">
        <v>7896</v>
      </c>
      <c r="J540" s="4" t="s">
        <v>10254</v>
      </c>
      <c r="K540" s="4" t="s">
        <v>7896</v>
      </c>
      <c r="N540" s="431"/>
      <c r="O540" s="431"/>
      <c r="P540" s="431"/>
      <c r="Q540" s="431"/>
      <c r="R540" s="431"/>
      <c r="S540" s="431"/>
      <c r="T540" s="431"/>
      <c r="U540" s="431"/>
      <c r="V540" s="431"/>
      <c r="W540" s="77"/>
      <c r="X540" s="77"/>
      <c r="Y540" s="77"/>
      <c r="Z540" s="77"/>
    </row>
    <row r="541" ht="16.5" customHeight="1">
      <c r="A541" s="31" t="s">
        <v>9891</v>
      </c>
      <c r="B541" s="31" t="s">
        <v>8136</v>
      </c>
      <c r="C541" s="4" t="s">
        <v>9712</v>
      </c>
      <c r="D541" s="4" t="s">
        <v>9109</v>
      </c>
      <c r="E541" s="4" t="s">
        <v>9286</v>
      </c>
      <c r="F541" s="4" t="s">
        <v>7898</v>
      </c>
      <c r="G541" s="4" t="s">
        <v>10</v>
      </c>
      <c r="H541" s="4" t="s">
        <v>1500</v>
      </c>
      <c r="I541" s="4" t="s">
        <v>10247</v>
      </c>
      <c r="J541" s="4" t="s">
        <v>10248</v>
      </c>
      <c r="K541" s="4" t="s">
        <v>10247</v>
      </c>
      <c r="N541" s="431"/>
      <c r="O541" s="431"/>
      <c r="P541" s="431"/>
      <c r="Q541" s="431"/>
      <c r="R541" s="431"/>
      <c r="S541" s="431"/>
      <c r="T541" s="431"/>
      <c r="U541" s="431"/>
      <c r="V541" s="431"/>
      <c r="W541" s="77"/>
      <c r="X541" s="77"/>
      <c r="Y541" s="77"/>
      <c r="Z541" s="77"/>
    </row>
    <row r="542" ht="16.5" customHeight="1">
      <c r="A542" s="31" t="s">
        <v>9892</v>
      </c>
      <c r="B542" s="31" t="s">
        <v>10255</v>
      </c>
      <c r="C542" s="4" t="s">
        <v>9716</v>
      </c>
      <c r="D542" s="4" t="s">
        <v>9109</v>
      </c>
      <c r="E542" s="4" t="s">
        <v>9291</v>
      </c>
      <c r="F542" s="4" t="s">
        <v>10256</v>
      </c>
      <c r="G542" s="4" t="s">
        <v>10</v>
      </c>
      <c r="H542" s="4" t="s">
        <v>204</v>
      </c>
      <c r="I542" s="4" t="s">
        <v>10257</v>
      </c>
      <c r="J542" s="4" t="s">
        <v>10258</v>
      </c>
      <c r="K542" s="4" t="s">
        <v>10257</v>
      </c>
      <c r="N542" s="431"/>
      <c r="O542" s="431"/>
      <c r="P542" s="431"/>
      <c r="Q542" s="431"/>
      <c r="R542" s="431"/>
      <c r="S542" s="431"/>
      <c r="T542" s="431"/>
      <c r="U542" s="431"/>
      <c r="V542" s="431"/>
      <c r="W542" s="77"/>
      <c r="X542" s="77"/>
      <c r="Y542" s="77"/>
      <c r="Z542" s="77"/>
    </row>
    <row r="543" ht="16.5" customHeight="1">
      <c r="A543" s="31" t="s">
        <v>9814</v>
      </c>
      <c r="B543" s="31" t="s">
        <v>10259</v>
      </c>
      <c r="C543" s="108" t="s">
        <v>9807</v>
      </c>
      <c r="N543" s="431"/>
      <c r="O543" s="431"/>
      <c r="P543" s="431"/>
      <c r="Q543" s="431"/>
      <c r="R543" s="431"/>
      <c r="S543" s="431"/>
      <c r="T543" s="431"/>
      <c r="U543" s="431"/>
      <c r="V543" s="431"/>
      <c r="W543" s="77"/>
      <c r="X543" s="77"/>
      <c r="Y543" s="77"/>
      <c r="Z543" s="77"/>
    </row>
    <row r="544" ht="16.5" customHeight="1">
      <c r="A544" s="31" t="s">
        <v>9895</v>
      </c>
      <c r="B544" s="31" t="s">
        <v>9721</v>
      </c>
      <c r="C544" s="8"/>
      <c r="D544" s="8"/>
      <c r="E544" s="8"/>
      <c r="F544" s="8"/>
      <c r="G544" s="8"/>
      <c r="H544" s="8"/>
      <c r="I544" s="8"/>
      <c r="J544" s="8"/>
      <c r="K544" s="8"/>
      <c r="N544" s="431"/>
      <c r="O544" s="431"/>
      <c r="P544" s="431"/>
      <c r="Q544" s="431"/>
      <c r="R544" s="431"/>
      <c r="S544" s="431"/>
      <c r="T544" s="431"/>
      <c r="U544" s="431"/>
      <c r="V544" s="431"/>
      <c r="W544" s="77"/>
      <c r="X544" s="77"/>
      <c r="Y544" s="77"/>
      <c r="Z544" s="77"/>
    </row>
    <row r="545" ht="16.5" customHeight="1">
      <c r="A545" s="31" t="s">
        <v>9817</v>
      </c>
      <c r="B545" s="31" t="s">
        <v>9742</v>
      </c>
      <c r="C545" s="8"/>
      <c r="D545" s="8"/>
      <c r="E545" s="8"/>
      <c r="F545" s="8"/>
      <c r="G545" s="8"/>
      <c r="H545" s="8"/>
      <c r="I545" s="8"/>
      <c r="J545" s="8"/>
      <c r="K545" s="8"/>
      <c r="N545" s="431"/>
      <c r="O545" s="431"/>
      <c r="P545" s="431"/>
      <c r="Q545" s="431"/>
      <c r="R545" s="431"/>
      <c r="S545" s="431"/>
      <c r="T545" s="431"/>
      <c r="U545" s="431"/>
      <c r="V545" s="431"/>
      <c r="W545" s="77"/>
      <c r="X545" s="77"/>
      <c r="Y545" s="77"/>
      <c r="Z545" s="77"/>
    </row>
    <row r="546" ht="16.5" customHeight="1">
      <c r="A546" s="31" t="s">
        <v>9819</v>
      </c>
      <c r="B546" s="31" t="s">
        <v>9724</v>
      </c>
      <c r="C546" s="8"/>
      <c r="D546" s="8"/>
      <c r="E546" s="8"/>
      <c r="F546" s="8"/>
      <c r="G546" s="8"/>
      <c r="H546" s="8"/>
      <c r="I546" s="8"/>
      <c r="J546" s="8"/>
      <c r="K546" s="8"/>
      <c r="N546" s="431"/>
      <c r="O546" s="431"/>
      <c r="P546" s="431"/>
      <c r="Q546" s="431"/>
      <c r="R546" s="431"/>
      <c r="S546" s="431"/>
      <c r="T546" s="431"/>
      <c r="U546" s="431"/>
      <c r="V546" s="431"/>
      <c r="W546" s="77"/>
      <c r="X546" s="77"/>
      <c r="Y546" s="77"/>
      <c r="Z546" s="77"/>
    </row>
    <row r="547" ht="16.5" customHeight="1">
      <c r="A547" s="31" t="s">
        <v>9821</v>
      </c>
      <c r="B547" s="31" t="s">
        <v>9863</v>
      </c>
      <c r="C547" s="8"/>
      <c r="D547" s="8"/>
      <c r="E547" s="8"/>
      <c r="F547" s="8"/>
      <c r="G547" s="8"/>
      <c r="H547" s="8"/>
      <c r="I547" s="8"/>
      <c r="J547" s="8"/>
      <c r="K547" s="8"/>
      <c r="N547" s="431"/>
      <c r="O547" s="431"/>
      <c r="P547" s="431"/>
      <c r="Q547" s="431"/>
      <c r="R547" s="431"/>
      <c r="S547" s="431"/>
      <c r="T547" s="431"/>
      <c r="U547" s="431"/>
      <c r="V547" s="431"/>
      <c r="W547" s="77"/>
      <c r="X547" s="77"/>
      <c r="Y547" s="77"/>
      <c r="Z547" s="77"/>
    </row>
    <row r="548" ht="16.5" customHeight="1">
      <c r="A548" s="31" t="s">
        <v>10260</v>
      </c>
      <c r="B548" s="31" t="s">
        <v>10261</v>
      </c>
      <c r="C548" s="8"/>
      <c r="D548" s="8"/>
      <c r="E548" s="8"/>
      <c r="F548" s="8"/>
      <c r="G548" s="8"/>
      <c r="H548" s="8"/>
      <c r="I548" s="8"/>
      <c r="J548" s="8"/>
      <c r="K548" s="8"/>
      <c r="N548" s="431"/>
      <c r="O548" s="431"/>
      <c r="P548" s="431"/>
      <c r="Q548" s="431"/>
      <c r="R548" s="431"/>
      <c r="S548" s="431"/>
      <c r="T548" s="431"/>
      <c r="U548" s="431"/>
      <c r="V548" s="431"/>
      <c r="W548" s="77"/>
      <c r="X548" s="77"/>
      <c r="Y548" s="77"/>
      <c r="Z548" s="77"/>
    </row>
    <row r="549" ht="16.5" customHeight="1">
      <c r="A549" s="31" t="s">
        <v>9904</v>
      </c>
      <c r="B549" s="31" t="s">
        <v>9749</v>
      </c>
      <c r="C549" s="8"/>
      <c r="D549" s="8"/>
      <c r="E549" s="8"/>
      <c r="F549" s="8"/>
      <c r="G549" s="8"/>
      <c r="H549" s="8"/>
      <c r="I549" s="8"/>
      <c r="J549" s="8"/>
      <c r="K549" s="8"/>
      <c r="N549" s="431"/>
      <c r="O549" s="431"/>
      <c r="P549" s="431"/>
      <c r="Q549" s="431"/>
      <c r="R549" s="431"/>
      <c r="S549" s="431"/>
      <c r="T549" s="431"/>
      <c r="U549" s="431"/>
      <c r="V549" s="431"/>
      <c r="W549" s="77"/>
      <c r="X549" s="77"/>
      <c r="Y549" s="77"/>
      <c r="Z549" s="77"/>
    </row>
    <row r="550" ht="16.5" customHeight="1">
      <c r="A550" s="31" t="s">
        <v>10262</v>
      </c>
      <c r="B550" s="31" t="s">
        <v>10263</v>
      </c>
      <c r="N550" s="431"/>
      <c r="O550" s="431"/>
      <c r="P550" s="431"/>
      <c r="Q550" s="431"/>
      <c r="R550" s="431"/>
      <c r="S550" s="431"/>
      <c r="T550" s="431"/>
      <c r="U550" s="431"/>
      <c r="V550" s="431"/>
      <c r="W550" s="77"/>
      <c r="X550" s="77"/>
      <c r="Y550" s="77"/>
      <c r="Z550" s="77"/>
    </row>
    <row r="551" ht="16.5" customHeight="1">
      <c r="A551" s="31" t="s">
        <v>9828</v>
      </c>
      <c r="B551" s="31" t="s">
        <v>10264</v>
      </c>
      <c r="N551" s="431"/>
      <c r="O551" s="431"/>
      <c r="P551" s="431"/>
      <c r="Q551" s="431"/>
      <c r="R551" s="431"/>
      <c r="S551" s="431"/>
      <c r="T551" s="431"/>
      <c r="U551" s="431"/>
      <c r="V551" s="431"/>
      <c r="W551" s="77"/>
      <c r="X551" s="77"/>
      <c r="Y551" s="77"/>
      <c r="Z551" s="77"/>
    </row>
    <row r="552" ht="16.5" customHeight="1">
      <c r="A552" s="423" t="s">
        <v>10265</v>
      </c>
      <c r="N552" s="431"/>
      <c r="O552" s="431"/>
      <c r="P552" s="431"/>
      <c r="Q552" s="431"/>
      <c r="R552" s="431"/>
      <c r="S552" s="431"/>
      <c r="T552" s="431"/>
      <c r="U552" s="431"/>
      <c r="V552" s="431"/>
      <c r="W552" s="77"/>
      <c r="X552" s="77"/>
      <c r="Y552" s="77"/>
      <c r="Z552" s="77"/>
    </row>
    <row r="553" ht="16.5" customHeight="1">
      <c r="A553" s="425" t="s">
        <v>9929</v>
      </c>
      <c r="B553" s="425" t="s">
        <v>9887</v>
      </c>
      <c r="C553" s="426" t="s">
        <v>9363</v>
      </c>
      <c r="N553" s="431"/>
      <c r="O553" s="431"/>
      <c r="P553" s="431"/>
      <c r="Q553" s="431"/>
      <c r="R553" s="431"/>
      <c r="S553" s="431"/>
      <c r="T553" s="431"/>
      <c r="U553" s="431"/>
      <c r="V553" s="431"/>
      <c r="W553" s="77"/>
      <c r="X553" s="77"/>
      <c r="Y553" s="77"/>
      <c r="Z553" s="77"/>
    </row>
    <row r="554" ht="16.5" customHeight="1">
      <c r="A554" s="428" t="s">
        <v>1327</v>
      </c>
      <c r="B554" s="198" t="s">
        <v>1787</v>
      </c>
      <c r="C554" s="427" t="s">
        <v>9365</v>
      </c>
      <c r="D554" s="427" t="s">
        <v>8952</v>
      </c>
      <c r="E554" s="427" t="s">
        <v>4702</v>
      </c>
      <c r="F554" s="427" t="s">
        <v>4703</v>
      </c>
      <c r="G554" s="427" t="s">
        <v>4320</v>
      </c>
      <c r="H554" s="427" t="s">
        <v>436</v>
      </c>
      <c r="I554" s="427" t="s">
        <v>4704</v>
      </c>
      <c r="J554" s="427" t="s">
        <v>135</v>
      </c>
      <c r="K554" s="427" t="s">
        <v>128</v>
      </c>
      <c r="N554" s="431"/>
      <c r="O554" s="431"/>
      <c r="P554" s="431"/>
      <c r="Q554" s="431"/>
      <c r="R554" s="431"/>
      <c r="S554" s="431"/>
      <c r="T554" s="431"/>
      <c r="U554" s="431"/>
      <c r="V554" s="431"/>
      <c r="W554" s="77"/>
      <c r="X554" s="77"/>
      <c r="Y554" s="77"/>
      <c r="Z554" s="77"/>
    </row>
    <row r="555" ht="16.5" customHeight="1">
      <c r="A555" s="31" t="s">
        <v>1329</v>
      </c>
      <c r="B555" s="31" t="s">
        <v>9888</v>
      </c>
      <c r="C555" s="4" t="s">
        <v>9441</v>
      </c>
      <c r="D555" s="4" t="s">
        <v>9109</v>
      </c>
      <c r="E555" s="4" t="s">
        <v>10246</v>
      </c>
      <c r="F555" s="4" t="s">
        <v>10266</v>
      </c>
      <c r="G555" s="4" t="s">
        <v>6</v>
      </c>
      <c r="H555" s="4" t="s">
        <v>6765</v>
      </c>
      <c r="I555" s="4" t="s">
        <v>10267</v>
      </c>
      <c r="J555" s="4" t="s">
        <v>10268</v>
      </c>
      <c r="K555" s="4" t="s">
        <v>10269</v>
      </c>
      <c r="L555" s="8"/>
      <c r="M555" s="8"/>
      <c r="N555" s="424"/>
      <c r="O555" s="431"/>
      <c r="P555" s="431"/>
      <c r="Q555" s="431"/>
      <c r="R555" s="431"/>
      <c r="S555" s="431"/>
      <c r="T555" s="431"/>
      <c r="U555" s="431"/>
      <c r="V555" s="431"/>
      <c r="W555" s="77"/>
      <c r="X555" s="77"/>
      <c r="Y555" s="77"/>
      <c r="Z555" s="77"/>
    </row>
    <row r="556" ht="16.5" customHeight="1">
      <c r="A556" s="31" t="s">
        <v>1336</v>
      </c>
      <c r="B556" s="31" t="s">
        <v>9890</v>
      </c>
      <c r="C556" s="4" t="s">
        <v>9466</v>
      </c>
      <c r="D556" s="4" t="s">
        <v>9109</v>
      </c>
      <c r="E556" s="4" t="s">
        <v>9278</v>
      </c>
      <c r="F556" s="4" t="s">
        <v>10266</v>
      </c>
      <c r="G556" s="4" t="s">
        <v>7</v>
      </c>
      <c r="H556" s="4" t="s">
        <v>6288</v>
      </c>
      <c r="I556" s="4" t="s">
        <v>10270</v>
      </c>
      <c r="J556" s="4" t="s">
        <v>10270</v>
      </c>
      <c r="K556" s="4" t="s">
        <v>10269</v>
      </c>
      <c r="L556" s="8"/>
      <c r="M556" s="8"/>
      <c r="N556" s="424"/>
      <c r="O556" s="431"/>
      <c r="P556" s="431"/>
      <c r="Q556" s="431"/>
      <c r="R556" s="431"/>
      <c r="S556" s="431"/>
      <c r="T556" s="431"/>
      <c r="U556" s="431"/>
      <c r="V556" s="431"/>
      <c r="W556" s="77"/>
      <c r="X556" s="77"/>
      <c r="Y556" s="77"/>
      <c r="Z556" s="77"/>
    </row>
    <row r="557" ht="16.5" customHeight="1">
      <c r="A557" s="31" t="s">
        <v>1346</v>
      </c>
      <c r="B557" s="31" t="s">
        <v>7247</v>
      </c>
      <c r="C557" s="4" t="s">
        <v>9472</v>
      </c>
      <c r="D557" s="4" t="s">
        <v>9109</v>
      </c>
      <c r="E557" s="4" t="s">
        <v>9282</v>
      </c>
      <c r="F557" s="4" t="s">
        <v>10266</v>
      </c>
      <c r="G557" s="4" t="s">
        <v>7</v>
      </c>
      <c r="H557" s="4" t="s">
        <v>144</v>
      </c>
      <c r="I557" s="4" t="s">
        <v>10270</v>
      </c>
      <c r="J557" s="4" t="s">
        <v>10271</v>
      </c>
      <c r="K557" s="4" t="s">
        <v>10052</v>
      </c>
      <c r="L557" s="8"/>
      <c r="M557" s="8"/>
      <c r="N557" s="424"/>
      <c r="O557" s="431"/>
      <c r="P557" s="431"/>
      <c r="Q557" s="431"/>
      <c r="R557" s="431"/>
      <c r="S557" s="431"/>
      <c r="T557" s="431"/>
      <c r="U557" s="431"/>
      <c r="V557" s="431"/>
      <c r="W557" s="77"/>
      <c r="X557" s="77"/>
      <c r="Y557" s="77"/>
      <c r="Z557" s="77"/>
    </row>
    <row r="558" ht="16.5" customHeight="1">
      <c r="A558" s="31" t="s">
        <v>10272</v>
      </c>
      <c r="B558" s="31" t="s">
        <v>10273</v>
      </c>
      <c r="C558" s="108" t="s">
        <v>9953</v>
      </c>
      <c r="L558" s="8"/>
      <c r="M558" s="8"/>
      <c r="N558" s="424"/>
      <c r="O558" s="431"/>
      <c r="P558" s="431"/>
      <c r="Q558" s="431"/>
      <c r="R558" s="431"/>
      <c r="S558" s="431"/>
      <c r="T558" s="431"/>
      <c r="U558" s="431"/>
      <c r="V558" s="431"/>
      <c r="W558" s="77"/>
      <c r="X558" s="77"/>
      <c r="Y558" s="77"/>
      <c r="Z558" s="77"/>
    </row>
    <row r="559" ht="16.5" customHeight="1">
      <c r="A559" s="31" t="s">
        <v>10274</v>
      </c>
      <c r="B559" s="31" t="s">
        <v>1737</v>
      </c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424"/>
      <c r="O559" s="431"/>
      <c r="P559" s="431"/>
      <c r="Q559" s="431"/>
      <c r="R559" s="431"/>
      <c r="S559" s="431"/>
      <c r="T559" s="431"/>
      <c r="U559" s="431"/>
      <c r="V559" s="431"/>
      <c r="W559" s="77"/>
      <c r="X559" s="77"/>
      <c r="Y559" s="77"/>
      <c r="Z559" s="77"/>
    </row>
    <row r="560" ht="16.5" customHeight="1">
      <c r="A560" s="31" t="s">
        <v>10074</v>
      </c>
      <c r="B560" s="31" t="s">
        <v>9955</v>
      </c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424"/>
      <c r="O560" s="431"/>
      <c r="P560" s="431"/>
      <c r="Q560" s="431"/>
      <c r="R560" s="431"/>
      <c r="S560" s="431"/>
      <c r="T560" s="431"/>
      <c r="U560" s="431"/>
      <c r="V560" s="431"/>
      <c r="W560" s="77"/>
      <c r="X560" s="77"/>
      <c r="Y560" s="77"/>
      <c r="Z560" s="77"/>
    </row>
    <row r="561" ht="16.5" customHeight="1">
      <c r="A561" s="31" t="s">
        <v>10275</v>
      </c>
      <c r="B561" s="31" t="s">
        <v>9957</v>
      </c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424"/>
      <c r="O561" s="431"/>
      <c r="P561" s="431"/>
      <c r="Q561" s="431"/>
      <c r="R561" s="431"/>
      <c r="S561" s="431"/>
      <c r="T561" s="431"/>
      <c r="U561" s="431"/>
      <c r="V561" s="431"/>
      <c r="W561" s="77"/>
      <c r="X561" s="77"/>
      <c r="Y561" s="77"/>
      <c r="Z561" s="77"/>
    </row>
    <row r="562" ht="16.5" customHeight="1">
      <c r="A562" s="31" t="s">
        <v>10276</v>
      </c>
      <c r="B562" s="31" t="s">
        <v>9959</v>
      </c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424"/>
      <c r="O562" s="431"/>
      <c r="P562" s="431"/>
      <c r="Q562" s="431"/>
      <c r="R562" s="431"/>
      <c r="S562" s="431"/>
      <c r="T562" s="431"/>
      <c r="U562" s="431"/>
      <c r="V562" s="431"/>
      <c r="W562" s="77"/>
      <c r="X562" s="77"/>
      <c r="Y562" s="77"/>
      <c r="Z562" s="77"/>
    </row>
    <row r="563" ht="16.5" customHeight="1">
      <c r="A563" s="31" t="s">
        <v>10277</v>
      </c>
      <c r="B563" s="31" t="s">
        <v>9960</v>
      </c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424"/>
      <c r="O563" s="431"/>
      <c r="P563" s="431"/>
      <c r="Q563" s="431"/>
      <c r="R563" s="431"/>
      <c r="S563" s="431"/>
      <c r="T563" s="431"/>
      <c r="U563" s="431"/>
      <c r="V563" s="431"/>
      <c r="W563" s="77"/>
      <c r="X563" s="77"/>
      <c r="Y563" s="77"/>
      <c r="Z563" s="77"/>
    </row>
    <row r="564" ht="16.5" customHeight="1">
      <c r="A564" s="31" t="s">
        <v>10278</v>
      </c>
      <c r="B564" s="31" t="s">
        <v>9961</v>
      </c>
      <c r="N564" s="431"/>
      <c r="O564" s="431"/>
      <c r="P564" s="431"/>
      <c r="Q564" s="431"/>
      <c r="R564" s="431"/>
      <c r="S564" s="431"/>
      <c r="T564" s="431"/>
      <c r="U564" s="431"/>
      <c r="V564" s="431"/>
      <c r="W564" s="77"/>
      <c r="X564" s="77"/>
      <c r="Y564" s="77"/>
      <c r="Z564" s="77"/>
    </row>
    <row r="565" ht="16.5" customHeight="1">
      <c r="A565" s="31" t="s">
        <v>10279</v>
      </c>
      <c r="B565" s="31" t="s">
        <v>9963</v>
      </c>
      <c r="N565" s="431"/>
      <c r="O565" s="431"/>
      <c r="P565" s="431"/>
      <c r="Q565" s="431"/>
      <c r="R565" s="431"/>
      <c r="S565" s="431"/>
      <c r="T565" s="431"/>
      <c r="U565" s="431"/>
      <c r="V565" s="431"/>
      <c r="W565" s="77"/>
      <c r="X565" s="77"/>
      <c r="Y565" s="77"/>
      <c r="Z565" s="77"/>
    </row>
    <row r="566" ht="16.5" customHeight="1">
      <c r="A566" s="31" t="s">
        <v>10280</v>
      </c>
      <c r="B566" s="31" t="s">
        <v>9965</v>
      </c>
      <c r="N566" s="431"/>
      <c r="O566" s="431"/>
      <c r="P566" s="431"/>
      <c r="Q566" s="431"/>
      <c r="R566" s="431"/>
      <c r="S566" s="431"/>
      <c r="T566" s="431"/>
      <c r="U566" s="431"/>
      <c r="V566" s="431"/>
      <c r="W566" s="77"/>
      <c r="X566" s="77"/>
      <c r="Y566" s="77"/>
      <c r="Z566" s="77"/>
    </row>
    <row r="567" ht="16.5" customHeight="1">
      <c r="A567" s="31" t="s">
        <v>10281</v>
      </c>
      <c r="B567" s="31" t="s">
        <v>9967</v>
      </c>
      <c r="N567" s="431"/>
      <c r="O567" s="431"/>
      <c r="P567" s="431"/>
      <c r="Q567" s="431"/>
      <c r="R567" s="431"/>
      <c r="S567" s="431"/>
      <c r="T567" s="431"/>
      <c r="U567" s="431"/>
      <c r="V567" s="431"/>
      <c r="W567" s="77"/>
      <c r="X567" s="77"/>
      <c r="Y567" s="77"/>
      <c r="Z567" s="77"/>
    </row>
    <row r="568" ht="16.5" customHeight="1">
      <c r="A568" s="31" t="s">
        <v>10282</v>
      </c>
      <c r="B568" s="31" t="s">
        <v>9969</v>
      </c>
      <c r="N568" s="431"/>
      <c r="O568" s="431"/>
      <c r="P568" s="431"/>
      <c r="Q568" s="431"/>
      <c r="R568" s="431"/>
      <c r="S568" s="431"/>
      <c r="T568" s="431"/>
      <c r="U568" s="431"/>
      <c r="V568" s="431"/>
      <c r="W568" s="77"/>
      <c r="X568" s="77"/>
      <c r="Y568" s="77"/>
      <c r="Z568" s="77"/>
    </row>
    <row r="569" ht="16.5" customHeight="1">
      <c r="A569" s="423" t="s">
        <v>10283</v>
      </c>
      <c r="N569" s="431"/>
      <c r="O569" s="431"/>
      <c r="P569" s="431"/>
      <c r="Q569" s="431"/>
      <c r="R569" s="431"/>
      <c r="S569" s="431"/>
      <c r="T569" s="431"/>
      <c r="U569" s="431"/>
      <c r="V569" s="431"/>
      <c r="W569" s="77"/>
      <c r="X569" s="77"/>
      <c r="Y569" s="77"/>
      <c r="Z569" s="77"/>
    </row>
    <row r="570" ht="16.5" customHeight="1">
      <c r="A570" s="425" t="s">
        <v>9887</v>
      </c>
      <c r="B570" s="425" t="s">
        <v>9361</v>
      </c>
      <c r="C570" s="426" t="s">
        <v>9363</v>
      </c>
      <c r="N570" s="431"/>
      <c r="O570" s="431"/>
      <c r="P570" s="431"/>
      <c r="Q570" s="431"/>
      <c r="R570" s="431"/>
      <c r="S570" s="431"/>
      <c r="T570" s="431"/>
      <c r="U570" s="431"/>
      <c r="V570" s="431"/>
      <c r="W570" s="77"/>
      <c r="X570" s="77"/>
      <c r="Y570" s="77"/>
      <c r="Z570" s="77"/>
    </row>
    <row r="571" ht="16.5" customHeight="1">
      <c r="A571" s="198" t="s">
        <v>1787</v>
      </c>
      <c r="B571" s="198" t="s">
        <v>4220</v>
      </c>
      <c r="C571" s="427" t="s">
        <v>9365</v>
      </c>
      <c r="D571" s="427" t="s">
        <v>8952</v>
      </c>
      <c r="E571" s="427" t="s">
        <v>4702</v>
      </c>
      <c r="F571" s="427" t="s">
        <v>4703</v>
      </c>
      <c r="G571" s="427" t="s">
        <v>4320</v>
      </c>
      <c r="H571" s="427" t="s">
        <v>436</v>
      </c>
      <c r="I571" s="427" t="s">
        <v>4704</v>
      </c>
      <c r="J571" s="427" t="s">
        <v>135</v>
      </c>
      <c r="K571" s="427" t="s">
        <v>128</v>
      </c>
      <c r="N571" s="431"/>
      <c r="O571" s="431"/>
      <c r="P571" s="431"/>
      <c r="Q571" s="431"/>
      <c r="R571" s="431"/>
      <c r="S571" s="431"/>
      <c r="T571" s="431"/>
      <c r="U571" s="431"/>
      <c r="V571" s="431"/>
      <c r="W571" s="77"/>
      <c r="X571" s="77"/>
      <c r="Y571" s="77"/>
      <c r="Z571" s="77"/>
    </row>
    <row r="572" ht="16.5" customHeight="1">
      <c r="A572" s="31" t="s">
        <v>9888</v>
      </c>
      <c r="B572" s="31" t="s">
        <v>9733</v>
      </c>
      <c r="C572" s="4" t="s">
        <v>9441</v>
      </c>
      <c r="D572" s="4" t="s">
        <v>9102</v>
      </c>
      <c r="E572" s="4" t="s">
        <v>9264</v>
      </c>
      <c r="F572" s="4" t="s">
        <v>6832</v>
      </c>
      <c r="G572" s="4" t="s">
        <v>7</v>
      </c>
      <c r="H572" s="4" t="s">
        <v>5147</v>
      </c>
      <c r="I572" s="4" t="s">
        <v>10284</v>
      </c>
      <c r="J572" s="4" t="s">
        <v>10268</v>
      </c>
      <c r="K572" s="4" t="s">
        <v>10270</v>
      </c>
      <c r="L572" s="8"/>
      <c r="M572" s="8"/>
      <c r="N572" s="431"/>
      <c r="O572" s="431"/>
      <c r="P572" s="431"/>
      <c r="Q572" s="431"/>
      <c r="R572" s="431"/>
      <c r="S572" s="431"/>
      <c r="T572" s="431"/>
      <c r="U572" s="431"/>
      <c r="V572" s="431"/>
      <c r="W572" s="77"/>
      <c r="X572" s="77"/>
      <c r="Y572" s="77"/>
      <c r="Z572" s="77"/>
    </row>
    <row r="573" ht="16.5" customHeight="1">
      <c r="A573" s="31" t="s">
        <v>9890</v>
      </c>
      <c r="B573" s="31" t="s">
        <v>10249</v>
      </c>
      <c r="C573" s="108" t="s">
        <v>9953</v>
      </c>
      <c r="L573" s="8"/>
      <c r="M573" s="8"/>
      <c r="N573" s="431"/>
      <c r="O573" s="431"/>
      <c r="P573" s="431"/>
      <c r="Q573" s="431"/>
      <c r="R573" s="431"/>
      <c r="S573" s="431"/>
      <c r="T573" s="431"/>
      <c r="U573" s="431"/>
      <c r="V573" s="431"/>
      <c r="W573" s="77"/>
      <c r="X573" s="77"/>
      <c r="Y573" s="77"/>
      <c r="Z573" s="77"/>
    </row>
    <row r="574" ht="16.5" customHeight="1">
      <c r="A574" s="31" t="s">
        <v>9952</v>
      </c>
      <c r="B574" s="31" t="s">
        <v>10285</v>
      </c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431"/>
      <c r="O574" s="431"/>
      <c r="P574" s="431"/>
      <c r="Q574" s="431"/>
      <c r="R574" s="431"/>
      <c r="S574" s="431"/>
      <c r="T574" s="431"/>
      <c r="U574" s="431"/>
      <c r="V574" s="431"/>
      <c r="W574" s="77"/>
      <c r="X574" s="77"/>
      <c r="Y574" s="77"/>
      <c r="Z574" s="77"/>
    </row>
    <row r="575" ht="16.5" customHeight="1">
      <c r="A575" s="31" t="s">
        <v>5212</v>
      </c>
      <c r="B575" s="31" t="s">
        <v>8136</v>
      </c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431"/>
      <c r="O575" s="431"/>
      <c r="P575" s="431"/>
      <c r="Q575" s="431"/>
      <c r="R575" s="431"/>
      <c r="S575" s="431"/>
      <c r="T575" s="431"/>
      <c r="U575" s="431"/>
      <c r="V575" s="431"/>
      <c r="W575" s="77"/>
      <c r="X575" s="77"/>
      <c r="Y575" s="77"/>
      <c r="Z575" s="77"/>
    </row>
    <row r="576" ht="16.5" customHeight="1">
      <c r="A576" s="31" t="s">
        <v>1737</v>
      </c>
      <c r="B576" s="31" t="s">
        <v>10255</v>
      </c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431"/>
      <c r="O576" s="431"/>
      <c r="P576" s="431"/>
      <c r="Q576" s="431"/>
      <c r="R576" s="431"/>
      <c r="S576" s="431"/>
      <c r="T576" s="431"/>
      <c r="U576" s="431"/>
      <c r="V576" s="431"/>
      <c r="W576" s="77"/>
      <c r="X576" s="77"/>
      <c r="Y576" s="77"/>
      <c r="Z576" s="77"/>
    </row>
    <row r="577" ht="16.5" customHeight="1">
      <c r="A577" s="31" t="s">
        <v>9955</v>
      </c>
      <c r="B577" s="31" t="s">
        <v>10286</v>
      </c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431"/>
      <c r="O577" s="431"/>
      <c r="P577" s="431"/>
      <c r="Q577" s="431"/>
      <c r="R577" s="431"/>
      <c r="S577" s="431"/>
      <c r="T577" s="431"/>
      <c r="U577" s="431"/>
      <c r="V577" s="431"/>
      <c r="W577" s="77"/>
      <c r="X577" s="77"/>
      <c r="Y577" s="77"/>
      <c r="Z577" s="77"/>
    </row>
    <row r="578" ht="16.5" customHeight="1">
      <c r="A578" s="31" t="s">
        <v>9957</v>
      </c>
      <c r="B578" s="31" t="s">
        <v>10287</v>
      </c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431"/>
      <c r="O578" s="431"/>
      <c r="P578" s="431"/>
      <c r="Q578" s="431"/>
      <c r="R578" s="431"/>
      <c r="S578" s="431"/>
      <c r="T578" s="431"/>
      <c r="U578" s="431"/>
      <c r="V578" s="431"/>
      <c r="W578" s="77"/>
      <c r="X578" s="77"/>
      <c r="Y578" s="77"/>
      <c r="Z578" s="77"/>
    </row>
    <row r="579" ht="16.5" customHeight="1">
      <c r="A579" s="31" t="s">
        <v>9959</v>
      </c>
      <c r="B579" s="31" t="s">
        <v>10288</v>
      </c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431"/>
      <c r="O579" s="431"/>
      <c r="P579" s="431"/>
      <c r="Q579" s="431"/>
      <c r="R579" s="431"/>
      <c r="S579" s="431"/>
      <c r="T579" s="431"/>
      <c r="U579" s="431"/>
      <c r="V579" s="431"/>
      <c r="W579" s="77"/>
      <c r="X579" s="77"/>
      <c r="Y579" s="77"/>
      <c r="Z579" s="77"/>
    </row>
    <row r="580" ht="16.5" customHeight="1">
      <c r="A580" s="31" t="s">
        <v>9960</v>
      </c>
      <c r="B580" s="31" t="s">
        <v>10289</v>
      </c>
      <c r="N580" s="431"/>
      <c r="O580" s="431"/>
      <c r="P580" s="431"/>
      <c r="Q580" s="431"/>
      <c r="R580" s="431"/>
      <c r="S580" s="431"/>
      <c r="T580" s="431"/>
      <c r="U580" s="431"/>
      <c r="V580" s="431"/>
      <c r="W580" s="77"/>
      <c r="X580" s="77"/>
      <c r="Y580" s="77"/>
      <c r="Z580" s="77"/>
    </row>
    <row r="581" ht="16.5" customHeight="1">
      <c r="A581" s="31" t="s">
        <v>9961</v>
      </c>
      <c r="B581" s="31" t="s">
        <v>7733</v>
      </c>
      <c r="N581" s="431"/>
      <c r="O581" s="431"/>
      <c r="P581" s="431"/>
      <c r="Q581" s="431"/>
      <c r="R581" s="431"/>
      <c r="S581" s="431"/>
      <c r="T581" s="431"/>
      <c r="U581" s="431"/>
      <c r="V581" s="431"/>
      <c r="W581" s="77"/>
      <c r="X581" s="77"/>
      <c r="Y581" s="77"/>
      <c r="Z581" s="77"/>
    </row>
    <row r="582" ht="16.5" customHeight="1">
      <c r="A582" s="31" t="s">
        <v>9963</v>
      </c>
      <c r="B582" s="31" t="s">
        <v>9748</v>
      </c>
      <c r="N582" s="431"/>
      <c r="O582" s="431"/>
      <c r="P582" s="431"/>
      <c r="Q582" s="431"/>
      <c r="R582" s="431"/>
      <c r="S582" s="431"/>
      <c r="T582" s="431"/>
      <c r="U582" s="431"/>
      <c r="V582" s="431"/>
      <c r="W582" s="77"/>
      <c r="X582" s="77"/>
      <c r="Y582" s="77"/>
      <c r="Z582" s="77"/>
    </row>
    <row r="583" ht="16.5" customHeight="1">
      <c r="A583" s="31" t="s">
        <v>9965</v>
      </c>
      <c r="B583" s="31" t="s">
        <v>10290</v>
      </c>
      <c r="N583" s="431"/>
      <c r="O583" s="431"/>
      <c r="P583" s="431"/>
      <c r="Q583" s="431"/>
      <c r="R583" s="431"/>
      <c r="S583" s="431"/>
      <c r="T583" s="431"/>
      <c r="U583" s="431"/>
      <c r="V583" s="431"/>
      <c r="W583" s="77"/>
      <c r="X583" s="77"/>
      <c r="Y583" s="77"/>
      <c r="Z583" s="77"/>
    </row>
    <row r="584" ht="16.5" customHeight="1">
      <c r="A584" s="31" t="s">
        <v>9967</v>
      </c>
      <c r="B584" s="31" t="s">
        <v>10263</v>
      </c>
      <c r="N584" s="431"/>
      <c r="O584" s="431"/>
      <c r="P584" s="431"/>
      <c r="Q584" s="431"/>
      <c r="R584" s="431"/>
      <c r="S584" s="431"/>
      <c r="T584" s="431"/>
      <c r="U584" s="431"/>
      <c r="V584" s="431"/>
      <c r="W584" s="77"/>
      <c r="X584" s="77"/>
      <c r="Y584" s="77"/>
      <c r="Z584" s="77"/>
    </row>
    <row r="585" ht="16.5" customHeight="1">
      <c r="A585" s="31" t="s">
        <v>9969</v>
      </c>
      <c r="B585" s="31" t="s">
        <v>10264</v>
      </c>
      <c r="N585" s="431"/>
      <c r="O585" s="431"/>
      <c r="P585" s="431"/>
      <c r="Q585" s="431"/>
      <c r="R585" s="431"/>
      <c r="S585" s="431"/>
      <c r="T585" s="431"/>
      <c r="U585" s="431"/>
      <c r="V585" s="431"/>
      <c r="W585" s="77"/>
      <c r="X585" s="77"/>
      <c r="Y585" s="77"/>
      <c r="Z585" s="77"/>
    </row>
    <row r="586" ht="16.5" customHeight="1">
      <c r="A586" s="423" t="s">
        <v>10291</v>
      </c>
      <c r="N586" s="431"/>
      <c r="O586" s="431"/>
      <c r="P586" s="431"/>
      <c r="Q586" s="431"/>
      <c r="R586" s="431"/>
      <c r="S586" s="431"/>
      <c r="T586" s="431"/>
      <c r="U586" s="431"/>
      <c r="V586" s="431"/>
      <c r="W586" s="77"/>
      <c r="X586" s="77"/>
      <c r="Y586" s="77"/>
      <c r="Z586" s="77"/>
    </row>
    <row r="587" ht="16.5" customHeight="1">
      <c r="A587" s="425" t="s">
        <v>9414</v>
      </c>
      <c r="B587" s="425" t="s">
        <v>9384</v>
      </c>
      <c r="C587" s="426" t="s">
        <v>9363</v>
      </c>
      <c r="N587" s="431"/>
      <c r="O587" s="431"/>
      <c r="P587" s="431"/>
      <c r="Q587" s="431"/>
      <c r="R587" s="431"/>
      <c r="S587" s="431"/>
      <c r="T587" s="431"/>
      <c r="U587" s="431"/>
      <c r="V587" s="431"/>
      <c r="W587" s="77"/>
      <c r="X587" s="77"/>
      <c r="Y587" s="77"/>
      <c r="Z587" s="77"/>
    </row>
    <row r="588" ht="16.5" customHeight="1">
      <c r="A588" s="198" t="s">
        <v>1787</v>
      </c>
      <c r="B588" s="198" t="s">
        <v>10097</v>
      </c>
      <c r="C588" s="427" t="s">
        <v>9365</v>
      </c>
      <c r="D588" s="427" t="s">
        <v>8952</v>
      </c>
      <c r="E588" s="427" t="s">
        <v>4702</v>
      </c>
      <c r="F588" s="427" t="s">
        <v>4703</v>
      </c>
      <c r="G588" s="427" t="s">
        <v>4320</v>
      </c>
      <c r="H588" s="427" t="s">
        <v>436</v>
      </c>
      <c r="I588" s="427" t="s">
        <v>4704</v>
      </c>
      <c r="J588" s="427" t="s">
        <v>135</v>
      </c>
      <c r="K588" s="427" t="s">
        <v>128</v>
      </c>
      <c r="N588" s="431"/>
      <c r="O588" s="431"/>
      <c r="P588" s="431"/>
      <c r="Q588" s="431"/>
      <c r="R588" s="431"/>
      <c r="S588" s="431"/>
      <c r="T588" s="431"/>
      <c r="U588" s="431"/>
      <c r="V588" s="431"/>
      <c r="W588" s="77"/>
      <c r="X588" s="77"/>
      <c r="Y588" s="77"/>
      <c r="Z588" s="77"/>
    </row>
    <row r="589" ht="16.5" customHeight="1">
      <c r="A589" s="31" t="s">
        <v>9972</v>
      </c>
      <c r="B589" s="31" t="s">
        <v>9461</v>
      </c>
      <c r="C589" s="4" t="s">
        <v>9441</v>
      </c>
      <c r="D589" s="4" t="s">
        <v>9181</v>
      </c>
      <c r="E589" s="4" t="s">
        <v>9264</v>
      </c>
      <c r="F589" s="4" t="s">
        <v>1871</v>
      </c>
      <c r="G589" s="4" t="s">
        <v>9274</v>
      </c>
      <c r="H589" s="4" t="s">
        <v>1500</v>
      </c>
      <c r="I589" s="4" t="s">
        <v>10292</v>
      </c>
      <c r="J589" s="4" t="s">
        <v>10292</v>
      </c>
      <c r="K589" s="4" t="s">
        <v>10293</v>
      </c>
      <c r="L589" s="8"/>
      <c r="M589" s="8"/>
      <c r="N589" s="424"/>
      <c r="O589" s="424"/>
      <c r="P589" s="431"/>
      <c r="Q589" s="431"/>
      <c r="R589" s="431"/>
      <c r="S589" s="431"/>
      <c r="T589" s="431"/>
      <c r="U589" s="431"/>
      <c r="V589" s="431"/>
      <c r="W589" s="77"/>
      <c r="X589" s="77"/>
      <c r="Y589" s="77"/>
      <c r="Z589" s="77"/>
    </row>
    <row r="590" ht="16.5" customHeight="1">
      <c r="A590" s="31" t="s">
        <v>10025</v>
      </c>
      <c r="B590" s="31" t="s">
        <v>3601</v>
      </c>
      <c r="C590" s="4" t="s">
        <v>9466</v>
      </c>
      <c r="D590" s="4" t="s">
        <v>9181</v>
      </c>
      <c r="E590" s="4" t="s">
        <v>10246</v>
      </c>
      <c r="F590" s="4" t="s">
        <v>1871</v>
      </c>
      <c r="G590" s="4" t="s">
        <v>9274</v>
      </c>
      <c r="H590" s="4" t="s">
        <v>1500</v>
      </c>
      <c r="I590" s="4" t="s">
        <v>10294</v>
      </c>
      <c r="J590" s="4" t="s">
        <v>10294</v>
      </c>
      <c r="K590" s="4" t="s">
        <v>10295</v>
      </c>
      <c r="L590" s="8"/>
      <c r="M590" s="8"/>
      <c r="N590" s="424"/>
      <c r="O590" s="424"/>
      <c r="P590" s="431"/>
      <c r="Q590" s="431"/>
      <c r="R590" s="431"/>
      <c r="S590" s="431"/>
      <c r="T590" s="431"/>
      <c r="U590" s="431"/>
      <c r="V590" s="431"/>
      <c r="W590" s="77"/>
      <c r="X590" s="77"/>
      <c r="Y590" s="77"/>
      <c r="Z590" s="77"/>
    </row>
    <row r="591" ht="16.5" customHeight="1">
      <c r="A591" s="31" t="s">
        <v>10296</v>
      </c>
      <c r="B591" s="31" t="s">
        <v>10109</v>
      </c>
      <c r="C591" s="4" t="s">
        <v>9472</v>
      </c>
      <c r="D591" s="4" t="s">
        <v>9181</v>
      </c>
      <c r="E591" s="4" t="s">
        <v>9278</v>
      </c>
      <c r="F591" s="4" t="s">
        <v>1871</v>
      </c>
      <c r="G591" s="4" t="s">
        <v>9274</v>
      </c>
      <c r="H591" s="4" t="s">
        <v>1500</v>
      </c>
      <c r="I591" s="4" t="s">
        <v>9978</v>
      </c>
      <c r="J591" s="4" t="s">
        <v>9978</v>
      </c>
      <c r="K591" s="4" t="s">
        <v>10101</v>
      </c>
      <c r="L591" s="8"/>
      <c r="M591" s="8"/>
      <c r="N591" s="424"/>
      <c r="O591" s="424"/>
      <c r="P591" s="431"/>
      <c r="Q591" s="431"/>
      <c r="R591" s="431"/>
      <c r="S591" s="431"/>
      <c r="T591" s="431"/>
      <c r="U591" s="431"/>
      <c r="V591" s="431"/>
      <c r="W591" s="77"/>
      <c r="X591" s="77"/>
      <c r="Y591" s="77"/>
      <c r="Z591" s="77"/>
    </row>
    <row r="592" ht="16.5" customHeight="1">
      <c r="A592" s="31" t="s">
        <v>10030</v>
      </c>
      <c r="B592" s="31" t="s">
        <v>10115</v>
      </c>
      <c r="C592" s="108" t="s">
        <v>9478</v>
      </c>
      <c r="L592" s="8"/>
      <c r="M592" s="8"/>
      <c r="N592" s="424"/>
      <c r="O592" s="424"/>
      <c r="P592" s="431"/>
      <c r="Q592" s="431"/>
      <c r="R592" s="431"/>
      <c r="S592" s="431"/>
      <c r="T592" s="431"/>
      <c r="U592" s="431"/>
      <c r="V592" s="431"/>
      <c r="W592" s="77"/>
      <c r="X592" s="77"/>
      <c r="Y592" s="77"/>
      <c r="Z592" s="77"/>
    </row>
    <row r="593" ht="16.5" customHeight="1">
      <c r="A593" s="31" t="s">
        <v>10032</v>
      </c>
      <c r="B593" s="31" t="s">
        <v>9453</v>
      </c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424"/>
      <c r="O593" s="424"/>
      <c r="P593" s="431"/>
      <c r="Q593" s="431"/>
      <c r="R593" s="431"/>
      <c r="S593" s="431"/>
      <c r="T593" s="431"/>
      <c r="U593" s="431"/>
      <c r="V593" s="431"/>
      <c r="W593" s="77"/>
      <c r="X593" s="77"/>
      <c r="Y593" s="77"/>
      <c r="Z593" s="77"/>
    </row>
    <row r="594" ht="16.5" customHeight="1">
      <c r="A594" s="31" t="s">
        <v>10297</v>
      </c>
      <c r="B594" s="31" t="s">
        <v>10120</v>
      </c>
      <c r="L594" s="8"/>
      <c r="N594" s="431"/>
      <c r="O594" s="431"/>
      <c r="P594" s="431"/>
      <c r="Q594" s="431"/>
      <c r="R594" s="431"/>
      <c r="S594" s="431"/>
      <c r="T594" s="431"/>
      <c r="U594" s="431"/>
      <c r="V594" s="431"/>
      <c r="W594" s="77"/>
      <c r="X594" s="77"/>
      <c r="Y594" s="77"/>
      <c r="Z594" s="77"/>
    </row>
    <row r="595" ht="16.5" customHeight="1">
      <c r="A595" s="31" t="s">
        <v>9426</v>
      </c>
      <c r="B595" s="31" t="s">
        <v>10122</v>
      </c>
      <c r="L595" s="8"/>
      <c r="N595" s="431"/>
      <c r="O595" s="431"/>
      <c r="P595" s="431"/>
      <c r="Q595" s="431"/>
      <c r="R595" s="431"/>
      <c r="S595" s="431"/>
      <c r="T595" s="431"/>
      <c r="U595" s="431"/>
      <c r="V595" s="431"/>
      <c r="W595" s="77"/>
      <c r="X595" s="77"/>
      <c r="Y595" s="77"/>
      <c r="Z595" s="77"/>
    </row>
    <row r="596" ht="16.5" customHeight="1">
      <c r="A596" s="423" t="s">
        <v>10298</v>
      </c>
      <c r="N596" s="431"/>
      <c r="O596" s="431"/>
      <c r="P596" s="431"/>
      <c r="Q596" s="431"/>
      <c r="R596" s="431"/>
      <c r="S596" s="431"/>
      <c r="T596" s="431"/>
      <c r="U596" s="431"/>
      <c r="V596" s="431"/>
      <c r="W596" s="77"/>
      <c r="X596" s="77"/>
      <c r="Y596" s="77"/>
      <c r="Z596" s="77"/>
    </row>
    <row r="597" ht="16.5" customHeight="1">
      <c r="A597" s="425" t="s">
        <v>9530</v>
      </c>
      <c r="B597" s="425" t="s">
        <v>9437</v>
      </c>
      <c r="C597" s="426" t="s">
        <v>9363</v>
      </c>
      <c r="N597" s="431"/>
      <c r="O597" s="431"/>
      <c r="P597" s="431"/>
      <c r="Q597" s="431"/>
      <c r="R597" s="431"/>
      <c r="S597" s="431"/>
      <c r="T597" s="431"/>
      <c r="U597" s="431"/>
      <c r="V597" s="431"/>
      <c r="W597" s="77"/>
      <c r="X597" s="77"/>
      <c r="Y597" s="77"/>
      <c r="Z597" s="77"/>
    </row>
    <row r="598" ht="16.5" customHeight="1">
      <c r="A598" s="428" t="s">
        <v>4251</v>
      </c>
      <c r="B598" s="428" t="s">
        <v>1787</v>
      </c>
      <c r="C598" s="427" t="s">
        <v>9365</v>
      </c>
      <c r="D598" s="427" t="s">
        <v>8952</v>
      </c>
      <c r="E598" s="427" t="s">
        <v>4702</v>
      </c>
      <c r="F598" s="427" t="s">
        <v>4703</v>
      </c>
      <c r="G598" s="427" t="s">
        <v>4320</v>
      </c>
      <c r="H598" s="427" t="s">
        <v>436</v>
      </c>
      <c r="I598" s="427" t="s">
        <v>4704</v>
      </c>
      <c r="J598" s="427" t="s">
        <v>135</v>
      </c>
      <c r="K598" s="427" t="s">
        <v>128</v>
      </c>
      <c r="N598" s="431"/>
      <c r="O598" s="431"/>
      <c r="P598" s="431"/>
      <c r="Q598" s="431"/>
      <c r="R598" s="431"/>
      <c r="S598" s="431"/>
      <c r="T598" s="431"/>
      <c r="U598" s="431"/>
      <c r="V598" s="431"/>
      <c r="W598" s="77"/>
      <c r="X598" s="77"/>
      <c r="Y598" s="77"/>
      <c r="Z598" s="77"/>
    </row>
    <row r="599" ht="16.5" customHeight="1">
      <c r="A599" s="31" t="s">
        <v>7949</v>
      </c>
      <c r="B599" s="31" t="s">
        <v>10299</v>
      </c>
      <c r="C599" s="4" t="s">
        <v>9441</v>
      </c>
      <c r="D599" s="4" t="s">
        <v>9130</v>
      </c>
      <c r="E599" s="4" t="s">
        <v>10300</v>
      </c>
      <c r="F599" s="4" t="s">
        <v>10301</v>
      </c>
      <c r="G599" s="4" t="s">
        <v>8</v>
      </c>
      <c r="H599" s="4" t="s">
        <v>8045</v>
      </c>
      <c r="I599" s="4" t="s">
        <v>10302</v>
      </c>
      <c r="J599" s="4" t="s">
        <v>10303</v>
      </c>
      <c r="K599" s="4" t="s">
        <v>10302</v>
      </c>
      <c r="N599" s="431"/>
      <c r="O599" s="431"/>
      <c r="P599" s="431"/>
      <c r="Q599" s="431"/>
      <c r="R599" s="431"/>
      <c r="S599" s="431"/>
      <c r="T599" s="431"/>
      <c r="U599" s="431"/>
      <c r="V599" s="431"/>
      <c r="W599" s="77"/>
      <c r="X599" s="77"/>
      <c r="Y599" s="77"/>
      <c r="Z599" s="77"/>
    </row>
    <row r="600" ht="16.5" customHeight="1">
      <c r="A600" s="31" t="s">
        <v>10304</v>
      </c>
      <c r="B600" s="31" t="s">
        <v>9910</v>
      </c>
      <c r="C600" s="4" t="s">
        <v>9466</v>
      </c>
      <c r="D600" s="4" t="s">
        <v>9130</v>
      </c>
      <c r="E600" s="4" t="s">
        <v>10305</v>
      </c>
      <c r="F600" s="4" t="s">
        <v>10306</v>
      </c>
      <c r="G600" s="4" t="s">
        <v>18</v>
      </c>
      <c r="H600" s="4" t="s">
        <v>8058</v>
      </c>
      <c r="I600" s="4" t="s">
        <v>10307</v>
      </c>
      <c r="J600" s="4" t="s">
        <v>10308</v>
      </c>
      <c r="K600" s="4" t="s">
        <v>10307</v>
      </c>
      <c r="N600" s="431"/>
      <c r="O600" s="431"/>
      <c r="P600" s="431"/>
      <c r="Q600" s="431"/>
      <c r="R600" s="431"/>
      <c r="S600" s="431"/>
      <c r="T600" s="431"/>
      <c r="U600" s="431"/>
      <c r="V600" s="431"/>
      <c r="W600" s="77"/>
      <c r="X600" s="77"/>
      <c r="Y600" s="77"/>
      <c r="Z600" s="77"/>
    </row>
    <row r="601" ht="16.5" customHeight="1">
      <c r="A601" s="31" t="s">
        <v>10309</v>
      </c>
      <c r="B601" s="31" t="s">
        <v>10310</v>
      </c>
      <c r="C601" s="4" t="s">
        <v>9472</v>
      </c>
      <c r="D601" s="4" t="s">
        <v>9130</v>
      </c>
      <c r="E601" s="4" t="s">
        <v>9264</v>
      </c>
      <c r="F601" s="4" t="s">
        <v>10301</v>
      </c>
      <c r="G601" s="4" t="s">
        <v>18</v>
      </c>
      <c r="H601" s="4" t="s">
        <v>1500</v>
      </c>
      <c r="I601" s="4" t="s">
        <v>10307</v>
      </c>
      <c r="J601" s="4" t="s">
        <v>10311</v>
      </c>
      <c r="K601" s="4" t="s">
        <v>10312</v>
      </c>
      <c r="L601" s="8"/>
      <c r="N601" s="431"/>
      <c r="O601" s="431"/>
      <c r="P601" s="431"/>
      <c r="Q601" s="431"/>
      <c r="R601" s="431"/>
      <c r="S601" s="431"/>
      <c r="T601" s="431"/>
      <c r="U601" s="431"/>
      <c r="V601" s="431"/>
      <c r="W601" s="77"/>
      <c r="X601" s="77"/>
      <c r="Y601" s="77"/>
      <c r="Z601" s="77"/>
    </row>
    <row r="602" ht="16.5" customHeight="1">
      <c r="A602" s="31" t="s">
        <v>9566</v>
      </c>
      <c r="B602" s="31" t="s">
        <v>10313</v>
      </c>
      <c r="C602" s="4" t="s">
        <v>9712</v>
      </c>
      <c r="D602" s="4" t="s">
        <v>9130</v>
      </c>
      <c r="E602" s="4" t="s">
        <v>10246</v>
      </c>
      <c r="F602" s="4" t="s">
        <v>10306</v>
      </c>
      <c r="G602" s="4" t="s">
        <v>18</v>
      </c>
      <c r="H602" s="4" t="s">
        <v>144</v>
      </c>
      <c r="I602" s="4" t="s">
        <v>10307</v>
      </c>
      <c r="J602" s="4" t="s">
        <v>10307</v>
      </c>
      <c r="K602" s="4" t="s">
        <v>10307</v>
      </c>
      <c r="L602" s="8"/>
      <c r="N602" s="431"/>
      <c r="O602" s="431"/>
      <c r="P602" s="431"/>
      <c r="Q602" s="431"/>
      <c r="R602" s="431"/>
      <c r="S602" s="431"/>
      <c r="T602" s="431"/>
      <c r="U602" s="431"/>
      <c r="V602" s="431"/>
      <c r="W602" s="77"/>
      <c r="X602" s="77"/>
      <c r="Y602" s="77"/>
      <c r="Z602" s="77"/>
    </row>
    <row r="603" ht="16.5" customHeight="1">
      <c r="A603" s="31" t="s">
        <v>10314</v>
      </c>
      <c r="B603" s="31" t="s">
        <v>10315</v>
      </c>
      <c r="C603" s="4" t="s">
        <v>9716</v>
      </c>
      <c r="D603" s="4" t="s">
        <v>9130</v>
      </c>
      <c r="E603" s="4" t="s">
        <v>9278</v>
      </c>
      <c r="F603" s="4" t="s">
        <v>10301</v>
      </c>
      <c r="G603" s="4" t="s">
        <v>8</v>
      </c>
      <c r="H603" s="4" t="s">
        <v>9925</v>
      </c>
      <c r="I603" s="4" t="s">
        <v>10302</v>
      </c>
      <c r="J603" s="4" t="s">
        <v>10316</v>
      </c>
      <c r="K603" s="4" t="s">
        <v>10302</v>
      </c>
      <c r="L603" s="8"/>
      <c r="N603" s="431"/>
      <c r="O603" s="431"/>
      <c r="P603" s="431"/>
      <c r="Q603" s="431"/>
      <c r="R603" s="431"/>
      <c r="S603" s="431"/>
      <c r="T603" s="431"/>
      <c r="U603" s="431"/>
      <c r="V603" s="431"/>
      <c r="W603" s="77"/>
      <c r="X603" s="77"/>
      <c r="Y603" s="77"/>
      <c r="Z603" s="77"/>
    </row>
    <row r="604" ht="16.5" customHeight="1">
      <c r="A604" s="31" t="s">
        <v>10317</v>
      </c>
      <c r="B604" s="31" t="s">
        <v>10318</v>
      </c>
      <c r="C604" s="108" t="s">
        <v>10319</v>
      </c>
      <c r="L604" s="8"/>
      <c r="N604" s="431"/>
      <c r="O604" s="431"/>
      <c r="P604" s="431"/>
      <c r="Q604" s="431"/>
      <c r="R604" s="431"/>
      <c r="S604" s="431"/>
      <c r="T604" s="431"/>
      <c r="U604" s="431"/>
      <c r="V604" s="431"/>
      <c r="W604" s="77"/>
      <c r="X604" s="77"/>
      <c r="Y604" s="77"/>
      <c r="Z604" s="77"/>
    </row>
    <row r="605" ht="16.5" customHeight="1">
      <c r="A605" s="31" t="s">
        <v>10320</v>
      </c>
      <c r="B605" s="31" t="s">
        <v>9914</v>
      </c>
      <c r="L605" s="8"/>
      <c r="N605" s="431"/>
      <c r="O605" s="431"/>
      <c r="P605" s="431"/>
      <c r="Q605" s="431"/>
      <c r="R605" s="431"/>
      <c r="S605" s="431"/>
      <c r="T605" s="431"/>
      <c r="U605" s="431"/>
      <c r="V605" s="431"/>
      <c r="W605" s="77"/>
      <c r="X605" s="77"/>
      <c r="Y605" s="77"/>
      <c r="Z605" s="77"/>
    </row>
    <row r="606" ht="16.5" customHeight="1">
      <c r="A606" s="31" t="s">
        <v>10321</v>
      </c>
      <c r="B606" s="31" t="s">
        <v>9915</v>
      </c>
      <c r="L606" s="8"/>
      <c r="N606" s="431"/>
      <c r="O606" s="431"/>
      <c r="P606" s="431"/>
      <c r="Q606" s="431"/>
      <c r="R606" s="431"/>
      <c r="S606" s="431"/>
      <c r="T606" s="431"/>
      <c r="U606" s="431"/>
      <c r="V606" s="431"/>
      <c r="W606" s="77"/>
      <c r="X606" s="77"/>
      <c r="Y606" s="77"/>
      <c r="Z606" s="77"/>
    </row>
    <row r="607" ht="16.5" customHeight="1">
      <c r="A607" s="31" t="s">
        <v>10322</v>
      </c>
      <c r="B607" s="31" t="s">
        <v>10323</v>
      </c>
      <c r="L607" s="8"/>
      <c r="N607" s="431"/>
      <c r="O607" s="431"/>
      <c r="P607" s="431"/>
      <c r="Q607" s="431"/>
      <c r="R607" s="431"/>
      <c r="S607" s="431"/>
      <c r="T607" s="431"/>
      <c r="U607" s="431"/>
      <c r="V607" s="431"/>
      <c r="W607" s="77"/>
      <c r="X607" s="77"/>
      <c r="Y607" s="77"/>
      <c r="Z607" s="77"/>
    </row>
    <row r="608" ht="16.5" customHeight="1">
      <c r="A608" s="31" t="s">
        <v>10324</v>
      </c>
      <c r="B608" s="31" t="s">
        <v>10325</v>
      </c>
      <c r="L608" s="8"/>
      <c r="N608" s="431"/>
      <c r="O608" s="431"/>
      <c r="P608" s="431"/>
      <c r="Q608" s="431"/>
      <c r="R608" s="431"/>
      <c r="S608" s="431"/>
      <c r="T608" s="431"/>
      <c r="U608" s="431"/>
      <c r="V608" s="431"/>
      <c r="W608" s="77"/>
      <c r="X608" s="77"/>
      <c r="Y608" s="77"/>
      <c r="Z608" s="77"/>
    </row>
    <row r="609" ht="16.5" customHeight="1">
      <c r="A609" s="31" t="s">
        <v>10326</v>
      </c>
      <c r="B609" s="31" t="s">
        <v>10327</v>
      </c>
      <c r="L609" s="8"/>
      <c r="N609" s="431"/>
      <c r="O609" s="431"/>
      <c r="P609" s="431"/>
      <c r="Q609" s="431"/>
      <c r="R609" s="431"/>
      <c r="S609" s="431"/>
      <c r="T609" s="431"/>
      <c r="U609" s="431"/>
      <c r="V609" s="431"/>
      <c r="W609" s="77"/>
      <c r="X609" s="77"/>
      <c r="Y609" s="77"/>
      <c r="Z609" s="77"/>
    </row>
    <row r="610" ht="16.5" customHeight="1">
      <c r="A610" s="423" t="s">
        <v>10328</v>
      </c>
      <c r="L610" s="8"/>
      <c r="N610" s="431"/>
      <c r="O610" s="431"/>
      <c r="P610" s="431"/>
      <c r="Q610" s="431"/>
      <c r="R610" s="431"/>
      <c r="S610" s="431"/>
      <c r="T610" s="431"/>
      <c r="U610" s="431"/>
      <c r="V610" s="431"/>
      <c r="W610" s="77"/>
      <c r="X610" s="77"/>
      <c r="Y610" s="77"/>
      <c r="Z610" s="77"/>
    </row>
    <row r="611" ht="16.5" customHeight="1">
      <c r="A611" s="425" t="s">
        <v>9887</v>
      </c>
      <c r="B611" s="425" t="s">
        <v>9361</v>
      </c>
      <c r="C611" s="426" t="s">
        <v>9363</v>
      </c>
      <c r="L611" s="8"/>
      <c r="N611" s="431"/>
      <c r="O611" s="431"/>
      <c r="P611" s="431"/>
      <c r="Q611" s="431"/>
      <c r="R611" s="431"/>
      <c r="S611" s="431"/>
      <c r="T611" s="431"/>
      <c r="U611" s="431"/>
      <c r="V611" s="431"/>
      <c r="W611" s="77"/>
      <c r="X611" s="77"/>
      <c r="Y611" s="77"/>
      <c r="Z611" s="77"/>
    </row>
    <row r="612" ht="16.5" customHeight="1">
      <c r="A612" s="428" t="s">
        <v>1787</v>
      </c>
      <c r="B612" s="428" t="s">
        <v>10329</v>
      </c>
      <c r="C612" s="427" t="s">
        <v>9365</v>
      </c>
      <c r="D612" s="427" t="s">
        <v>8952</v>
      </c>
      <c r="E612" s="427" t="s">
        <v>4702</v>
      </c>
      <c r="F612" s="427" t="s">
        <v>4703</v>
      </c>
      <c r="G612" s="427" t="s">
        <v>4320</v>
      </c>
      <c r="H612" s="427" t="s">
        <v>436</v>
      </c>
      <c r="I612" s="427" t="s">
        <v>4704</v>
      </c>
      <c r="J612" s="427" t="s">
        <v>135</v>
      </c>
      <c r="K612" s="427" t="s">
        <v>128</v>
      </c>
      <c r="L612" s="8"/>
      <c r="N612" s="431"/>
      <c r="O612" s="431"/>
      <c r="P612" s="431"/>
      <c r="Q612" s="431"/>
      <c r="R612" s="431"/>
      <c r="S612" s="431"/>
      <c r="T612" s="431"/>
      <c r="U612" s="431"/>
      <c r="V612" s="431"/>
      <c r="W612" s="77"/>
      <c r="X612" s="77"/>
      <c r="Y612" s="77"/>
      <c r="Z612" s="77"/>
    </row>
    <row r="613" ht="16.5" customHeight="1">
      <c r="A613" s="31" t="s">
        <v>9888</v>
      </c>
      <c r="B613" s="31" t="s">
        <v>10330</v>
      </c>
      <c r="C613" s="4" t="s">
        <v>9441</v>
      </c>
      <c r="D613" s="4" t="s">
        <v>9109</v>
      </c>
      <c r="E613" s="4" t="s">
        <v>10331</v>
      </c>
      <c r="F613" s="4" t="s">
        <v>10332</v>
      </c>
      <c r="G613" s="4" t="s">
        <v>17</v>
      </c>
      <c r="H613" s="4" t="s">
        <v>204</v>
      </c>
      <c r="I613" s="4" t="s">
        <v>10333</v>
      </c>
      <c r="J613" s="4" t="s">
        <v>10334</v>
      </c>
      <c r="K613" s="4" t="s">
        <v>10270</v>
      </c>
      <c r="L613" s="8"/>
      <c r="N613" s="431"/>
      <c r="O613" s="431"/>
      <c r="P613" s="431"/>
      <c r="Q613" s="431"/>
      <c r="R613" s="431"/>
      <c r="S613" s="431"/>
      <c r="T613" s="431"/>
      <c r="U613" s="431"/>
      <c r="V613" s="431"/>
      <c r="W613" s="77"/>
      <c r="X613" s="77"/>
      <c r="Y613" s="77"/>
      <c r="Z613" s="77"/>
    </row>
    <row r="614" ht="16.5" customHeight="1">
      <c r="A614" s="31" t="s">
        <v>9890</v>
      </c>
      <c r="B614" s="31" t="s">
        <v>9998</v>
      </c>
      <c r="C614" s="4" t="s">
        <v>10335</v>
      </c>
      <c r="D614" s="4" t="s">
        <v>9109</v>
      </c>
      <c r="E614" s="4" t="s">
        <v>10300</v>
      </c>
      <c r="F614" s="4" t="s">
        <v>23</v>
      </c>
      <c r="G614" s="4" t="s">
        <v>7</v>
      </c>
      <c r="H614" s="4" t="s">
        <v>204</v>
      </c>
      <c r="I614" s="4" t="s">
        <v>10270</v>
      </c>
      <c r="J614" s="4" t="s">
        <v>10270</v>
      </c>
      <c r="K614" s="4" t="s">
        <v>10284</v>
      </c>
      <c r="N614" s="431"/>
      <c r="O614" s="431"/>
      <c r="P614" s="431"/>
      <c r="Q614" s="431"/>
      <c r="R614" s="431"/>
      <c r="S614" s="431"/>
      <c r="T614" s="431"/>
      <c r="U614" s="431"/>
      <c r="V614" s="431"/>
      <c r="W614" s="77"/>
      <c r="X614" s="77"/>
      <c r="Y614" s="77"/>
      <c r="Z614" s="77"/>
    </row>
    <row r="615" ht="16.5" customHeight="1">
      <c r="A615" s="31" t="s">
        <v>9952</v>
      </c>
      <c r="B615" s="31" t="s">
        <v>10336</v>
      </c>
      <c r="C615" s="4" t="s">
        <v>9472</v>
      </c>
      <c r="D615" s="4" t="s">
        <v>9109</v>
      </c>
      <c r="E615" s="4" t="s">
        <v>10305</v>
      </c>
      <c r="F615" s="4" t="s">
        <v>6832</v>
      </c>
      <c r="G615" s="4" t="s">
        <v>7</v>
      </c>
      <c r="H615" s="4" t="s">
        <v>204</v>
      </c>
      <c r="I615" s="4" t="s">
        <v>9951</v>
      </c>
      <c r="J615" s="4" t="s">
        <v>10337</v>
      </c>
      <c r="K615" s="4" t="s">
        <v>10338</v>
      </c>
      <c r="N615" s="431"/>
      <c r="O615" s="431"/>
      <c r="P615" s="431"/>
      <c r="Q615" s="431"/>
      <c r="R615" s="431"/>
      <c r="S615" s="431"/>
      <c r="T615" s="431"/>
      <c r="U615" s="431"/>
      <c r="V615" s="431"/>
      <c r="W615" s="77"/>
      <c r="X615" s="77"/>
      <c r="Y615" s="77"/>
      <c r="Z615" s="77"/>
    </row>
    <row r="616" ht="16.5" customHeight="1">
      <c r="A616" s="31" t="s">
        <v>5212</v>
      </c>
      <c r="B616" s="31" t="s">
        <v>10339</v>
      </c>
      <c r="C616" s="108" t="s">
        <v>9953</v>
      </c>
      <c r="N616" s="431"/>
      <c r="O616" s="431"/>
      <c r="P616" s="431"/>
      <c r="Q616" s="431"/>
      <c r="R616" s="431"/>
      <c r="S616" s="431"/>
      <c r="T616" s="431"/>
      <c r="U616" s="431"/>
      <c r="V616" s="431"/>
      <c r="W616" s="77"/>
      <c r="X616" s="77"/>
      <c r="Y616" s="77"/>
      <c r="Z616" s="77"/>
    </row>
    <row r="617" ht="16.5" customHeight="1">
      <c r="A617" s="31" t="s">
        <v>1737</v>
      </c>
      <c r="B617" s="31" t="s">
        <v>10340</v>
      </c>
      <c r="C617" s="8"/>
      <c r="D617" s="8"/>
      <c r="E617" s="8"/>
      <c r="F617" s="8"/>
      <c r="G617" s="8"/>
      <c r="H617" s="8"/>
      <c r="I617" s="8"/>
      <c r="J617" s="8"/>
      <c r="K617" s="8"/>
      <c r="N617" s="431"/>
      <c r="O617" s="431"/>
      <c r="P617" s="431"/>
      <c r="Q617" s="431"/>
      <c r="R617" s="431"/>
      <c r="S617" s="431"/>
      <c r="T617" s="431"/>
      <c r="U617" s="431"/>
      <c r="V617" s="431"/>
      <c r="W617" s="77"/>
      <c r="X617" s="77"/>
      <c r="Y617" s="77"/>
      <c r="Z617" s="77"/>
    </row>
    <row r="618" ht="16.5" customHeight="1">
      <c r="A618" s="31" t="s">
        <v>9955</v>
      </c>
      <c r="B618" s="31" t="s">
        <v>10341</v>
      </c>
      <c r="C618" s="8"/>
      <c r="D618" s="8"/>
      <c r="E618" s="8"/>
      <c r="F618" s="8"/>
      <c r="G618" s="8"/>
      <c r="H618" s="8"/>
      <c r="I618" s="8"/>
      <c r="J618" s="8"/>
      <c r="K618" s="8"/>
      <c r="N618" s="431"/>
      <c r="O618" s="431"/>
      <c r="P618" s="431"/>
      <c r="Q618" s="431"/>
      <c r="R618" s="431"/>
      <c r="S618" s="431"/>
      <c r="T618" s="431"/>
      <c r="U618" s="431"/>
      <c r="V618" s="431"/>
      <c r="W618" s="77"/>
      <c r="X618" s="77"/>
      <c r="Y618" s="77"/>
      <c r="Z618" s="77"/>
    </row>
    <row r="619" ht="16.5" customHeight="1">
      <c r="A619" s="31" t="s">
        <v>9957</v>
      </c>
      <c r="B619" s="31" t="s">
        <v>10342</v>
      </c>
      <c r="C619" s="8"/>
      <c r="D619" s="8"/>
      <c r="E619" s="8"/>
      <c r="F619" s="8"/>
      <c r="G619" s="8"/>
      <c r="H619" s="8"/>
      <c r="I619" s="8"/>
      <c r="J619" s="8"/>
      <c r="K619" s="8"/>
      <c r="N619" s="431"/>
      <c r="O619" s="431"/>
      <c r="P619" s="431"/>
      <c r="Q619" s="431"/>
      <c r="R619" s="431"/>
      <c r="S619" s="431"/>
      <c r="T619" s="431"/>
      <c r="U619" s="431"/>
      <c r="V619" s="431"/>
      <c r="W619" s="77"/>
      <c r="X619" s="77"/>
      <c r="Y619" s="77"/>
      <c r="Z619" s="77"/>
    </row>
    <row r="620" ht="16.5" customHeight="1">
      <c r="A620" s="31" t="s">
        <v>9959</v>
      </c>
      <c r="B620" s="31" t="s">
        <v>10343</v>
      </c>
      <c r="C620" s="8"/>
      <c r="D620" s="8"/>
      <c r="E620" s="8"/>
      <c r="F620" s="8"/>
      <c r="G620" s="8"/>
      <c r="H620" s="8"/>
      <c r="I620" s="8"/>
      <c r="J620" s="8"/>
      <c r="K620" s="8"/>
      <c r="N620" s="431"/>
      <c r="O620" s="431"/>
      <c r="P620" s="431"/>
      <c r="Q620" s="431"/>
      <c r="R620" s="431"/>
      <c r="S620" s="431"/>
      <c r="T620" s="431"/>
      <c r="U620" s="431"/>
      <c r="V620" s="431"/>
      <c r="W620" s="77"/>
      <c r="X620" s="77"/>
      <c r="Y620" s="77"/>
      <c r="Z620" s="77"/>
    </row>
    <row r="621" ht="16.5" customHeight="1">
      <c r="A621" s="31" t="s">
        <v>9960</v>
      </c>
      <c r="B621" s="31" t="s">
        <v>10344</v>
      </c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431"/>
      <c r="O621" s="431"/>
      <c r="P621" s="431"/>
      <c r="Q621" s="431"/>
      <c r="R621" s="431"/>
      <c r="S621" s="431"/>
      <c r="T621" s="431"/>
      <c r="U621" s="431"/>
      <c r="V621" s="431"/>
      <c r="W621" s="77"/>
      <c r="X621" s="77"/>
      <c r="Y621" s="77"/>
      <c r="Z621" s="77"/>
    </row>
    <row r="622" ht="16.5" customHeight="1">
      <c r="A622" s="31" t="s">
        <v>9961</v>
      </c>
      <c r="B622" s="31" t="s">
        <v>10345</v>
      </c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431"/>
      <c r="O622" s="431"/>
      <c r="P622" s="431"/>
      <c r="Q622" s="431"/>
      <c r="R622" s="431"/>
      <c r="S622" s="431"/>
      <c r="T622" s="431"/>
      <c r="U622" s="431"/>
      <c r="V622" s="431"/>
      <c r="W622" s="77"/>
      <c r="X622" s="77"/>
      <c r="Y622" s="77"/>
      <c r="Z622" s="77"/>
    </row>
    <row r="623" ht="16.5" customHeight="1">
      <c r="A623" s="31" t="s">
        <v>9963</v>
      </c>
      <c r="B623" s="31" t="s">
        <v>10346</v>
      </c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431"/>
      <c r="O623" s="431"/>
      <c r="P623" s="431"/>
      <c r="Q623" s="431"/>
      <c r="R623" s="431"/>
      <c r="S623" s="431"/>
      <c r="T623" s="431"/>
      <c r="U623" s="431"/>
      <c r="V623" s="431"/>
      <c r="W623" s="77"/>
      <c r="X623" s="77"/>
      <c r="Y623" s="77"/>
      <c r="Z623" s="77"/>
    </row>
    <row r="624" ht="16.5" customHeight="1">
      <c r="A624" s="31" t="s">
        <v>9965</v>
      </c>
      <c r="B624" s="31" t="s">
        <v>10290</v>
      </c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431"/>
      <c r="O624" s="431"/>
      <c r="P624" s="431"/>
      <c r="Q624" s="431"/>
      <c r="R624" s="431"/>
      <c r="S624" s="431"/>
      <c r="T624" s="431"/>
      <c r="U624" s="431"/>
      <c r="V624" s="431"/>
      <c r="W624" s="77"/>
      <c r="X624" s="77"/>
      <c r="Y624" s="77"/>
      <c r="Z624" s="77"/>
    </row>
    <row r="625" ht="16.5" customHeight="1">
      <c r="A625" s="31" t="s">
        <v>9967</v>
      </c>
      <c r="B625" s="31" t="s">
        <v>10347</v>
      </c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431"/>
      <c r="O625" s="431"/>
      <c r="P625" s="431"/>
      <c r="Q625" s="431"/>
      <c r="R625" s="431"/>
      <c r="S625" s="431"/>
      <c r="T625" s="431"/>
      <c r="U625" s="431"/>
      <c r="V625" s="431"/>
      <c r="W625" s="77"/>
      <c r="X625" s="77"/>
      <c r="Y625" s="77"/>
      <c r="Z625" s="77"/>
    </row>
    <row r="626" ht="16.5" customHeight="1">
      <c r="A626" s="31" t="s">
        <v>9969</v>
      </c>
      <c r="B626" s="31" t="s">
        <v>10264</v>
      </c>
      <c r="L626" s="8"/>
      <c r="M626" s="8"/>
      <c r="N626" s="431"/>
      <c r="O626" s="431"/>
      <c r="P626" s="431"/>
      <c r="Q626" s="431"/>
      <c r="R626" s="431"/>
      <c r="S626" s="431"/>
      <c r="T626" s="431"/>
      <c r="U626" s="431"/>
      <c r="V626" s="431"/>
      <c r="W626" s="77"/>
      <c r="X626" s="77"/>
      <c r="Y626" s="77"/>
      <c r="Z626" s="77"/>
    </row>
    <row r="627" ht="16.5" customHeight="1">
      <c r="A627" s="423" t="s">
        <v>10348</v>
      </c>
      <c r="L627" s="8"/>
      <c r="M627" s="8"/>
      <c r="N627" s="431"/>
      <c r="O627" s="431"/>
      <c r="P627" s="431"/>
      <c r="Q627" s="431"/>
      <c r="R627" s="431"/>
      <c r="S627" s="431"/>
      <c r="T627" s="431"/>
      <c r="U627" s="431"/>
      <c r="V627" s="431"/>
      <c r="W627" s="77"/>
      <c r="X627" s="77"/>
      <c r="Y627" s="77"/>
      <c r="Z627" s="77"/>
    </row>
    <row r="628" ht="16.5" customHeight="1">
      <c r="A628" s="425" t="s">
        <v>10165</v>
      </c>
      <c r="B628" s="425" t="s">
        <v>9362</v>
      </c>
      <c r="C628" s="426" t="s">
        <v>9363</v>
      </c>
      <c r="L628" s="8"/>
      <c r="M628" s="8"/>
      <c r="N628" s="431"/>
      <c r="O628" s="431"/>
      <c r="P628" s="431"/>
      <c r="Q628" s="431"/>
      <c r="R628" s="431"/>
      <c r="S628" s="431"/>
      <c r="T628" s="431"/>
      <c r="U628" s="431"/>
      <c r="V628" s="431"/>
      <c r="W628" s="77"/>
      <c r="X628" s="77"/>
      <c r="Y628" s="77"/>
      <c r="Z628" s="77"/>
    </row>
    <row r="629" ht="16.5" customHeight="1">
      <c r="A629" s="428" t="s">
        <v>387</v>
      </c>
      <c r="B629" s="428" t="s">
        <v>2147</v>
      </c>
      <c r="C629" s="427" t="s">
        <v>9365</v>
      </c>
      <c r="D629" s="427" t="s">
        <v>8952</v>
      </c>
      <c r="E629" s="427" t="s">
        <v>4702</v>
      </c>
      <c r="F629" s="427" t="s">
        <v>4703</v>
      </c>
      <c r="G629" s="427" t="s">
        <v>4320</v>
      </c>
      <c r="H629" s="427" t="s">
        <v>436</v>
      </c>
      <c r="I629" s="427" t="s">
        <v>4704</v>
      </c>
      <c r="J629" s="427" t="s">
        <v>135</v>
      </c>
      <c r="K629" s="427" t="s">
        <v>128</v>
      </c>
      <c r="L629" s="8"/>
      <c r="M629" s="8"/>
      <c r="N629" s="431"/>
      <c r="O629" s="431"/>
      <c r="P629" s="431"/>
      <c r="Q629" s="431"/>
      <c r="R629" s="431"/>
      <c r="S629" s="431"/>
      <c r="T629" s="431"/>
      <c r="U629" s="431"/>
      <c r="V629" s="431"/>
      <c r="W629" s="77"/>
      <c r="X629" s="77"/>
      <c r="Y629" s="77"/>
      <c r="Z629" s="77"/>
    </row>
    <row r="630" ht="16.5" customHeight="1">
      <c r="A630" s="31" t="s">
        <v>10167</v>
      </c>
      <c r="B630" s="31" t="s">
        <v>1225</v>
      </c>
      <c r="C630" s="4" t="s">
        <v>9441</v>
      </c>
      <c r="D630" s="4" t="s">
        <v>9253</v>
      </c>
      <c r="E630" s="4" t="s">
        <v>10331</v>
      </c>
      <c r="F630" s="4" t="s">
        <v>10170</v>
      </c>
      <c r="G630" s="4" t="s">
        <v>106</v>
      </c>
      <c r="H630" s="4" t="s">
        <v>158</v>
      </c>
      <c r="I630" s="4" t="s">
        <v>10349</v>
      </c>
      <c r="J630" s="4" t="s">
        <v>10350</v>
      </c>
      <c r="K630" s="4" t="s">
        <v>10351</v>
      </c>
      <c r="L630" s="8"/>
      <c r="M630" s="8"/>
      <c r="N630" s="424"/>
      <c r="O630" s="431"/>
      <c r="P630" s="431"/>
      <c r="Q630" s="431"/>
      <c r="R630" s="431"/>
      <c r="S630" s="431"/>
      <c r="T630" s="431"/>
      <c r="U630" s="431"/>
      <c r="V630" s="431"/>
      <c r="W630" s="77"/>
      <c r="X630" s="77"/>
      <c r="Y630" s="77"/>
      <c r="Z630" s="77"/>
    </row>
    <row r="631" ht="16.5" customHeight="1">
      <c r="A631" s="31" t="s">
        <v>10173</v>
      </c>
      <c r="B631" s="31" t="s">
        <v>10352</v>
      </c>
      <c r="C631" s="4" t="s">
        <v>9466</v>
      </c>
      <c r="D631" s="4" t="s">
        <v>9253</v>
      </c>
      <c r="E631" s="4" t="s">
        <v>10305</v>
      </c>
      <c r="F631" s="4" t="s">
        <v>10170</v>
      </c>
      <c r="G631" s="4" t="s">
        <v>107</v>
      </c>
      <c r="H631" s="4" t="s">
        <v>10353</v>
      </c>
      <c r="I631" s="4" t="s">
        <v>10354</v>
      </c>
      <c r="J631" s="4" t="s">
        <v>10355</v>
      </c>
      <c r="K631" s="4" t="s">
        <v>10349</v>
      </c>
      <c r="L631" s="8"/>
      <c r="M631" s="8"/>
      <c r="N631" s="424"/>
      <c r="O631" s="431"/>
      <c r="P631" s="431"/>
      <c r="Q631" s="431"/>
      <c r="R631" s="431"/>
      <c r="S631" s="431"/>
      <c r="T631" s="431"/>
      <c r="U631" s="431"/>
      <c r="V631" s="431"/>
      <c r="W631" s="77"/>
      <c r="X631" s="77"/>
      <c r="Y631" s="77"/>
      <c r="Z631" s="77"/>
    </row>
    <row r="632" ht="16.5" customHeight="1">
      <c r="A632" s="31" t="s">
        <v>10356</v>
      </c>
      <c r="B632" s="31" t="s">
        <v>9371</v>
      </c>
      <c r="C632" s="4" t="s">
        <v>9472</v>
      </c>
      <c r="D632" s="4" t="s">
        <v>9253</v>
      </c>
      <c r="E632" s="4" t="s">
        <v>10246</v>
      </c>
      <c r="F632" s="4" t="s">
        <v>10170</v>
      </c>
      <c r="G632" s="4" t="s">
        <v>107</v>
      </c>
      <c r="H632" s="4" t="s">
        <v>4403</v>
      </c>
      <c r="I632" s="4" t="s">
        <v>9674</v>
      </c>
      <c r="J632" s="4" t="s">
        <v>10354</v>
      </c>
      <c r="K632" s="4" t="s">
        <v>10357</v>
      </c>
      <c r="L632" s="8"/>
      <c r="M632" s="8"/>
      <c r="N632" s="424"/>
      <c r="O632" s="431"/>
      <c r="P632" s="431"/>
      <c r="Q632" s="431"/>
      <c r="R632" s="431"/>
      <c r="S632" s="431"/>
      <c r="T632" s="431"/>
      <c r="U632" s="431"/>
      <c r="V632" s="431"/>
      <c r="W632" s="77"/>
      <c r="X632" s="77"/>
      <c r="Y632" s="77"/>
      <c r="Z632" s="77"/>
    </row>
    <row r="633" ht="16.5" customHeight="1">
      <c r="A633" s="31" t="s">
        <v>10358</v>
      </c>
      <c r="B633" s="31" t="s">
        <v>10359</v>
      </c>
      <c r="C633" s="108" t="s">
        <v>10117</v>
      </c>
      <c r="L633" s="8"/>
      <c r="M633" s="8"/>
      <c r="N633" s="424"/>
      <c r="O633" s="431"/>
      <c r="P633" s="431"/>
      <c r="Q633" s="431"/>
      <c r="R633" s="431"/>
      <c r="S633" s="431"/>
      <c r="T633" s="431"/>
      <c r="U633" s="431"/>
      <c r="V633" s="431"/>
      <c r="W633" s="77"/>
      <c r="X633" s="77"/>
      <c r="Y633" s="77"/>
      <c r="Z633" s="77"/>
    </row>
    <row r="634" ht="16.5" customHeight="1">
      <c r="A634" s="31" t="s">
        <v>10360</v>
      </c>
      <c r="B634" s="31" t="s">
        <v>9374</v>
      </c>
      <c r="M634" s="8"/>
      <c r="N634" s="431"/>
      <c r="O634" s="431"/>
      <c r="P634" s="431"/>
      <c r="Q634" s="431"/>
      <c r="R634" s="431"/>
      <c r="S634" s="431"/>
      <c r="T634" s="431"/>
      <c r="U634" s="431"/>
      <c r="V634" s="431"/>
      <c r="W634" s="77"/>
      <c r="X634" s="77"/>
      <c r="Y634" s="77"/>
      <c r="Z634" s="77"/>
    </row>
    <row r="635" ht="16.5" customHeight="1">
      <c r="A635" s="31" t="s">
        <v>10184</v>
      </c>
      <c r="B635" s="31" t="s">
        <v>10361</v>
      </c>
      <c r="L635" s="8"/>
      <c r="M635" s="8"/>
      <c r="N635" s="431"/>
      <c r="O635" s="431"/>
      <c r="P635" s="431"/>
      <c r="Q635" s="431"/>
      <c r="R635" s="431"/>
      <c r="S635" s="431"/>
      <c r="T635" s="431"/>
      <c r="U635" s="431"/>
      <c r="V635" s="431"/>
      <c r="W635" s="77"/>
      <c r="X635" s="77"/>
      <c r="Y635" s="77"/>
      <c r="Z635" s="77"/>
    </row>
    <row r="636" ht="16.5" customHeight="1">
      <c r="A636" s="31" t="s">
        <v>406</v>
      </c>
      <c r="B636" s="31" t="s">
        <v>10362</v>
      </c>
      <c r="L636" s="8"/>
      <c r="M636" s="8"/>
      <c r="N636" s="431"/>
      <c r="O636" s="431"/>
      <c r="P636" s="431"/>
      <c r="Q636" s="431"/>
      <c r="R636" s="431"/>
      <c r="S636" s="431"/>
      <c r="T636" s="431"/>
      <c r="U636" s="431"/>
      <c r="V636" s="431"/>
      <c r="W636" s="77"/>
      <c r="X636" s="77"/>
      <c r="Y636" s="77"/>
      <c r="Z636" s="77"/>
    </row>
    <row r="637" ht="16.5" customHeight="1">
      <c r="B637" s="31" t="s">
        <v>10363</v>
      </c>
      <c r="L637" s="8"/>
      <c r="M637" s="8"/>
      <c r="N637" s="431"/>
      <c r="O637" s="431"/>
      <c r="P637" s="431"/>
      <c r="Q637" s="431"/>
      <c r="R637" s="431"/>
      <c r="S637" s="431"/>
      <c r="T637" s="431"/>
      <c r="U637" s="431"/>
      <c r="V637" s="431"/>
      <c r="W637" s="77"/>
      <c r="X637" s="77"/>
      <c r="Y637" s="77"/>
      <c r="Z637" s="77"/>
    </row>
    <row r="638" ht="16.5" customHeight="1">
      <c r="B638" s="31" t="s">
        <v>10364</v>
      </c>
      <c r="L638" s="8"/>
      <c r="M638" s="8"/>
      <c r="N638" s="431"/>
      <c r="O638" s="431"/>
      <c r="P638" s="431"/>
      <c r="Q638" s="431"/>
      <c r="R638" s="431"/>
      <c r="S638" s="431"/>
      <c r="T638" s="431"/>
      <c r="U638" s="431"/>
      <c r="V638" s="431"/>
      <c r="W638" s="77"/>
      <c r="X638" s="77"/>
      <c r="Y638" s="77"/>
      <c r="Z638" s="77"/>
    </row>
    <row r="639" ht="16.5" customHeight="1">
      <c r="A639" s="423" t="s">
        <v>10365</v>
      </c>
      <c r="L639" s="8"/>
      <c r="M639" s="8"/>
      <c r="N639" s="431"/>
      <c r="O639" s="431"/>
      <c r="P639" s="431"/>
      <c r="Q639" s="431"/>
      <c r="R639" s="431"/>
      <c r="S639" s="431"/>
      <c r="T639" s="431"/>
      <c r="U639" s="431"/>
      <c r="V639" s="431"/>
      <c r="W639" s="77"/>
      <c r="X639" s="77"/>
      <c r="Y639" s="77"/>
      <c r="Z639" s="77"/>
    </row>
    <row r="640" ht="16.5" customHeight="1">
      <c r="A640" s="425" t="s">
        <v>9530</v>
      </c>
      <c r="B640" s="425" t="s">
        <v>9361</v>
      </c>
      <c r="C640" s="426" t="s">
        <v>9363</v>
      </c>
      <c r="N640" s="431"/>
      <c r="O640" s="431"/>
      <c r="P640" s="431"/>
      <c r="Q640" s="431"/>
      <c r="R640" s="431"/>
      <c r="S640" s="431"/>
      <c r="T640" s="431"/>
      <c r="U640" s="431"/>
      <c r="V640" s="431"/>
      <c r="W640" s="77"/>
      <c r="X640" s="77"/>
      <c r="Y640" s="77"/>
      <c r="Z640" s="77"/>
    </row>
    <row r="641" ht="16.5" customHeight="1">
      <c r="A641" s="428" t="s">
        <v>4251</v>
      </c>
      <c r="B641" s="428" t="s">
        <v>10329</v>
      </c>
      <c r="C641" s="427" t="s">
        <v>9365</v>
      </c>
      <c r="D641" s="427" t="s">
        <v>8952</v>
      </c>
      <c r="E641" s="427" t="s">
        <v>4702</v>
      </c>
      <c r="F641" s="427" t="s">
        <v>4703</v>
      </c>
      <c r="G641" s="427" t="s">
        <v>4320</v>
      </c>
      <c r="H641" s="427" t="s">
        <v>436</v>
      </c>
      <c r="I641" s="427" t="s">
        <v>4704</v>
      </c>
      <c r="J641" s="427" t="s">
        <v>135</v>
      </c>
      <c r="K641" s="427" t="s">
        <v>128</v>
      </c>
      <c r="N641" s="431"/>
      <c r="O641" s="431"/>
      <c r="P641" s="431"/>
      <c r="Q641" s="431"/>
      <c r="R641" s="431"/>
      <c r="S641" s="431"/>
      <c r="T641" s="431"/>
      <c r="U641" s="431"/>
      <c r="V641" s="431"/>
      <c r="W641" s="77"/>
      <c r="X641" s="77"/>
      <c r="Y641" s="77"/>
      <c r="Z641" s="77"/>
    </row>
    <row r="642" ht="16.5" customHeight="1">
      <c r="A642" s="31" t="s">
        <v>7949</v>
      </c>
      <c r="B642" s="31" t="s">
        <v>10330</v>
      </c>
      <c r="C642" s="4" t="s">
        <v>9441</v>
      </c>
      <c r="D642" s="4" t="s">
        <v>9130</v>
      </c>
      <c r="E642" s="4" t="s">
        <v>10366</v>
      </c>
      <c r="F642" s="4" t="s">
        <v>9542</v>
      </c>
      <c r="G642" s="4" t="s">
        <v>17</v>
      </c>
      <c r="H642" s="4" t="s">
        <v>8066</v>
      </c>
      <c r="I642" s="4" t="s">
        <v>10367</v>
      </c>
      <c r="J642" s="4" t="s">
        <v>10367</v>
      </c>
      <c r="K642" s="4" t="s">
        <v>8051</v>
      </c>
      <c r="N642" s="431"/>
      <c r="O642" s="431"/>
      <c r="P642" s="431"/>
      <c r="Q642" s="431"/>
      <c r="R642" s="431"/>
      <c r="S642" s="431"/>
      <c r="T642" s="431"/>
      <c r="U642" s="431"/>
      <c r="V642" s="431"/>
      <c r="W642" s="77"/>
      <c r="X642" s="77"/>
      <c r="Y642" s="77"/>
      <c r="Z642" s="77"/>
    </row>
    <row r="643" ht="16.5" customHeight="1">
      <c r="A643" s="31" t="s">
        <v>10368</v>
      </c>
      <c r="B643" s="31" t="s">
        <v>10369</v>
      </c>
      <c r="C643" s="4" t="s">
        <v>9466</v>
      </c>
      <c r="D643" s="4" t="s">
        <v>9130</v>
      </c>
      <c r="E643" s="4" t="s">
        <v>10370</v>
      </c>
      <c r="F643" s="4" t="s">
        <v>9552</v>
      </c>
      <c r="G643" s="4" t="s">
        <v>17</v>
      </c>
      <c r="H643" s="4" t="s">
        <v>268</v>
      </c>
      <c r="I643" s="4" t="s">
        <v>10371</v>
      </c>
      <c r="J643" s="4" t="s">
        <v>10372</v>
      </c>
      <c r="K643" s="4" t="s">
        <v>10371</v>
      </c>
      <c r="N643" s="431"/>
      <c r="O643" s="431"/>
      <c r="P643" s="431"/>
      <c r="Q643" s="431"/>
      <c r="R643" s="431"/>
      <c r="S643" s="431"/>
      <c r="T643" s="431"/>
      <c r="U643" s="431"/>
      <c r="V643" s="431"/>
      <c r="W643" s="77"/>
      <c r="X643" s="77"/>
      <c r="Y643" s="77"/>
      <c r="Z643" s="77"/>
    </row>
    <row r="644" ht="16.5" customHeight="1">
      <c r="A644" s="31" t="s">
        <v>10373</v>
      </c>
      <c r="B644" s="31" t="s">
        <v>10336</v>
      </c>
      <c r="C644" s="4" t="s">
        <v>9472</v>
      </c>
      <c r="D644" s="4" t="s">
        <v>9130</v>
      </c>
      <c r="E644" s="4" t="s">
        <v>10374</v>
      </c>
      <c r="F644" s="4" t="s">
        <v>9542</v>
      </c>
      <c r="G644" s="4" t="s">
        <v>17</v>
      </c>
      <c r="H644" s="4" t="s">
        <v>6288</v>
      </c>
      <c r="I644" s="4" t="s">
        <v>10375</v>
      </c>
      <c r="J644" s="4" t="s">
        <v>10376</v>
      </c>
      <c r="K644" s="4" t="s">
        <v>10375</v>
      </c>
      <c r="N644" s="431"/>
      <c r="O644" s="431"/>
      <c r="P644" s="431"/>
      <c r="Q644" s="431"/>
      <c r="R644" s="431"/>
      <c r="S644" s="431"/>
      <c r="T644" s="431"/>
      <c r="U644" s="431"/>
      <c r="V644" s="431"/>
      <c r="W644" s="77"/>
      <c r="X644" s="77"/>
      <c r="Y644" s="77"/>
      <c r="Z644" s="77"/>
    </row>
    <row r="645" ht="16.5" customHeight="1">
      <c r="A645" s="31" t="s">
        <v>4267</v>
      </c>
      <c r="B645" s="31" t="s">
        <v>10377</v>
      </c>
      <c r="C645" s="108" t="s">
        <v>9982</v>
      </c>
      <c r="N645" s="431"/>
      <c r="O645" s="431"/>
      <c r="P645" s="431"/>
      <c r="Q645" s="431"/>
      <c r="R645" s="431"/>
      <c r="S645" s="431"/>
      <c r="T645" s="431"/>
      <c r="U645" s="431"/>
      <c r="V645" s="431"/>
      <c r="W645" s="77"/>
      <c r="X645" s="77"/>
      <c r="Y645" s="77"/>
      <c r="Z645" s="77"/>
    </row>
    <row r="646" ht="16.5" customHeight="1">
      <c r="A646" s="31" t="s">
        <v>10314</v>
      </c>
      <c r="B646" s="31" t="s">
        <v>10378</v>
      </c>
      <c r="C646" s="8"/>
      <c r="D646" s="8"/>
      <c r="E646" s="8"/>
      <c r="F646" s="8"/>
      <c r="G646" s="8"/>
      <c r="H646" s="8"/>
      <c r="I646" s="8"/>
      <c r="J646" s="8"/>
      <c r="K646" s="8"/>
      <c r="N646" s="431"/>
      <c r="O646" s="431"/>
      <c r="P646" s="431"/>
      <c r="Q646" s="431"/>
      <c r="R646" s="431"/>
      <c r="S646" s="431"/>
      <c r="T646" s="431"/>
      <c r="U646" s="431"/>
      <c r="V646" s="431"/>
      <c r="W646" s="77"/>
      <c r="X646" s="77"/>
      <c r="Y646" s="77"/>
      <c r="Z646" s="77"/>
    </row>
    <row r="647" ht="16.5" customHeight="1">
      <c r="A647" s="31" t="s">
        <v>10317</v>
      </c>
      <c r="B647" s="31" t="s">
        <v>10341</v>
      </c>
      <c r="C647" s="8"/>
      <c r="D647" s="8"/>
      <c r="E647" s="8"/>
      <c r="F647" s="8"/>
      <c r="G647" s="8"/>
      <c r="H647" s="8"/>
      <c r="I647" s="8"/>
      <c r="J647" s="8"/>
      <c r="K647" s="8"/>
      <c r="N647" s="424"/>
      <c r="O647" s="424"/>
      <c r="P647" s="424"/>
      <c r="Q647" s="424"/>
      <c r="R647" s="431"/>
      <c r="S647" s="431"/>
      <c r="T647" s="431"/>
      <c r="U647" s="431"/>
      <c r="V647" s="431"/>
      <c r="W647" s="77"/>
      <c r="X647" s="77"/>
      <c r="Y647" s="77"/>
      <c r="Z647" s="77"/>
    </row>
    <row r="648" ht="16.5" customHeight="1">
      <c r="A648" s="31" t="s">
        <v>10320</v>
      </c>
      <c r="B648" s="31" t="s">
        <v>9741</v>
      </c>
      <c r="C648" s="8"/>
      <c r="D648" s="8"/>
      <c r="E648" s="8"/>
      <c r="F648" s="8"/>
      <c r="G648" s="8"/>
      <c r="H648" s="8"/>
      <c r="I648" s="8"/>
      <c r="J648" s="8"/>
      <c r="K648" s="8"/>
      <c r="N648" s="424"/>
      <c r="O648" s="424"/>
      <c r="P648" s="424"/>
      <c r="Q648" s="424"/>
      <c r="R648" s="431"/>
      <c r="S648" s="431"/>
      <c r="T648" s="431"/>
      <c r="U648" s="431"/>
      <c r="V648" s="431"/>
      <c r="W648" s="77"/>
      <c r="X648" s="77"/>
      <c r="Y648" s="77"/>
      <c r="Z648" s="77"/>
    </row>
    <row r="649" ht="16.5" customHeight="1">
      <c r="A649" s="31" t="s">
        <v>10379</v>
      </c>
      <c r="B649" s="31" t="s">
        <v>9742</v>
      </c>
      <c r="C649" s="8"/>
      <c r="D649" s="8"/>
      <c r="E649" s="8"/>
      <c r="F649" s="8"/>
      <c r="G649" s="8"/>
      <c r="H649" s="8"/>
      <c r="I649" s="8"/>
      <c r="J649" s="8"/>
      <c r="K649" s="8"/>
      <c r="N649" s="424"/>
      <c r="O649" s="424"/>
      <c r="P649" s="424"/>
      <c r="Q649" s="424"/>
      <c r="R649" s="431"/>
      <c r="S649" s="431"/>
      <c r="T649" s="431"/>
      <c r="U649" s="431"/>
      <c r="V649" s="431"/>
      <c r="W649" s="77"/>
      <c r="X649" s="77"/>
      <c r="Y649" s="77"/>
      <c r="Z649" s="77"/>
    </row>
    <row r="650" ht="16.5" customHeight="1">
      <c r="A650" s="31" t="s">
        <v>10380</v>
      </c>
      <c r="B650" s="31" t="s">
        <v>9724</v>
      </c>
      <c r="C650" s="8"/>
      <c r="D650" s="8"/>
      <c r="E650" s="8"/>
      <c r="F650" s="8"/>
      <c r="G650" s="8"/>
      <c r="H650" s="8"/>
      <c r="I650" s="8"/>
      <c r="J650" s="8"/>
      <c r="K650" s="8"/>
      <c r="N650" s="424"/>
      <c r="O650" s="424"/>
      <c r="P650" s="424"/>
      <c r="Q650" s="424"/>
      <c r="R650" s="431"/>
      <c r="S650" s="431"/>
      <c r="T650" s="431"/>
      <c r="U650" s="431"/>
      <c r="V650" s="431"/>
      <c r="W650" s="77"/>
      <c r="X650" s="77"/>
      <c r="Y650" s="77"/>
      <c r="Z650" s="77"/>
    </row>
    <row r="651" ht="16.5" customHeight="1">
      <c r="A651" s="31" t="s">
        <v>10324</v>
      </c>
      <c r="B651" s="31" t="s">
        <v>10381</v>
      </c>
      <c r="C651" s="8"/>
      <c r="D651" s="8"/>
      <c r="E651" s="8"/>
      <c r="F651" s="8"/>
      <c r="G651" s="8"/>
      <c r="H651" s="8"/>
      <c r="I651" s="8"/>
      <c r="J651" s="8"/>
      <c r="K651" s="8"/>
      <c r="N651" s="424"/>
      <c r="O651" s="424"/>
      <c r="P651" s="424"/>
      <c r="Q651" s="424"/>
      <c r="R651" s="431"/>
      <c r="S651" s="431"/>
      <c r="T651" s="431"/>
      <c r="U651" s="431"/>
      <c r="V651" s="431"/>
      <c r="W651" s="77"/>
      <c r="X651" s="77"/>
      <c r="Y651" s="77"/>
      <c r="Z651" s="77"/>
    </row>
    <row r="652" ht="16.5" customHeight="1">
      <c r="A652" s="31" t="s">
        <v>10382</v>
      </c>
      <c r="B652" s="31" t="s">
        <v>10383</v>
      </c>
      <c r="C652" s="8"/>
      <c r="D652" s="8"/>
      <c r="E652" s="8"/>
      <c r="F652" s="8"/>
      <c r="G652" s="8"/>
      <c r="H652" s="8"/>
      <c r="I652" s="8"/>
      <c r="J652" s="8"/>
      <c r="K652" s="8"/>
      <c r="N652" s="424"/>
      <c r="O652" s="424"/>
      <c r="P652" s="424"/>
      <c r="Q652" s="424"/>
      <c r="R652" s="431"/>
      <c r="S652" s="431"/>
      <c r="T652" s="431"/>
      <c r="U652" s="431"/>
      <c r="V652" s="431"/>
      <c r="W652" s="77"/>
      <c r="X652" s="77"/>
      <c r="Y652" s="77"/>
      <c r="Z652" s="77"/>
    </row>
    <row r="653" ht="16.5" customHeight="1">
      <c r="A653" s="423" t="s">
        <v>10384</v>
      </c>
      <c r="N653" s="424"/>
      <c r="O653" s="424"/>
      <c r="P653" s="424"/>
      <c r="Q653" s="424"/>
      <c r="R653" s="431"/>
      <c r="S653" s="431"/>
      <c r="T653" s="431"/>
      <c r="U653" s="431"/>
      <c r="V653" s="431"/>
      <c r="W653" s="77"/>
      <c r="X653" s="77"/>
      <c r="Y653" s="77"/>
      <c r="Z653" s="77"/>
    </row>
    <row r="654" ht="16.5" customHeight="1">
      <c r="A654" s="425" t="s">
        <v>9929</v>
      </c>
      <c r="B654" s="425" t="s">
        <v>9437</v>
      </c>
      <c r="C654" s="425" t="s">
        <v>9801</v>
      </c>
      <c r="D654" s="426" t="s">
        <v>9363</v>
      </c>
      <c r="N654" s="424"/>
      <c r="O654" s="424"/>
      <c r="P654" s="424"/>
      <c r="Q654" s="424"/>
      <c r="R654" s="431"/>
      <c r="S654" s="431"/>
      <c r="T654" s="431"/>
      <c r="U654" s="431"/>
      <c r="V654" s="431"/>
      <c r="W654" s="77"/>
      <c r="X654" s="77"/>
      <c r="Y654" s="77"/>
      <c r="Z654" s="77"/>
    </row>
    <row r="655" ht="16.5" customHeight="1">
      <c r="A655" s="428" t="s">
        <v>1327</v>
      </c>
      <c r="B655" s="428" t="s">
        <v>10385</v>
      </c>
      <c r="C655" s="31" t="s">
        <v>2338</v>
      </c>
      <c r="D655" s="427" t="s">
        <v>9365</v>
      </c>
      <c r="E655" s="427" t="s">
        <v>8952</v>
      </c>
      <c r="F655" s="427" t="s">
        <v>4702</v>
      </c>
      <c r="G655" s="427" t="s">
        <v>4703</v>
      </c>
      <c r="H655" s="427" t="s">
        <v>4320</v>
      </c>
      <c r="I655" s="427" t="s">
        <v>436</v>
      </c>
      <c r="J655" s="427" t="s">
        <v>4704</v>
      </c>
      <c r="K655" s="427" t="s">
        <v>135</v>
      </c>
      <c r="L655" s="427" t="s">
        <v>128</v>
      </c>
      <c r="N655" s="424"/>
      <c r="O655" s="424"/>
      <c r="P655" s="424"/>
      <c r="Q655" s="424"/>
      <c r="R655" s="431"/>
      <c r="S655" s="431"/>
      <c r="T655" s="431"/>
      <c r="U655" s="431"/>
      <c r="V655" s="431"/>
      <c r="W655" s="77"/>
      <c r="X655" s="77"/>
      <c r="Y655" s="77"/>
      <c r="Z655" s="77"/>
    </row>
    <row r="656" ht="16.5" customHeight="1">
      <c r="A656" s="31" t="s">
        <v>1329</v>
      </c>
      <c r="B656" s="31" t="s">
        <v>1864</v>
      </c>
      <c r="C656" s="31" t="s">
        <v>5201</v>
      </c>
      <c r="D656" s="4" t="s">
        <v>10386</v>
      </c>
      <c r="E656" s="4" t="s">
        <v>9109</v>
      </c>
      <c r="F656" s="4" t="s">
        <v>10366</v>
      </c>
      <c r="G656" s="4" t="s">
        <v>4844</v>
      </c>
      <c r="H656" s="4" t="s">
        <v>10</v>
      </c>
      <c r="I656" s="4" t="s">
        <v>6306</v>
      </c>
      <c r="J656" s="4" t="s">
        <v>10387</v>
      </c>
      <c r="K656" s="4" t="s">
        <v>10388</v>
      </c>
      <c r="L656" s="4" t="s">
        <v>10064</v>
      </c>
      <c r="N656" s="424"/>
      <c r="O656" s="424"/>
      <c r="P656" s="424"/>
      <c r="Q656" s="424"/>
      <c r="R656" s="431"/>
      <c r="S656" s="431"/>
      <c r="T656" s="431"/>
      <c r="U656" s="431"/>
      <c r="V656" s="431"/>
      <c r="W656" s="77"/>
      <c r="X656" s="77"/>
      <c r="Y656" s="77"/>
      <c r="Z656" s="77"/>
    </row>
    <row r="657" ht="16.5" customHeight="1">
      <c r="A657" s="31" t="s">
        <v>1336</v>
      </c>
      <c r="B657" s="31" t="s">
        <v>8115</v>
      </c>
      <c r="C657" s="31" t="s">
        <v>6848</v>
      </c>
      <c r="D657" s="4" t="s">
        <v>10389</v>
      </c>
      <c r="E657" s="4" t="s">
        <v>9109</v>
      </c>
      <c r="F657" s="4" t="s">
        <v>10370</v>
      </c>
      <c r="G657" s="4" t="s">
        <v>10266</v>
      </c>
      <c r="H657" s="4" t="s">
        <v>6</v>
      </c>
      <c r="I657" s="4" t="s">
        <v>6306</v>
      </c>
      <c r="J657" s="4" t="s">
        <v>10390</v>
      </c>
      <c r="K657" s="4" t="s">
        <v>10049</v>
      </c>
      <c r="L657" s="4" t="s">
        <v>10390</v>
      </c>
      <c r="N657" s="424"/>
      <c r="O657" s="424"/>
      <c r="P657" s="424"/>
      <c r="Q657" s="424"/>
      <c r="R657" s="431"/>
      <c r="S657" s="431"/>
      <c r="T657" s="431"/>
      <c r="U657" s="431"/>
      <c r="V657" s="431"/>
      <c r="W657" s="77"/>
      <c r="X657" s="77"/>
      <c r="Y657" s="77"/>
      <c r="Z657" s="77"/>
    </row>
    <row r="658" ht="16.5" customHeight="1">
      <c r="A658" s="31" t="s">
        <v>1346</v>
      </c>
      <c r="B658" s="31" t="s">
        <v>10391</v>
      </c>
      <c r="C658" s="31" t="s">
        <v>10392</v>
      </c>
      <c r="D658" s="4" t="s">
        <v>10393</v>
      </c>
      <c r="E658" s="4" t="s">
        <v>9109</v>
      </c>
      <c r="F658" s="4" t="s">
        <v>10374</v>
      </c>
      <c r="G658" s="4" t="s">
        <v>7752</v>
      </c>
      <c r="H658" s="4" t="s">
        <v>8</v>
      </c>
      <c r="I658" s="4" t="s">
        <v>5147</v>
      </c>
      <c r="J658" s="4" t="s">
        <v>10394</v>
      </c>
      <c r="K658" s="4" t="s">
        <v>10395</v>
      </c>
      <c r="L658" s="4" t="s">
        <v>10394</v>
      </c>
      <c r="N658" s="424"/>
      <c r="O658" s="424"/>
      <c r="P658" s="424"/>
      <c r="Q658" s="424"/>
      <c r="R658" s="431"/>
      <c r="S658" s="431"/>
      <c r="T658" s="431"/>
      <c r="U658" s="431"/>
      <c r="V658" s="431"/>
      <c r="W658" s="77"/>
      <c r="X658" s="77"/>
      <c r="Y658" s="77"/>
      <c r="Z658" s="77"/>
    </row>
    <row r="659" ht="16.5" customHeight="1">
      <c r="A659" s="31" t="s">
        <v>10272</v>
      </c>
      <c r="B659" s="31" t="s">
        <v>10396</v>
      </c>
      <c r="C659" s="31" t="s">
        <v>10397</v>
      </c>
      <c r="D659" s="4" t="s">
        <v>10398</v>
      </c>
      <c r="E659" s="4" t="s">
        <v>9109</v>
      </c>
      <c r="F659" s="4" t="s">
        <v>10331</v>
      </c>
      <c r="G659" s="4" t="s">
        <v>10399</v>
      </c>
      <c r="H659" s="4" t="s">
        <v>6</v>
      </c>
      <c r="I659" s="4" t="s">
        <v>6306</v>
      </c>
      <c r="J659" s="4" t="s">
        <v>10049</v>
      </c>
      <c r="K659" s="4" t="s">
        <v>10049</v>
      </c>
      <c r="L659" s="4" t="s">
        <v>10252</v>
      </c>
      <c r="N659" s="424"/>
      <c r="O659" s="424"/>
      <c r="P659" s="424"/>
      <c r="Q659" s="424"/>
      <c r="R659" s="431"/>
      <c r="S659" s="431"/>
      <c r="T659" s="431"/>
      <c r="U659" s="431"/>
      <c r="V659" s="431"/>
      <c r="W659" s="77"/>
      <c r="X659" s="77"/>
      <c r="Y659" s="77"/>
      <c r="Z659" s="77"/>
    </row>
    <row r="660" ht="16.5" customHeight="1">
      <c r="A660" s="31" t="s">
        <v>10274</v>
      </c>
      <c r="B660" s="31" t="s">
        <v>10400</v>
      </c>
      <c r="C660" s="31" t="s">
        <v>10401</v>
      </c>
      <c r="D660" s="4" t="s">
        <v>10402</v>
      </c>
      <c r="E660" s="4" t="s">
        <v>9109</v>
      </c>
      <c r="F660" s="4" t="s">
        <v>10300</v>
      </c>
      <c r="G660" s="4" t="s">
        <v>10403</v>
      </c>
      <c r="H660" s="4" t="s">
        <v>6</v>
      </c>
      <c r="I660" s="4" t="s">
        <v>4393</v>
      </c>
      <c r="J660" s="4" t="s">
        <v>10404</v>
      </c>
      <c r="K660" s="4" t="s">
        <v>10405</v>
      </c>
      <c r="L660" s="4" t="s">
        <v>10404</v>
      </c>
      <c r="N660" s="431"/>
      <c r="O660" s="431"/>
      <c r="P660" s="431"/>
      <c r="Q660" s="431"/>
      <c r="R660" s="431"/>
      <c r="S660" s="431"/>
      <c r="T660" s="431"/>
      <c r="U660" s="431"/>
      <c r="V660" s="431"/>
      <c r="W660" s="77"/>
      <c r="X660" s="77"/>
      <c r="Y660" s="77"/>
      <c r="Z660" s="77"/>
    </row>
    <row r="661" ht="16.5" customHeight="1">
      <c r="A661" s="31" t="s">
        <v>10074</v>
      </c>
      <c r="B661" s="31" t="s">
        <v>10406</v>
      </c>
      <c r="C661" s="31" t="s">
        <v>10407</v>
      </c>
      <c r="D661" s="4" t="s">
        <v>10408</v>
      </c>
      <c r="E661" s="4" t="s">
        <v>9109</v>
      </c>
      <c r="F661" s="4" t="s">
        <v>10305</v>
      </c>
      <c r="G661" s="4" t="s">
        <v>10409</v>
      </c>
      <c r="H661" s="4" t="s">
        <v>8</v>
      </c>
      <c r="I661" s="4" t="s">
        <v>4393</v>
      </c>
      <c r="J661" s="4" t="s">
        <v>10410</v>
      </c>
      <c r="K661" s="4" t="s">
        <v>10410</v>
      </c>
      <c r="L661" s="4" t="s">
        <v>10257</v>
      </c>
      <c r="M661" s="431"/>
      <c r="N661" s="431"/>
      <c r="O661" s="431"/>
      <c r="P661" s="431"/>
      <c r="Q661" s="431"/>
      <c r="R661" s="431"/>
      <c r="S661" s="431"/>
      <c r="T661" s="431"/>
      <c r="U661" s="431"/>
      <c r="V661" s="431"/>
      <c r="W661" s="77"/>
      <c r="X661" s="77"/>
      <c r="Y661" s="77"/>
      <c r="Z661" s="77"/>
    </row>
    <row r="662" ht="16.5" customHeight="1">
      <c r="A662" s="31" t="s">
        <v>10275</v>
      </c>
      <c r="B662" s="31" t="s">
        <v>10411</v>
      </c>
      <c r="C662" s="31" t="s">
        <v>8164</v>
      </c>
      <c r="D662" s="4" t="s">
        <v>7878</v>
      </c>
      <c r="E662" s="4" t="s">
        <v>9109</v>
      </c>
      <c r="F662" s="4" t="s">
        <v>9264</v>
      </c>
      <c r="G662" s="4" t="s">
        <v>4844</v>
      </c>
      <c r="H662" s="4" t="s">
        <v>8</v>
      </c>
      <c r="I662" s="4" t="s">
        <v>6306</v>
      </c>
      <c r="J662" s="4" t="s">
        <v>10412</v>
      </c>
      <c r="K662" s="4" t="s">
        <v>10413</v>
      </c>
      <c r="L662" s="4" t="s">
        <v>10414</v>
      </c>
      <c r="M662" s="431"/>
      <c r="N662" s="431"/>
      <c r="O662" s="431"/>
      <c r="P662" s="431"/>
      <c r="Q662" s="431"/>
      <c r="R662" s="431"/>
      <c r="S662" s="431"/>
      <c r="T662" s="431"/>
      <c r="U662" s="431"/>
      <c r="V662" s="431"/>
      <c r="W662" s="77"/>
      <c r="X662" s="77"/>
      <c r="Y662" s="77"/>
      <c r="Z662" s="77"/>
    </row>
    <row r="663" ht="16.5" customHeight="1">
      <c r="A663" s="31" t="s">
        <v>10276</v>
      </c>
      <c r="B663" s="31" t="s">
        <v>10415</v>
      </c>
      <c r="C663" s="31" t="s">
        <v>10416</v>
      </c>
      <c r="D663" s="108" t="s">
        <v>9448</v>
      </c>
      <c r="M663" s="431"/>
      <c r="N663" s="431"/>
      <c r="O663" s="431"/>
      <c r="P663" s="431"/>
      <c r="Q663" s="431"/>
      <c r="R663" s="431"/>
      <c r="S663" s="431"/>
      <c r="T663" s="431"/>
      <c r="U663" s="431"/>
      <c r="V663" s="431"/>
      <c r="W663" s="77"/>
      <c r="X663" s="77"/>
      <c r="Y663" s="77"/>
      <c r="Z663" s="77"/>
    </row>
    <row r="664" ht="16.5" customHeight="1">
      <c r="A664" s="31" t="s">
        <v>10277</v>
      </c>
      <c r="B664" s="31" t="s">
        <v>10417</v>
      </c>
      <c r="C664" s="31" t="s">
        <v>9899</v>
      </c>
      <c r="D664" s="8"/>
      <c r="E664" s="8"/>
      <c r="F664" s="8"/>
      <c r="G664" s="8"/>
      <c r="H664" s="8"/>
      <c r="I664" s="8"/>
      <c r="J664" s="8"/>
      <c r="K664" s="8"/>
      <c r="L664" s="8"/>
      <c r="M664" s="431"/>
      <c r="N664" s="431"/>
      <c r="O664" s="431"/>
      <c r="P664" s="431"/>
      <c r="Q664" s="431"/>
      <c r="R664" s="431"/>
      <c r="S664" s="431"/>
      <c r="T664" s="431"/>
      <c r="U664" s="431"/>
      <c r="V664" s="431"/>
      <c r="W664" s="77"/>
      <c r="X664" s="77"/>
      <c r="Y664" s="77"/>
      <c r="Z664" s="77"/>
    </row>
    <row r="665" ht="16.5" customHeight="1">
      <c r="A665" s="31" t="s">
        <v>10278</v>
      </c>
      <c r="B665" s="31" t="s">
        <v>10418</v>
      </c>
      <c r="C665" s="31" t="s">
        <v>10419</v>
      </c>
      <c r="D665" s="8"/>
      <c r="E665" s="8"/>
      <c r="F665" s="8"/>
      <c r="G665" s="8"/>
      <c r="H665" s="8"/>
      <c r="I665" s="8"/>
      <c r="J665" s="8"/>
      <c r="K665" s="8"/>
      <c r="L665" s="8"/>
      <c r="N665" s="431"/>
      <c r="O665" s="431"/>
      <c r="P665" s="431"/>
      <c r="Q665" s="431"/>
      <c r="R665" s="431"/>
      <c r="S665" s="431"/>
      <c r="T665" s="431"/>
      <c r="U665" s="431"/>
      <c r="V665" s="431"/>
      <c r="W665" s="77"/>
      <c r="X665" s="77"/>
      <c r="Y665" s="77"/>
      <c r="Z665" s="77"/>
    </row>
    <row r="666" ht="16.5" customHeight="1">
      <c r="A666" s="31" t="s">
        <v>10279</v>
      </c>
      <c r="B666" s="31" t="s">
        <v>10420</v>
      </c>
      <c r="C666" s="31" t="s">
        <v>8202</v>
      </c>
      <c r="D666" s="8"/>
      <c r="E666" s="8"/>
      <c r="F666" s="8"/>
      <c r="G666" s="8"/>
      <c r="H666" s="8"/>
      <c r="I666" s="8"/>
      <c r="J666" s="8"/>
      <c r="K666" s="8"/>
      <c r="L666" s="8"/>
      <c r="N666" s="431"/>
      <c r="O666" s="431"/>
      <c r="P666" s="431"/>
      <c r="Q666" s="431"/>
      <c r="R666" s="431"/>
      <c r="S666" s="431"/>
      <c r="T666" s="431"/>
      <c r="U666" s="431"/>
      <c r="V666" s="431"/>
      <c r="W666" s="77"/>
      <c r="X666" s="77"/>
      <c r="Y666" s="77"/>
      <c r="Z666" s="77"/>
    </row>
    <row r="667" ht="16.5" customHeight="1">
      <c r="A667" s="31" t="s">
        <v>10280</v>
      </c>
      <c r="B667" s="31" t="s">
        <v>10421</v>
      </c>
      <c r="C667" s="31" t="s">
        <v>5033</v>
      </c>
      <c r="D667" s="8"/>
      <c r="E667" s="8"/>
      <c r="F667" s="8"/>
      <c r="G667" s="8"/>
      <c r="H667" s="8"/>
      <c r="I667" s="8"/>
      <c r="J667" s="8"/>
      <c r="K667" s="8"/>
      <c r="L667" s="8"/>
      <c r="N667" s="431"/>
      <c r="O667" s="431"/>
      <c r="P667" s="431"/>
      <c r="Q667" s="431"/>
      <c r="R667" s="431"/>
      <c r="S667" s="431"/>
      <c r="T667" s="431"/>
      <c r="U667" s="431"/>
      <c r="V667" s="431"/>
      <c r="W667" s="77"/>
      <c r="X667" s="77"/>
      <c r="Y667" s="77"/>
      <c r="Z667" s="77"/>
    </row>
    <row r="668" ht="16.5" customHeight="1">
      <c r="A668" s="31" t="s">
        <v>10281</v>
      </c>
      <c r="B668" s="31" t="s">
        <v>6923</v>
      </c>
      <c r="C668" s="31" t="s">
        <v>8226</v>
      </c>
      <c r="D668" s="8"/>
      <c r="E668" s="8"/>
      <c r="F668" s="8"/>
      <c r="G668" s="8"/>
      <c r="H668" s="8"/>
      <c r="I668" s="8"/>
      <c r="J668" s="8"/>
      <c r="K668" s="8"/>
      <c r="L668" s="8"/>
      <c r="N668" s="431"/>
      <c r="O668" s="431"/>
      <c r="P668" s="431"/>
      <c r="Q668" s="431"/>
      <c r="R668" s="431"/>
      <c r="S668" s="431"/>
      <c r="T668" s="431"/>
      <c r="U668" s="431"/>
      <c r="V668" s="431"/>
      <c r="W668" s="77"/>
      <c r="X668" s="77"/>
      <c r="Y668" s="77"/>
      <c r="Z668" s="77"/>
    </row>
    <row r="669" ht="16.5" customHeight="1">
      <c r="A669" s="31" t="s">
        <v>10282</v>
      </c>
      <c r="B669" s="31" t="s">
        <v>10422</v>
      </c>
      <c r="C669" s="31" t="s">
        <v>9828</v>
      </c>
      <c r="D669" s="8"/>
      <c r="E669" s="8"/>
      <c r="F669" s="8"/>
      <c r="G669" s="8"/>
      <c r="H669" s="8"/>
      <c r="I669" s="8"/>
      <c r="J669" s="8"/>
      <c r="K669" s="8"/>
      <c r="L669" s="8"/>
      <c r="N669" s="431"/>
      <c r="O669" s="431"/>
      <c r="P669" s="431"/>
      <c r="Q669" s="431"/>
      <c r="R669" s="431"/>
      <c r="S669" s="431"/>
      <c r="T669" s="431"/>
      <c r="U669" s="431"/>
      <c r="V669" s="431"/>
      <c r="W669" s="77"/>
      <c r="X669" s="77"/>
      <c r="Y669" s="77"/>
      <c r="Z669" s="77"/>
    </row>
    <row r="670" ht="16.5" customHeight="1">
      <c r="A670" s="423" t="s">
        <v>10423</v>
      </c>
      <c r="N670" s="431"/>
      <c r="O670" s="431"/>
      <c r="P670" s="431"/>
      <c r="Q670" s="431"/>
      <c r="R670" s="431"/>
      <c r="S670" s="431"/>
      <c r="T670" s="431"/>
      <c r="U670" s="431"/>
      <c r="V670" s="431"/>
      <c r="W670" s="77"/>
      <c r="X670" s="77"/>
      <c r="Y670" s="77"/>
      <c r="Z670" s="77"/>
    </row>
    <row r="671" ht="16.5" customHeight="1">
      <c r="A671" s="425" t="s">
        <v>10015</v>
      </c>
      <c r="B671" s="425" t="s">
        <v>9361</v>
      </c>
      <c r="C671" s="425" t="s">
        <v>9531</v>
      </c>
      <c r="D671" s="425" t="s">
        <v>9415</v>
      </c>
      <c r="E671" s="426" t="s">
        <v>9363</v>
      </c>
      <c r="N671" s="431"/>
      <c r="O671" s="431"/>
      <c r="P671" s="431"/>
      <c r="Q671" s="431"/>
      <c r="R671" s="431"/>
      <c r="S671" s="431"/>
      <c r="T671" s="431"/>
      <c r="U671" s="431"/>
      <c r="V671" s="431"/>
      <c r="W671" s="77"/>
      <c r="X671" s="77"/>
      <c r="Y671" s="77"/>
      <c r="Z671" s="77"/>
    </row>
    <row r="672" ht="16.5" customHeight="1">
      <c r="A672" s="428" t="s">
        <v>10424</v>
      </c>
      <c r="B672" s="428" t="s">
        <v>10425</v>
      </c>
      <c r="C672" s="31" t="s">
        <v>1263</v>
      </c>
      <c r="D672" s="31" t="s">
        <v>2867</v>
      </c>
      <c r="E672" s="427" t="s">
        <v>9365</v>
      </c>
      <c r="F672" s="427" t="s">
        <v>8952</v>
      </c>
      <c r="G672" s="427" t="s">
        <v>4702</v>
      </c>
      <c r="H672" s="427" t="s">
        <v>4703</v>
      </c>
      <c r="I672" s="427" t="s">
        <v>4320</v>
      </c>
      <c r="J672" s="427" t="s">
        <v>436</v>
      </c>
      <c r="K672" s="427" t="s">
        <v>4704</v>
      </c>
      <c r="L672" s="427" t="s">
        <v>135</v>
      </c>
      <c r="M672" s="427" t="s">
        <v>128</v>
      </c>
      <c r="N672" s="431"/>
      <c r="O672" s="431"/>
      <c r="P672" s="431"/>
      <c r="Q672" s="431"/>
      <c r="R672" s="431"/>
      <c r="S672" s="431"/>
      <c r="T672" s="431"/>
      <c r="U672" s="431"/>
      <c r="V672" s="431"/>
      <c r="W672" s="77"/>
      <c r="X672" s="77"/>
      <c r="Y672" s="77"/>
      <c r="Z672" s="77"/>
    </row>
    <row r="673" ht="16.5" customHeight="1">
      <c r="A673" s="31" t="s">
        <v>10426</v>
      </c>
      <c r="B673" s="31" t="s">
        <v>10427</v>
      </c>
      <c r="C673" s="31" t="s">
        <v>1265</v>
      </c>
      <c r="D673" s="31" t="s">
        <v>10428</v>
      </c>
      <c r="E673" s="4" t="s">
        <v>10429</v>
      </c>
      <c r="F673" s="4" t="s">
        <v>9109</v>
      </c>
      <c r="G673" s="4" t="s">
        <v>10366</v>
      </c>
      <c r="H673" s="4" t="s">
        <v>10430</v>
      </c>
      <c r="I673" s="4" t="s">
        <v>9</v>
      </c>
      <c r="J673" s="4" t="s">
        <v>1500</v>
      </c>
      <c r="K673" s="4" t="s">
        <v>10431</v>
      </c>
      <c r="L673" s="4" t="s">
        <v>10431</v>
      </c>
      <c r="M673" s="424" t="s">
        <v>10229</v>
      </c>
      <c r="N673" s="431"/>
      <c r="O673" s="431"/>
      <c r="P673" s="431"/>
      <c r="Q673" s="431"/>
      <c r="R673" s="431"/>
      <c r="S673" s="431"/>
      <c r="T673" s="431"/>
      <c r="U673" s="431"/>
      <c r="V673" s="431"/>
      <c r="W673" s="77"/>
      <c r="X673" s="77"/>
      <c r="Y673" s="77"/>
      <c r="Z673" s="77"/>
    </row>
    <row r="674" ht="16.5" customHeight="1">
      <c r="A674" s="31" t="s">
        <v>8116</v>
      </c>
      <c r="B674" s="31" t="s">
        <v>10432</v>
      </c>
      <c r="C674" s="31" t="s">
        <v>10102</v>
      </c>
      <c r="D674" s="31" t="s">
        <v>9501</v>
      </c>
      <c r="E674" s="4" t="s">
        <v>10433</v>
      </c>
      <c r="F674" s="4" t="s">
        <v>9109</v>
      </c>
      <c r="G674" s="4" t="s">
        <v>10366</v>
      </c>
      <c r="H674" s="4" t="s">
        <v>10434</v>
      </c>
      <c r="I674" s="4" t="s">
        <v>19</v>
      </c>
      <c r="J674" s="4" t="s">
        <v>4393</v>
      </c>
      <c r="K674" s="4" t="s">
        <v>8073</v>
      </c>
      <c r="L674" s="424" t="s">
        <v>9974</v>
      </c>
      <c r="M674" s="4" t="s">
        <v>8073</v>
      </c>
      <c r="N674" s="431"/>
      <c r="O674" s="431"/>
      <c r="P674" s="431"/>
      <c r="Q674" s="431"/>
      <c r="R674" s="431"/>
      <c r="S674" s="431"/>
      <c r="T674" s="431"/>
      <c r="U674" s="431"/>
      <c r="V674" s="431"/>
      <c r="W674" s="77"/>
      <c r="X674" s="77"/>
      <c r="Y674" s="77"/>
      <c r="Z674" s="77"/>
    </row>
    <row r="675" ht="16.5" customHeight="1">
      <c r="A675" s="31" t="s">
        <v>10230</v>
      </c>
      <c r="B675" s="31" t="s">
        <v>10435</v>
      </c>
      <c r="C675" s="31" t="s">
        <v>1272</v>
      </c>
      <c r="D675" s="31" t="s">
        <v>9503</v>
      </c>
      <c r="E675" s="4" t="s">
        <v>10436</v>
      </c>
      <c r="F675" s="4" t="s">
        <v>9109</v>
      </c>
      <c r="G675" s="4" t="s">
        <v>10370</v>
      </c>
      <c r="H675" s="4" t="s">
        <v>10434</v>
      </c>
      <c r="I675" s="4" t="s">
        <v>115</v>
      </c>
      <c r="J675" s="4" t="s">
        <v>4393</v>
      </c>
      <c r="K675" s="4" t="s">
        <v>9500</v>
      </c>
      <c r="L675" s="424" t="s">
        <v>7917</v>
      </c>
      <c r="M675" s="4" t="s">
        <v>9500</v>
      </c>
      <c r="N675" s="431"/>
      <c r="O675" s="431"/>
      <c r="P675" s="431"/>
      <c r="Q675" s="431"/>
      <c r="R675" s="431"/>
      <c r="S675" s="431"/>
      <c r="T675" s="431"/>
      <c r="U675" s="431"/>
      <c r="V675" s="431"/>
      <c r="W675" s="77"/>
      <c r="X675" s="77"/>
      <c r="Y675" s="77"/>
      <c r="Z675" s="77"/>
    </row>
    <row r="676" ht="16.5" customHeight="1">
      <c r="A676" s="31" t="s">
        <v>10233</v>
      </c>
      <c r="B676" s="31" t="s">
        <v>10437</v>
      </c>
      <c r="C676" s="31" t="s">
        <v>9568</v>
      </c>
      <c r="D676" s="31" t="s">
        <v>10061</v>
      </c>
      <c r="E676" s="4" t="s">
        <v>10438</v>
      </c>
      <c r="F676" s="4" t="s">
        <v>9109</v>
      </c>
      <c r="G676" s="4" t="s">
        <v>10370</v>
      </c>
      <c r="H676" s="4" t="s">
        <v>10430</v>
      </c>
      <c r="I676" s="4" t="s">
        <v>19</v>
      </c>
      <c r="J676" s="4" t="s">
        <v>10439</v>
      </c>
      <c r="K676" s="4" t="s">
        <v>10440</v>
      </c>
      <c r="L676" s="424" t="s">
        <v>10441</v>
      </c>
      <c r="M676" s="4" t="s">
        <v>10440</v>
      </c>
      <c r="N676" s="431"/>
      <c r="O676" s="431"/>
      <c r="P676" s="431"/>
      <c r="Q676" s="431"/>
      <c r="R676" s="431"/>
      <c r="S676" s="431"/>
      <c r="T676" s="431"/>
      <c r="U676" s="431"/>
      <c r="V676" s="431"/>
      <c r="W676" s="77"/>
      <c r="X676" s="77"/>
      <c r="Y676" s="77"/>
      <c r="Z676" s="77"/>
    </row>
    <row r="677" ht="16.5" customHeight="1">
      <c r="A677" s="31" t="s">
        <v>6349</v>
      </c>
      <c r="B677" s="31" t="s">
        <v>10442</v>
      </c>
      <c r="C677" s="31" t="s">
        <v>7963</v>
      </c>
      <c r="D677" s="31" t="s">
        <v>2887</v>
      </c>
      <c r="E677" s="4" t="s">
        <v>10443</v>
      </c>
      <c r="F677" s="4" t="s">
        <v>9109</v>
      </c>
      <c r="G677" s="4" t="s">
        <v>10374</v>
      </c>
      <c r="H677" s="4" t="s">
        <v>10430</v>
      </c>
      <c r="I677" s="4" t="s">
        <v>19</v>
      </c>
      <c r="J677" s="4" t="s">
        <v>4393</v>
      </c>
      <c r="K677" s="4" t="s">
        <v>10444</v>
      </c>
      <c r="L677" s="4" t="s">
        <v>10444</v>
      </c>
      <c r="M677" s="424" t="s">
        <v>10445</v>
      </c>
      <c r="N677" s="431"/>
      <c r="O677" s="431"/>
      <c r="P677" s="431"/>
      <c r="Q677" s="431"/>
      <c r="R677" s="431"/>
      <c r="S677" s="431"/>
      <c r="T677" s="431"/>
      <c r="U677" s="431"/>
      <c r="V677" s="431"/>
      <c r="W677" s="77"/>
      <c r="X677" s="77"/>
      <c r="Y677" s="77"/>
      <c r="Z677" s="77"/>
    </row>
    <row r="678" ht="16.5" customHeight="1">
      <c r="A678" s="31" t="s">
        <v>10446</v>
      </c>
      <c r="B678" s="31" t="s">
        <v>9718</v>
      </c>
      <c r="C678" s="31" t="s">
        <v>7968</v>
      </c>
      <c r="D678" s="31" t="s">
        <v>2890</v>
      </c>
      <c r="E678" s="4" t="s">
        <v>10447</v>
      </c>
      <c r="F678" s="4" t="s">
        <v>9109</v>
      </c>
      <c r="G678" s="4" t="s">
        <v>10374</v>
      </c>
      <c r="H678" s="4" t="s">
        <v>10434</v>
      </c>
      <c r="I678" s="4" t="s">
        <v>9</v>
      </c>
      <c r="J678" s="4" t="s">
        <v>6765</v>
      </c>
      <c r="K678" s="4" t="s">
        <v>10448</v>
      </c>
      <c r="L678" s="4" t="s">
        <v>10448</v>
      </c>
      <c r="M678" s="424" t="s">
        <v>10231</v>
      </c>
      <c r="N678" s="431"/>
      <c r="O678" s="431"/>
      <c r="P678" s="431"/>
      <c r="Q678" s="431"/>
      <c r="R678" s="431"/>
      <c r="S678" s="431"/>
      <c r="T678" s="431"/>
      <c r="U678" s="431"/>
      <c r="V678" s="431"/>
      <c r="W678" s="77"/>
      <c r="X678" s="77"/>
      <c r="Y678" s="77"/>
      <c r="Z678" s="77"/>
    </row>
    <row r="679" ht="16.5" customHeight="1">
      <c r="A679" s="31" t="s">
        <v>8163</v>
      </c>
      <c r="B679" s="31" t="s">
        <v>10449</v>
      </c>
      <c r="C679" s="31" t="s">
        <v>9592</v>
      </c>
      <c r="D679" s="31" t="s">
        <v>10450</v>
      </c>
      <c r="E679" s="4" t="s">
        <v>10451</v>
      </c>
      <c r="F679" s="4" t="s">
        <v>9109</v>
      </c>
      <c r="G679" s="4" t="s">
        <v>10331</v>
      </c>
      <c r="H679" s="4" t="s">
        <v>10430</v>
      </c>
      <c r="I679" s="4" t="s">
        <v>19</v>
      </c>
      <c r="J679" s="4" t="s">
        <v>4393</v>
      </c>
      <c r="K679" s="4" t="s">
        <v>10452</v>
      </c>
      <c r="L679" s="424" t="s">
        <v>10453</v>
      </c>
      <c r="M679" s="4" t="s">
        <v>10452</v>
      </c>
      <c r="N679" s="431"/>
      <c r="O679" s="431"/>
      <c r="P679" s="431"/>
      <c r="Q679" s="431"/>
      <c r="R679" s="431"/>
      <c r="S679" s="431"/>
      <c r="T679" s="431"/>
      <c r="U679" s="431"/>
      <c r="V679" s="431"/>
      <c r="W679" s="77"/>
      <c r="X679" s="77"/>
      <c r="Y679" s="77"/>
      <c r="Z679" s="77"/>
    </row>
    <row r="680" ht="16.5" customHeight="1">
      <c r="A680" s="31" t="s">
        <v>6900</v>
      </c>
      <c r="B680" s="31" t="s">
        <v>8177</v>
      </c>
      <c r="C680" s="31" t="s">
        <v>1291</v>
      </c>
      <c r="D680" s="31" t="s">
        <v>10454</v>
      </c>
      <c r="E680" s="4" t="s">
        <v>10455</v>
      </c>
      <c r="F680" s="4" t="s">
        <v>9109</v>
      </c>
      <c r="G680" s="4" t="s">
        <v>10305</v>
      </c>
      <c r="H680" s="4" t="s">
        <v>10434</v>
      </c>
      <c r="I680" s="4" t="s">
        <v>115</v>
      </c>
      <c r="J680" s="4" t="s">
        <v>9498</v>
      </c>
      <c r="K680" s="4" t="s">
        <v>10456</v>
      </c>
      <c r="L680" s="424" t="s">
        <v>10457</v>
      </c>
      <c r="M680" s="4" t="s">
        <v>10456</v>
      </c>
      <c r="N680" s="431"/>
      <c r="O680" s="431"/>
      <c r="P680" s="431"/>
      <c r="Q680" s="431"/>
      <c r="R680" s="431"/>
      <c r="S680" s="431"/>
      <c r="T680" s="431"/>
      <c r="U680" s="431"/>
      <c r="V680" s="431"/>
      <c r="W680" s="77"/>
      <c r="X680" s="77"/>
      <c r="Y680" s="77"/>
      <c r="Z680" s="77"/>
    </row>
    <row r="681" ht="16.5" customHeight="1">
      <c r="A681" s="31" t="s">
        <v>10458</v>
      </c>
      <c r="B681" s="31" t="s">
        <v>10459</v>
      </c>
      <c r="C681" s="31" t="s">
        <v>10460</v>
      </c>
      <c r="D681" s="31" t="s">
        <v>9431</v>
      </c>
      <c r="E681" s="4" t="s">
        <v>10461</v>
      </c>
      <c r="F681" s="4" t="s">
        <v>9109</v>
      </c>
      <c r="G681" s="4" t="s">
        <v>9264</v>
      </c>
      <c r="H681" s="4" t="s">
        <v>10430</v>
      </c>
      <c r="I681" s="4" t="s">
        <v>9</v>
      </c>
      <c r="J681" s="4" t="s">
        <v>1500</v>
      </c>
      <c r="K681" s="4" t="s">
        <v>10022</v>
      </c>
      <c r="L681" s="424" t="s">
        <v>10134</v>
      </c>
      <c r="M681" s="4" t="s">
        <v>10022</v>
      </c>
      <c r="N681" s="431"/>
      <c r="O681" s="431"/>
      <c r="P681" s="431"/>
      <c r="Q681" s="431"/>
      <c r="R681" s="431"/>
      <c r="S681" s="431"/>
      <c r="T681" s="431"/>
      <c r="U681" s="431"/>
      <c r="V681" s="431"/>
      <c r="W681" s="77"/>
      <c r="X681" s="77"/>
      <c r="Y681" s="77"/>
      <c r="Z681" s="77"/>
    </row>
    <row r="682" ht="16.5" customHeight="1">
      <c r="A682" s="31" t="s">
        <v>10462</v>
      </c>
      <c r="B682" s="31" t="s">
        <v>9746</v>
      </c>
      <c r="C682" s="31" t="s">
        <v>10463</v>
      </c>
      <c r="D682" s="31" t="s">
        <v>10464</v>
      </c>
      <c r="E682" s="4" t="s">
        <v>10465</v>
      </c>
      <c r="F682" s="4" t="s">
        <v>9109</v>
      </c>
      <c r="G682" s="4" t="s">
        <v>10246</v>
      </c>
      <c r="H682" s="4" t="s">
        <v>10434</v>
      </c>
      <c r="I682" s="4" t="s">
        <v>115</v>
      </c>
      <c r="J682" s="4" t="s">
        <v>1500</v>
      </c>
      <c r="K682" s="4" t="s">
        <v>10466</v>
      </c>
      <c r="L682" s="424" t="s">
        <v>10467</v>
      </c>
      <c r="M682" s="4" t="s">
        <v>10466</v>
      </c>
      <c r="N682" s="431"/>
      <c r="O682" s="431"/>
      <c r="P682" s="431"/>
      <c r="Q682" s="431"/>
      <c r="R682" s="431"/>
      <c r="S682" s="431"/>
      <c r="T682" s="431"/>
      <c r="U682" s="431"/>
      <c r="V682" s="431"/>
      <c r="W682" s="77"/>
      <c r="X682" s="77"/>
      <c r="Y682" s="77"/>
      <c r="Z682" s="77"/>
    </row>
    <row r="683" ht="16.5" customHeight="1">
      <c r="A683" s="31" t="s">
        <v>10468</v>
      </c>
      <c r="B683" s="31" t="s">
        <v>10469</v>
      </c>
      <c r="C683" s="31" t="s">
        <v>10470</v>
      </c>
      <c r="D683" s="31" t="s">
        <v>9435</v>
      </c>
      <c r="E683" s="108" t="s">
        <v>9510</v>
      </c>
      <c r="N683" s="431"/>
      <c r="O683" s="431"/>
      <c r="P683" s="431"/>
      <c r="Q683" s="431"/>
      <c r="R683" s="431"/>
      <c r="S683" s="431"/>
      <c r="T683" s="431"/>
      <c r="U683" s="431"/>
      <c r="V683" s="431"/>
      <c r="W683" s="77"/>
      <c r="X683" s="77"/>
      <c r="Y683" s="77"/>
      <c r="Z683" s="77"/>
    </row>
    <row r="684" ht="16.5" customHeight="1">
      <c r="A684" s="31" t="s">
        <v>4531</v>
      </c>
      <c r="B684" s="31" t="s">
        <v>9867</v>
      </c>
      <c r="C684" s="31" t="s">
        <v>10471</v>
      </c>
      <c r="D684" s="31" t="s">
        <v>10472</v>
      </c>
      <c r="E684" s="8"/>
      <c r="F684" s="8"/>
      <c r="G684" s="8"/>
      <c r="H684" s="8"/>
      <c r="I684" s="8"/>
      <c r="J684" s="8"/>
      <c r="K684" s="8"/>
      <c r="L684" s="424"/>
      <c r="M684" s="424"/>
      <c r="N684" s="431"/>
      <c r="O684" s="431"/>
      <c r="P684" s="431"/>
      <c r="Q684" s="431"/>
      <c r="R684" s="431"/>
      <c r="S684" s="431"/>
      <c r="T684" s="431"/>
      <c r="U684" s="431"/>
      <c r="V684" s="431"/>
      <c r="W684" s="77"/>
      <c r="X684" s="77"/>
      <c r="Y684" s="77"/>
      <c r="Z684" s="77"/>
    </row>
    <row r="685" ht="16.5" customHeight="1">
      <c r="A685" s="31" t="s">
        <v>10473</v>
      </c>
      <c r="B685" s="31" t="s">
        <v>10474</v>
      </c>
      <c r="C685" s="31" t="s">
        <v>10475</v>
      </c>
      <c r="D685" s="31" t="s">
        <v>10476</v>
      </c>
      <c r="E685" s="8"/>
      <c r="F685" s="8"/>
      <c r="G685" s="8"/>
      <c r="H685" s="8"/>
      <c r="I685" s="8"/>
      <c r="J685" s="8"/>
      <c r="K685" s="8"/>
      <c r="L685" s="424"/>
      <c r="M685" s="424"/>
      <c r="N685" s="424"/>
      <c r="O685" s="431"/>
      <c r="P685" s="431"/>
      <c r="Q685" s="431"/>
      <c r="R685" s="431"/>
      <c r="S685" s="431"/>
      <c r="T685" s="431"/>
      <c r="U685" s="431"/>
      <c r="V685" s="431"/>
      <c r="W685" s="77"/>
      <c r="X685" s="77"/>
      <c r="Y685" s="77"/>
      <c r="Z685" s="77"/>
    </row>
    <row r="686" ht="16.5" customHeight="1">
      <c r="A686" s="31" t="s">
        <v>10477</v>
      </c>
      <c r="B686" s="31" t="s">
        <v>10478</v>
      </c>
      <c r="C686" s="31" t="s">
        <v>10479</v>
      </c>
      <c r="D686" s="31" t="s">
        <v>10480</v>
      </c>
      <c r="L686" s="431"/>
      <c r="M686" s="431"/>
      <c r="N686" s="424"/>
      <c r="O686" s="431"/>
      <c r="P686" s="431"/>
      <c r="Q686" s="431"/>
      <c r="R686" s="431"/>
      <c r="S686" s="431"/>
      <c r="T686" s="431"/>
      <c r="U686" s="431"/>
      <c r="V686" s="431"/>
      <c r="W686" s="77"/>
      <c r="X686" s="77"/>
      <c r="Y686" s="77"/>
      <c r="Z686" s="77"/>
    </row>
    <row r="687" ht="16.5" customHeight="1">
      <c r="A687" s="423" t="s">
        <v>10481</v>
      </c>
      <c r="L687" s="424"/>
      <c r="M687" s="424"/>
      <c r="N687" s="424"/>
      <c r="O687" s="431"/>
      <c r="P687" s="431"/>
      <c r="Q687" s="431"/>
      <c r="R687" s="431"/>
      <c r="S687" s="431"/>
      <c r="T687" s="431"/>
      <c r="U687" s="431"/>
      <c r="V687" s="431"/>
      <c r="W687" s="77"/>
      <c r="X687" s="77"/>
      <c r="Y687" s="77"/>
      <c r="Z687" s="77"/>
    </row>
    <row r="688" ht="16.5" customHeight="1">
      <c r="A688" s="425" t="s">
        <v>9437</v>
      </c>
      <c r="B688" s="425" t="s">
        <v>9533</v>
      </c>
      <c r="C688" s="426" t="s">
        <v>9363</v>
      </c>
      <c r="L688" s="424"/>
      <c r="M688" s="424"/>
      <c r="N688" s="424"/>
      <c r="O688" s="431"/>
      <c r="P688" s="431"/>
      <c r="Q688" s="431"/>
      <c r="R688" s="431"/>
      <c r="S688" s="431"/>
      <c r="T688" s="431"/>
      <c r="U688" s="431"/>
      <c r="V688" s="431"/>
      <c r="W688" s="77"/>
      <c r="X688" s="77"/>
      <c r="Y688" s="77"/>
      <c r="Z688" s="77"/>
    </row>
    <row r="689" ht="16.5" customHeight="1">
      <c r="A689" s="428" t="s">
        <v>1787</v>
      </c>
      <c r="B689" s="428" t="s">
        <v>10042</v>
      </c>
      <c r="C689" s="427" t="s">
        <v>9365</v>
      </c>
      <c r="D689" s="427" t="s">
        <v>8952</v>
      </c>
      <c r="E689" s="427" t="s">
        <v>4702</v>
      </c>
      <c r="F689" s="427" t="s">
        <v>4703</v>
      </c>
      <c r="G689" s="427" t="s">
        <v>4320</v>
      </c>
      <c r="H689" s="427" t="s">
        <v>436</v>
      </c>
      <c r="I689" s="427" t="s">
        <v>4704</v>
      </c>
      <c r="J689" s="427" t="s">
        <v>135</v>
      </c>
      <c r="K689" s="427" t="s">
        <v>128</v>
      </c>
      <c r="L689" s="424"/>
      <c r="M689" s="424"/>
      <c r="N689" s="424"/>
      <c r="O689" s="431"/>
      <c r="P689" s="431"/>
      <c r="Q689" s="431"/>
      <c r="R689" s="431"/>
      <c r="S689" s="431"/>
      <c r="T689" s="431"/>
      <c r="U689" s="431"/>
      <c r="V689" s="431"/>
      <c r="W689" s="77"/>
      <c r="X689" s="77"/>
      <c r="Y689" s="77"/>
      <c r="Z689" s="77"/>
    </row>
    <row r="690" ht="16.5" customHeight="1">
      <c r="A690" s="31" t="s">
        <v>10299</v>
      </c>
      <c r="B690" s="31" t="s">
        <v>2174</v>
      </c>
      <c r="C690" s="4" t="s">
        <v>9441</v>
      </c>
      <c r="D690" s="4" t="s">
        <v>9130</v>
      </c>
      <c r="E690" s="4" t="s">
        <v>10366</v>
      </c>
      <c r="F690" s="4" t="s">
        <v>7754</v>
      </c>
      <c r="G690" s="4" t="s">
        <v>109</v>
      </c>
      <c r="H690" s="4" t="s">
        <v>10482</v>
      </c>
      <c r="I690" s="4" t="s">
        <v>10483</v>
      </c>
      <c r="J690" s="4" t="s">
        <v>7877</v>
      </c>
      <c r="K690" s="4" t="s">
        <v>10484</v>
      </c>
      <c r="L690" s="424"/>
      <c r="M690" s="424"/>
      <c r="N690" s="424"/>
      <c r="O690" s="431"/>
      <c r="P690" s="431"/>
      <c r="Q690" s="431"/>
      <c r="R690" s="431"/>
      <c r="S690" s="431"/>
      <c r="T690" s="431"/>
      <c r="U690" s="431"/>
      <c r="V690" s="431"/>
      <c r="W690" s="77"/>
      <c r="X690" s="77"/>
      <c r="Y690" s="77"/>
      <c r="Z690" s="77"/>
    </row>
    <row r="691" ht="16.5" customHeight="1">
      <c r="A691" s="31" t="s">
        <v>9446</v>
      </c>
      <c r="B691" s="31" t="s">
        <v>10225</v>
      </c>
      <c r="C691" s="4" t="s">
        <v>9466</v>
      </c>
      <c r="D691" s="4" t="s">
        <v>9130</v>
      </c>
      <c r="E691" s="4" t="s">
        <v>10370</v>
      </c>
      <c r="F691" s="4" t="s">
        <v>7754</v>
      </c>
      <c r="G691" s="4" t="s">
        <v>109</v>
      </c>
      <c r="H691" s="4" t="s">
        <v>164</v>
      </c>
      <c r="I691" s="4" t="s">
        <v>9605</v>
      </c>
      <c r="J691" s="4" t="s">
        <v>10485</v>
      </c>
      <c r="K691" s="4" t="s">
        <v>9605</v>
      </c>
      <c r="L691" s="424"/>
      <c r="M691" s="424"/>
      <c r="N691" s="424"/>
      <c r="O691" s="431"/>
      <c r="P691" s="431"/>
      <c r="Q691" s="431"/>
      <c r="R691" s="431"/>
      <c r="S691" s="431"/>
      <c r="T691" s="431"/>
      <c r="U691" s="431"/>
      <c r="V691" s="431"/>
      <c r="W691" s="77"/>
      <c r="X691" s="77"/>
      <c r="Y691" s="77"/>
      <c r="Z691" s="77"/>
    </row>
    <row r="692" ht="16.5" customHeight="1">
      <c r="A692" s="31" t="s">
        <v>10486</v>
      </c>
      <c r="B692" s="31" t="s">
        <v>2183</v>
      </c>
      <c r="C692" s="4" t="s">
        <v>9472</v>
      </c>
      <c r="D692" s="4" t="s">
        <v>9130</v>
      </c>
      <c r="E692" s="4" t="s">
        <v>10374</v>
      </c>
      <c r="F692" s="4" t="s">
        <v>7754</v>
      </c>
      <c r="G692" s="4" t="s">
        <v>8</v>
      </c>
      <c r="H692" s="4" t="s">
        <v>10482</v>
      </c>
      <c r="I692" s="4" t="s">
        <v>9444</v>
      </c>
      <c r="J692" s="4" t="s">
        <v>10485</v>
      </c>
      <c r="K692" s="4" t="s">
        <v>9444</v>
      </c>
      <c r="L692" s="424"/>
      <c r="M692" s="424"/>
      <c r="N692" s="424"/>
      <c r="O692" s="431"/>
      <c r="P692" s="431"/>
      <c r="Q692" s="431"/>
      <c r="R692" s="431"/>
      <c r="S692" s="431"/>
      <c r="T692" s="431"/>
      <c r="U692" s="431"/>
      <c r="V692" s="431"/>
      <c r="W692" s="77"/>
      <c r="X692" s="77"/>
      <c r="Y692" s="77"/>
      <c r="Z692" s="77"/>
    </row>
    <row r="693" ht="16.5" customHeight="1">
      <c r="A693" s="31" t="s">
        <v>7708</v>
      </c>
      <c r="B693" s="31" t="s">
        <v>10487</v>
      </c>
      <c r="C693" s="108" t="s">
        <v>10488</v>
      </c>
      <c r="L693" s="424"/>
      <c r="M693" s="424"/>
      <c r="N693" s="424"/>
      <c r="O693" s="431"/>
      <c r="P693" s="431"/>
      <c r="Q693" s="431"/>
      <c r="R693" s="431"/>
      <c r="S693" s="431"/>
      <c r="T693" s="431"/>
      <c r="U693" s="431"/>
      <c r="V693" s="431"/>
      <c r="W693" s="77"/>
      <c r="X693" s="77"/>
      <c r="Y693" s="77"/>
      <c r="Z693" s="77"/>
    </row>
    <row r="694" ht="16.5" customHeight="1">
      <c r="A694" s="31" t="s">
        <v>10489</v>
      </c>
      <c r="B694" s="31" t="s">
        <v>10066</v>
      </c>
      <c r="C694" s="8"/>
      <c r="D694" s="8"/>
      <c r="E694" s="8"/>
      <c r="F694" s="8"/>
      <c r="G694" s="8"/>
      <c r="H694" s="8"/>
      <c r="I694" s="8"/>
      <c r="J694" s="8"/>
      <c r="K694" s="8"/>
      <c r="L694" s="424"/>
      <c r="M694" s="431"/>
      <c r="N694" s="431"/>
      <c r="O694" s="431"/>
      <c r="P694" s="431"/>
      <c r="Q694" s="431"/>
      <c r="R694" s="431"/>
      <c r="S694" s="431"/>
      <c r="T694" s="431"/>
      <c r="U694" s="431"/>
      <c r="V694" s="431"/>
      <c r="W694" s="77"/>
      <c r="X694" s="77"/>
      <c r="Y694" s="77"/>
      <c r="Z694" s="77"/>
    </row>
    <row r="695" ht="16.5" customHeight="1">
      <c r="A695" s="31" t="s">
        <v>10490</v>
      </c>
      <c r="B695" s="31" t="s">
        <v>10073</v>
      </c>
      <c r="L695" s="431"/>
      <c r="M695" s="431"/>
      <c r="N695" s="431"/>
      <c r="O695" s="431"/>
      <c r="P695" s="431"/>
      <c r="Q695" s="431"/>
      <c r="R695" s="431"/>
      <c r="S695" s="431"/>
      <c r="T695" s="431"/>
      <c r="U695" s="431"/>
      <c r="V695" s="431"/>
      <c r="W695" s="77"/>
      <c r="X695" s="77"/>
      <c r="Y695" s="77"/>
      <c r="Z695" s="77"/>
    </row>
    <row r="696" ht="16.5" customHeight="1">
      <c r="A696" s="31" t="s">
        <v>10491</v>
      </c>
      <c r="B696" s="31" t="s">
        <v>10079</v>
      </c>
      <c r="L696" s="431"/>
      <c r="M696" s="431"/>
      <c r="N696" s="431"/>
      <c r="O696" s="431"/>
      <c r="P696" s="431"/>
      <c r="Q696" s="431"/>
      <c r="R696" s="431"/>
      <c r="S696" s="431"/>
      <c r="T696" s="431"/>
      <c r="U696" s="431"/>
      <c r="V696" s="431"/>
      <c r="W696" s="77"/>
      <c r="X696" s="77"/>
      <c r="Y696" s="77"/>
      <c r="Z696" s="77"/>
    </row>
    <row r="697" ht="16.5" customHeight="1">
      <c r="A697" s="31" t="s">
        <v>10492</v>
      </c>
      <c r="B697" s="31" t="s">
        <v>10239</v>
      </c>
      <c r="L697" s="431"/>
      <c r="M697" s="431"/>
      <c r="N697" s="431"/>
      <c r="O697" s="431"/>
      <c r="P697" s="431"/>
      <c r="Q697" s="431"/>
      <c r="R697" s="431"/>
      <c r="S697" s="431"/>
      <c r="T697" s="431"/>
      <c r="U697" s="431"/>
      <c r="V697" s="431"/>
      <c r="W697" s="77"/>
      <c r="X697" s="77"/>
      <c r="Y697" s="77"/>
      <c r="Z697" s="77"/>
    </row>
    <row r="698" ht="16.5" customHeight="1">
      <c r="A698" s="31" t="s">
        <v>10323</v>
      </c>
      <c r="B698" s="31" t="s">
        <v>10241</v>
      </c>
      <c r="L698" s="431"/>
      <c r="M698" s="431"/>
      <c r="N698" s="431"/>
      <c r="O698" s="431"/>
      <c r="P698" s="431"/>
      <c r="Q698" s="431"/>
      <c r="R698" s="431"/>
      <c r="S698" s="431"/>
      <c r="T698" s="431"/>
      <c r="U698" s="431"/>
      <c r="V698" s="431"/>
      <c r="W698" s="77"/>
      <c r="X698" s="77"/>
      <c r="Y698" s="77"/>
      <c r="Z698" s="77"/>
    </row>
    <row r="699" ht="16.5" customHeight="1">
      <c r="A699" s="31" t="s">
        <v>10325</v>
      </c>
      <c r="B699" s="31" t="s">
        <v>10090</v>
      </c>
      <c r="L699" s="431"/>
      <c r="M699" s="431"/>
      <c r="N699" s="431"/>
      <c r="O699" s="431"/>
      <c r="P699" s="431"/>
      <c r="Q699" s="431"/>
      <c r="R699" s="431"/>
      <c r="S699" s="431"/>
      <c r="T699" s="431"/>
      <c r="U699" s="431"/>
      <c r="V699" s="431"/>
      <c r="W699" s="77"/>
      <c r="X699" s="77"/>
      <c r="Y699" s="77"/>
      <c r="Z699" s="77"/>
    </row>
    <row r="700" ht="16.5" customHeight="1">
      <c r="A700" s="31" t="s">
        <v>10327</v>
      </c>
      <c r="B700" s="31" t="s">
        <v>10093</v>
      </c>
      <c r="L700" s="431"/>
      <c r="M700" s="431"/>
      <c r="N700" s="431"/>
      <c r="O700" s="431"/>
      <c r="P700" s="431"/>
      <c r="Q700" s="431"/>
      <c r="R700" s="431"/>
      <c r="S700" s="431"/>
      <c r="T700" s="431"/>
      <c r="U700" s="431"/>
      <c r="V700" s="431"/>
      <c r="W700" s="77"/>
      <c r="X700" s="77"/>
      <c r="Y700" s="77"/>
      <c r="Z700" s="77"/>
    </row>
    <row r="701" ht="16.5" customHeight="1">
      <c r="A701" s="423" t="s">
        <v>10493</v>
      </c>
      <c r="L701" s="431"/>
      <c r="M701" s="431"/>
      <c r="N701" s="431"/>
      <c r="O701" s="431"/>
      <c r="P701" s="431"/>
      <c r="Q701" s="431"/>
      <c r="R701" s="431"/>
      <c r="S701" s="431"/>
      <c r="T701" s="431"/>
      <c r="U701" s="431"/>
      <c r="V701" s="431"/>
      <c r="W701" s="77"/>
      <c r="X701" s="77"/>
      <c r="Y701" s="77"/>
      <c r="Z701" s="77"/>
    </row>
    <row r="702" ht="16.5" customHeight="1">
      <c r="A702" s="425" t="s">
        <v>9531</v>
      </c>
      <c r="B702" s="425" t="s">
        <v>9801</v>
      </c>
      <c r="C702" s="426" t="s">
        <v>9363</v>
      </c>
      <c r="L702" s="431"/>
      <c r="M702" s="431"/>
      <c r="N702" s="431"/>
      <c r="O702" s="431"/>
      <c r="P702" s="431"/>
      <c r="Q702" s="431"/>
      <c r="R702" s="431"/>
      <c r="S702" s="431"/>
      <c r="T702" s="431"/>
      <c r="U702" s="431"/>
      <c r="V702" s="431"/>
      <c r="W702" s="77"/>
      <c r="X702" s="77"/>
      <c r="Y702" s="77"/>
      <c r="Z702" s="77"/>
    </row>
    <row r="703" ht="16.5" customHeight="1">
      <c r="A703" s="428" t="s">
        <v>1263</v>
      </c>
      <c r="B703" s="428" t="s">
        <v>2338</v>
      </c>
      <c r="C703" s="427" t="s">
        <v>9365</v>
      </c>
      <c r="D703" s="427" t="s">
        <v>8952</v>
      </c>
      <c r="E703" s="427" t="s">
        <v>4702</v>
      </c>
      <c r="F703" s="427" t="s">
        <v>4703</v>
      </c>
      <c r="G703" s="427" t="s">
        <v>4320</v>
      </c>
      <c r="H703" s="427" t="s">
        <v>436</v>
      </c>
      <c r="I703" s="427" t="s">
        <v>4704</v>
      </c>
      <c r="J703" s="427" t="s">
        <v>135</v>
      </c>
      <c r="K703" s="427" t="s">
        <v>128</v>
      </c>
      <c r="L703" s="431"/>
      <c r="M703" s="431"/>
      <c r="N703" s="431"/>
      <c r="O703" s="431"/>
      <c r="P703" s="431"/>
      <c r="Q703" s="431"/>
      <c r="R703" s="431"/>
      <c r="S703" s="431"/>
      <c r="T703" s="431"/>
      <c r="U703" s="431"/>
      <c r="V703" s="431"/>
      <c r="W703" s="77"/>
      <c r="X703" s="77"/>
      <c r="Y703" s="77"/>
      <c r="Z703" s="77"/>
    </row>
    <row r="704" ht="16.5" customHeight="1">
      <c r="A704" s="31" t="s">
        <v>1265</v>
      </c>
      <c r="B704" s="31" t="s">
        <v>5201</v>
      </c>
      <c r="C704" s="4" t="s">
        <v>9441</v>
      </c>
      <c r="D704" s="4" t="s">
        <v>9109</v>
      </c>
      <c r="E704" s="4" t="s">
        <v>9246</v>
      </c>
      <c r="F704" s="4" t="s">
        <v>35</v>
      </c>
      <c r="G704" s="4" t="s">
        <v>10</v>
      </c>
      <c r="H704" s="4" t="s">
        <v>4393</v>
      </c>
      <c r="I704" s="4" t="s">
        <v>10494</v>
      </c>
      <c r="J704" s="4" t="s">
        <v>10494</v>
      </c>
      <c r="K704" s="4" t="s">
        <v>10495</v>
      </c>
      <c r="L704" s="431"/>
      <c r="M704" s="431"/>
      <c r="N704" s="431"/>
      <c r="O704" s="431"/>
      <c r="P704" s="431"/>
      <c r="Q704" s="431"/>
      <c r="R704" s="431"/>
      <c r="S704" s="431"/>
      <c r="T704" s="431"/>
      <c r="U704" s="431"/>
      <c r="V704" s="431"/>
      <c r="W704" s="77"/>
      <c r="X704" s="77"/>
      <c r="Y704" s="77"/>
      <c r="Z704" s="77"/>
    </row>
    <row r="705" ht="16.5" customHeight="1">
      <c r="A705" s="31" t="s">
        <v>10102</v>
      </c>
      <c r="B705" s="31" t="s">
        <v>10496</v>
      </c>
      <c r="C705" s="108" t="s">
        <v>9807</v>
      </c>
      <c r="L705" s="431"/>
      <c r="M705" s="431"/>
      <c r="N705" s="431"/>
      <c r="O705" s="431"/>
      <c r="P705" s="431"/>
      <c r="Q705" s="431"/>
      <c r="R705" s="431"/>
      <c r="S705" s="431"/>
      <c r="T705" s="431"/>
      <c r="U705" s="431"/>
      <c r="V705" s="431"/>
      <c r="W705" s="77"/>
      <c r="X705" s="77"/>
      <c r="Y705" s="77"/>
      <c r="Z705" s="77"/>
    </row>
    <row r="706" ht="16.5" customHeight="1">
      <c r="A706" s="31" t="s">
        <v>9559</v>
      </c>
      <c r="B706" s="31" t="s">
        <v>9808</v>
      </c>
      <c r="C706" s="8"/>
      <c r="D706" s="8"/>
      <c r="E706" s="8"/>
      <c r="F706" s="8"/>
      <c r="G706" s="8"/>
      <c r="H706" s="8"/>
      <c r="I706" s="8"/>
      <c r="J706" s="8"/>
      <c r="K706" s="8"/>
      <c r="L706" s="431"/>
      <c r="M706" s="431"/>
      <c r="N706" s="431"/>
      <c r="O706" s="431"/>
      <c r="P706" s="431"/>
      <c r="Q706" s="431"/>
      <c r="R706" s="431"/>
      <c r="S706" s="431"/>
      <c r="T706" s="431"/>
      <c r="U706" s="431"/>
      <c r="V706" s="431"/>
      <c r="W706" s="77"/>
      <c r="X706" s="77"/>
      <c r="Y706" s="77"/>
      <c r="Z706" s="77"/>
    </row>
    <row r="707" ht="16.5" customHeight="1">
      <c r="A707" s="31" t="s">
        <v>9568</v>
      </c>
      <c r="B707" s="31" t="s">
        <v>9891</v>
      </c>
      <c r="C707" s="8"/>
      <c r="D707" s="8"/>
      <c r="E707" s="8"/>
      <c r="F707" s="8"/>
      <c r="G707" s="8"/>
      <c r="H707" s="8"/>
      <c r="I707" s="8"/>
      <c r="J707" s="8"/>
      <c r="K707" s="8"/>
      <c r="L707" s="431"/>
      <c r="M707" s="431"/>
      <c r="N707" s="431"/>
      <c r="O707" s="431"/>
      <c r="P707" s="431"/>
      <c r="Q707" s="431"/>
      <c r="R707" s="431"/>
      <c r="S707" s="431"/>
      <c r="T707" s="431"/>
      <c r="U707" s="431"/>
      <c r="V707" s="431"/>
      <c r="W707" s="77"/>
      <c r="X707" s="77"/>
      <c r="Y707" s="77"/>
      <c r="Z707" s="77"/>
    </row>
    <row r="708" ht="16.5" customHeight="1">
      <c r="A708" s="31" t="s">
        <v>7963</v>
      </c>
      <c r="B708" s="31" t="s">
        <v>5946</v>
      </c>
      <c r="C708" s="8"/>
      <c r="D708" s="8"/>
      <c r="E708" s="8"/>
      <c r="F708" s="8"/>
      <c r="G708" s="8"/>
      <c r="H708" s="8"/>
      <c r="I708" s="8"/>
      <c r="J708" s="8"/>
      <c r="K708" s="8"/>
      <c r="L708" s="431"/>
      <c r="M708" s="431"/>
      <c r="N708" s="431"/>
      <c r="O708" s="431"/>
      <c r="P708" s="431"/>
      <c r="Q708" s="431"/>
      <c r="R708" s="431"/>
      <c r="S708" s="431"/>
      <c r="T708" s="431"/>
      <c r="U708" s="431"/>
      <c r="V708" s="431"/>
      <c r="W708" s="77"/>
      <c r="X708" s="77"/>
      <c r="Y708" s="77"/>
      <c r="Z708" s="77"/>
    </row>
    <row r="709" ht="16.5" customHeight="1">
      <c r="A709" s="31" t="s">
        <v>7968</v>
      </c>
      <c r="B709" s="31" t="s">
        <v>9814</v>
      </c>
      <c r="C709" s="8"/>
      <c r="D709" s="8"/>
      <c r="E709" s="8"/>
      <c r="F709" s="8"/>
      <c r="G709" s="8"/>
      <c r="H709" s="8"/>
      <c r="I709" s="8"/>
      <c r="J709" s="8"/>
      <c r="K709" s="8"/>
      <c r="L709" s="431"/>
      <c r="M709" s="431"/>
      <c r="N709" s="431"/>
      <c r="O709" s="431"/>
      <c r="P709" s="431"/>
      <c r="Q709" s="431"/>
      <c r="R709" s="431"/>
      <c r="S709" s="431"/>
      <c r="T709" s="431"/>
      <c r="U709" s="431"/>
      <c r="V709" s="431"/>
      <c r="W709" s="77"/>
      <c r="X709" s="77"/>
      <c r="Y709" s="77"/>
      <c r="Z709" s="77"/>
    </row>
    <row r="710" ht="16.5" customHeight="1">
      <c r="A710" s="31" t="s">
        <v>9592</v>
      </c>
      <c r="B710" s="31" t="s">
        <v>10497</v>
      </c>
      <c r="C710" s="8"/>
      <c r="D710" s="8"/>
      <c r="E710" s="8"/>
      <c r="F710" s="8"/>
      <c r="G710" s="8"/>
      <c r="H710" s="8"/>
      <c r="I710" s="8"/>
      <c r="J710" s="8"/>
      <c r="K710" s="8"/>
      <c r="L710" s="431"/>
      <c r="M710" s="431"/>
      <c r="N710" s="431"/>
      <c r="O710" s="431"/>
      <c r="P710" s="431"/>
      <c r="Q710" s="431"/>
      <c r="R710" s="431"/>
      <c r="S710" s="431"/>
      <c r="T710" s="431"/>
      <c r="U710" s="431"/>
      <c r="V710" s="431"/>
      <c r="W710" s="77"/>
      <c r="X710" s="77"/>
      <c r="Y710" s="77"/>
      <c r="Z710" s="77"/>
    </row>
    <row r="711" ht="16.5" customHeight="1">
      <c r="A711" s="31" t="s">
        <v>1291</v>
      </c>
      <c r="B711" s="31" t="s">
        <v>9897</v>
      </c>
      <c r="C711" s="8"/>
      <c r="D711" s="8"/>
      <c r="E711" s="8"/>
      <c r="F711" s="8"/>
      <c r="G711" s="8"/>
      <c r="H711" s="8"/>
      <c r="I711" s="8"/>
      <c r="J711" s="8"/>
      <c r="K711" s="8"/>
      <c r="L711" s="431"/>
      <c r="M711" s="431"/>
      <c r="N711" s="431"/>
      <c r="O711" s="431"/>
      <c r="P711" s="431"/>
      <c r="Q711" s="431"/>
      <c r="R711" s="431"/>
      <c r="S711" s="431"/>
      <c r="T711" s="431"/>
      <c r="U711" s="431"/>
      <c r="V711" s="431"/>
      <c r="W711" s="77"/>
      <c r="X711" s="77"/>
      <c r="Y711" s="77"/>
      <c r="Z711" s="77"/>
    </row>
    <row r="712" ht="16.5" customHeight="1">
      <c r="A712" s="31" t="s">
        <v>10498</v>
      </c>
      <c r="B712" s="31" t="s">
        <v>9899</v>
      </c>
      <c r="C712" s="8"/>
      <c r="D712" s="8"/>
      <c r="E712" s="8"/>
      <c r="F712" s="8"/>
      <c r="G712" s="8"/>
      <c r="H712" s="8"/>
      <c r="I712" s="8"/>
      <c r="J712" s="8"/>
      <c r="K712" s="8"/>
      <c r="L712" s="431"/>
      <c r="M712" s="431"/>
      <c r="N712" s="431"/>
      <c r="O712" s="431"/>
      <c r="P712" s="431"/>
      <c r="Q712" s="431"/>
      <c r="R712" s="431"/>
      <c r="S712" s="431"/>
      <c r="T712" s="431"/>
      <c r="U712" s="431"/>
      <c r="V712" s="431"/>
      <c r="W712" s="77"/>
      <c r="X712" s="77"/>
      <c r="Y712" s="77"/>
      <c r="Z712" s="77"/>
    </row>
    <row r="713" ht="16.5" customHeight="1">
      <c r="A713" s="31" t="s">
        <v>10463</v>
      </c>
      <c r="B713" s="31" t="s">
        <v>9901</v>
      </c>
      <c r="L713" s="431"/>
      <c r="M713" s="431"/>
      <c r="N713" s="431"/>
      <c r="O713" s="431"/>
      <c r="P713" s="431"/>
      <c r="Q713" s="431"/>
      <c r="R713" s="431"/>
      <c r="S713" s="431"/>
      <c r="T713" s="431"/>
      <c r="U713" s="431"/>
      <c r="V713" s="431"/>
      <c r="W713" s="77"/>
      <c r="X713" s="77"/>
      <c r="Y713" s="77"/>
      <c r="Z713" s="77"/>
    </row>
    <row r="714" ht="16.5" customHeight="1">
      <c r="A714" s="31" t="s">
        <v>10470</v>
      </c>
      <c r="B714" s="31" t="s">
        <v>5240</v>
      </c>
      <c r="L714" s="431"/>
      <c r="M714" s="431"/>
      <c r="N714" s="431"/>
      <c r="O714" s="431"/>
      <c r="P714" s="431"/>
      <c r="Q714" s="431"/>
      <c r="R714" s="431"/>
      <c r="S714" s="431"/>
      <c r="T714" s="431"/>
      <c r="U714" s="431"/>
      <c r="V714" s="431"/>
      <c r="W714" s="77"/>
      <c r="X714" s="77"/>
      <c r="Y714" s="77"/>
      <c r="Z714" s="77"/>
    </row>
    <row r="715" ht="16.5" customHeight="1">
      <c r="A715" s="31" t="s">
        <v>10471</v>
      </c>
      <c r="B715" s="31" t="s">
        <v>10499</v>
      </c>
      <c r="L715" s="431"/>
      <c r="M715" s="431"/>
      <c r="N715" s="431"/>
      <c r="O715" s="431"/>
      <c r="P715" s="431"/>
      <c r="Q715" s="431"/>
      <c r="R715" s="431"/>
      <c r="S715" s="431"/>
      <c r="T715" s="431"/>
      <c r="U715" s="431"/>
      <c r="V715" s="431"/>
      <c r="W715" s="77"/>
      <c r="X715" s="77"/>
      <c r="Y715" s="77"/>
      <c r="Z715" s="77"/>
    </row>
    <row r="716" ht="13.5" customHeight="1">
      <c r="A716" s="31" t="s">
        <v>10475</v>
      </c>
      <c r="B716" s="31" t="s">
        <v>10500</v>
      </c>
      <c r="L716" s="431"/>
      <c r="M716" s="431"/>
      <c r="N716" s="431"/>
      <c r="O716" s="431"/>
      <c r="P716" s="431"/>
      <c r="Q716" s="431"/>
      <c r="R716" s="431"/>
      <c r="S716" s="431"/>
      <c r="T716" s="431"/>
      <c r="U716" s="431"/>
      <c r="V716" s="431"/>
      <c r="W716" s="77"/>
      <c r="X716" s="77"/>
      <c r="Y716" s="77"/>
      <c r="Z716" s="77"/>
    </row>
    <row r="717" ht="16.5" customHeight="1">
      <c r="A717" s="31" t="s">
        <v>10479</v>
      </c>
      <c r="B717" s="31" t="s">
        <v>10501</v>
      </c>
      <c r="L717" s="431"/>
      <c r="M717" s="431"/>
      <c r="N717" s="431"/>
      <c r="O717" s="431"/>
      <c r="P717" s="431"/>
      <c r="Q717" s="431"/>
      <c r="R717" s="431"/>
      <c r="S717" s="431"/>
      <c r="T717" s="431"/>
      <c r="U717" s="431"/>
      <c r="V717" s="431"/>
      <c r="W717" s="77"/>
      <c r="X717" s="77"/>
      <c r="Y717" s="77"/>
      <c r="Z717" s="77"/>
    </row>
    <row r="718" ht="16.5" customHeight="1">
      <c r="A718" s="423" t="s">
        <v>10502</v>
      </c>
      <c r="L718" s="431"/>
      <c r="M718" s="431"/>
      <c r="N718" s="431"/>
      <c r="O718" s="431"/>
      <c r="P718" s="431"/>
      <c r="Q718" s="431"/>
      <c r="R718" s="431"/>
      <c r="S718" s="431"/>
      <c r="T718" s="431"/>
      <c r="U718" s="431"/>
      <c r="V718" s="431"/>
      <c r="W718" s="77"/>
      <c r="X718" s="77"/>
      <c r="Y718" s="77"/>
      <c r="Z718" s="77"/>
    </row>
    <row r="719" ht="16.5" customHeight="1">
      <c r="A719" s="425" t="s">
        <v>9361</v>
      </c>
      <c r="B719" s="425" t="s">
        <v>9802</v>
      </c>
      <c r="C719" s="426" t="s">
        <v>9363</v>
      </c>
      <c r="L719" s="431"/>
      <c r="M719" s="431"/>
      <c r="N719" s="431"/>
      <c r="O719" s="431"/>
      <c r="P719" s="431"/>
      <c r="Q719" s="431"/>
      <c r="R719" s="431"/>
      <c r="S719" s="431"/>
      <c r="T719" s="431"/>
      <c r="U719" s="431"/>
      <c r="V719" s="431"/>
      <c r="W719" s="77"/>
      <c r="X719" s="77"/>
      <c r="Y719" s="77"/>
      <c r="Z719" s="77"/>
    </row>
    <row r="720" ht="16.5" customHeight="1">
      <c r="A720" s="428" t="s">
        <v>9731</v>
      </c>
      <c r="B720" s="428" t="s">
        <v>423</v>
      </c>
      <c r="C720" s="427" t="s">
        <v>9365</v>
      </c>
      <c r="D720" s="427" t="s">
        <v>8952</v>
      </c>
      <c r="E720" s="427" t="s">
        <v>4702</v>
      </c>
      <c r="F720" s="427" t="s">
        <v>4703</v>
      </c>
      <c r="G720" s="427" t="s">
        <v>4320</v>
      </c>
      <c r="H720" s="427" t="s">
        <v>436</v>
      </c>
      <c r="I720" s="427" t="s">
        <v>4704</v>
      </c>
      <c r="J720" s="427" t="s">
        <v>135</v>
      </c>
      <c r="K720" s="427" t="s">
        <v>128</v>
      </c>
      <c r="L720" s="431"/>
      <c r="M720" s="431"/>
      <c r="N720" s="431"/>
      <c r="O720" s="431"/>
      <c r="P720" s="431"/>
      <c r="Q720" s="431"/>
      <c r="R720" s="431"/>
      <c r="S720" s="431"/>
      <c r="T720" s="431"/>
      <c r="U720" s="431"/>
      <c r="V720" s="431"/>
      <c r="W720" s="77"/>
      <c r="X720" s="77"/>
      <c r="Y720" s="77"/>
      <c r="Z720" s="77"/>
    </row>
    <row r="721" ht="16.5" customHeight="1">
      <c r="A721" s="31" t="s">
        <v>10503</v>
      </c>
      <c r="B721" s="31" t="s">
        <v>425</v>
      </c>
      <c r="C721" s="4" t="s">
        <v>9441</v>
      </c>
      <c r="D721" s="4" t="s">
        <v>9109</v>
      </c>
      <c r="E721" s="4" t="s">
        <v>9246</v>
      </c>
      <c r="F721" s="4" t="s">
        <v>10504</v>
      </c>
      <c r="G721" s="4" t="s">
        <v>17</v>
      </c>
      <c r="H721" s="4" t="s">
        <v>1500</v>
      </c>
      <c r="I721" s="4" t="s">
        <v>10505</v>
      </c>
      <c r="J721" s="4" t="s">
        <v>7917</v>
      </c>
      <c r="K721" s="4" t="s">
        <v>10505</v>
      </c>
      <c r="L721" s="424"/>
      <c r="M721" s="424"/>
      <c r="N721" s="424"/>
      <c r="O721" s="431"/>
      <c r="P721" s="431"/>
      <c r="Q721" s="431"/>
      <c r="R721" s="431"/>
      <c r="S721" s="431"/>
      <c r="T721" s="431"/>
      <c r="U721" s="431"/>
      <c r="V721" s="431"/>
      <c r="W721" s="77"/>
      <c r="X721" s="77"/>
      <c r="Y721" s="77"/>
      <c r="Z721" s="77"/>
    </row>
    <row r="722" ht="16.5" customHeight="1">
      <c r="A722" s="31" t="s">
        <v>10432</v>
      </c>
      <c r="B722" s="31" t="s">
        <v>10506</v>
      </c>
      <c r="C722" s="108" t="s">
        <v>9982</v>
      </c>
      <c r="L722" s="424"/>
      <c r="M722" s="424"/>
      <c r="N722" s="424"/>
      <c r="O722" s="431"/>
      <c r="P722" s="431"/>
      <c r="Q722" s="431"/>
      <c r="R722" s="431"/>
      <c r="S722" s="431"/>
      <c r="T722" s="431"/>
      <c r="U722" s="431"/>
      <c r="V722" s="431"/>
      <c r="W722" s="77"/>
      <c r="X722" s="77"/>
      <c r="Y722" s="77"/>
      <c r="Z722" s="77"/>
    </row>
    <row r="723" ht="16.5" customHeight="1">
      <c r="A723" s="31" t="s">
        <v>9738</v>
      </c>
      <c r="B723" s="31" t="s">
        <v>10507</v>
      </c>
      <c r="C723" s="8"/>
      <c r="D723" s="8"/>
      <c r="E723" s="8"/>
      <c r="F723" s="8"/>
      <c r="G723" s="8"/>
      <c r="H723" s="8"/>
      <c r="I723" s="8"/>
      <c r="J723" s="8"/>
      <c r="K723" s="8"/>
      <c r="L723" s="424"/>
      <c r="M723" s="424"/>
      <c r="N723" s="424"/>
      <c r="O723" s="431"/>
      <c r="P723" s="431"/>
      <c r="Q723" s="431"/>
      <c r="R723" s="431"/>
      <c r="S723" s="431"/>
      <c r="T723" s="431"/>
      <c r="U723" s="431"/>
      <c r="V723" s="431"/>
      <c r="W723" s="77"/>
      <c r="X723" s="77"/>
      <c r="Y723" s="77"/>
      <c r="Z723" s="77"/>
    </row>
    <row r="724" ht="16.5" customHeight="1">
      <c r="A724" s="31" t="s">
        <v>10508</v>
      </c>
      <c r="B724" s="31" t="s">
        <v>10509</v>
      </c>
      <c r="C724" s="8"/>
      <c r="D724" s="8"/>
      <c r="E724" s="8"/>
      <c r="F724" s="8"/>
      <c r="G724" s="8"/>
      <c r="H724" s="8"/>
      <c r="I724" s="8"/>
      <c r="J724" s="8"/>
      <c r="K724" s="8"/>
      <c r="L724" s="424"/>
      <c r="M724" s="424"/>
      <c r="N724" s="424"/>
      <c r="O724" s="431"/>
      <c r="P724" s="431"/>
      <c r="Q724" s="431"/>
      <c r="R724" s="431"/>
      <c r="S724" s="431"/>
      <c r="T724" s="431"/>
      <c r="U724" s="431"/>
      <c r="V724" s="431"/>
      <c r="W724" s="77"/>
      <c r="X724" s="77"/>
      <c r="Y724" s="77"/>
      <c r="Z724" s="77"/>
    </row>
    <row r="725" ht="16.5" customHeight="1">
      <c r="A725" s="31" t="s">
        <v>9856</v>
      </c>
      <c r="B725" s="31" t="s">
        <v>564</v>
      </c>
      <c r="C725" s="8"/>
      <c r="D725" s="8"/>
      <c r="E725" s="8"/>
      <c r="F725" s="8"/>
      <c r="G725" s="8"/>
      <c r="H725" s="8"/>
      <c r="I725" s="8"/>
      <c r="J725" s="8"/>
      <c r="K725" s="8"/>
      <c r="L725" s="424"/>
      <c r="M725" s="424"/>
      <c r="N725" s="424"/>
      <c r="O725" s="431"/>
      <c r="P725" s="431"/>
      <c r="Q725" s="431"/>
      <c r="R725" s="431"/>
      <c r="S725" s="431"/>
      <c r="T725" s="431"/>
      <c r="U725" s="431"/>
      <c r="V725" s="431"/>
      <c r="W725" s="77"/>
      <c r="X725" s="77"/>
      <c r="Y725" s="77"/>
      <c r="Z725" s="77"/>
    </row>
    <row r="726" ht="16.5" customHeight="1">
      <c r="A726" s="31" t="s">
        <v>10510</v>
      </c>
      <c r="B726" s="31" t="s">
        <v>5221</v>
      </c>
      <c r="C726" s="8"/>
      <c r="D726" s="8"/>
      <c r="E726" s="8"/>
      <c r="F726" s="8"/>
      <c r="G726" s="8"/>
      <c r="H726" s="8"/>
      <c r="I726" s="8"/>
      <c r="J726" s="8"/>
      <c r="K726" s="8"/>
      <c r="L726" s="424"/>
      <c r="M726" s="424"/>
      <c r="N726" s="424"/>
      <c r="O726" s="431"/>
      <c r="P726" s="431"/>
      <c r="Q726" s="431"/>
      <c r="R726" s="431"/>
      <c r="S726" s="431"/>
      <c r="T726" s="431"/>
      <c r="U726" s="431"/>
      <c r="V726" s="431"/>
      <c r="W726" s="77"/>
      <c r="X726" s="77"/>
      <c r="Y726" s="77"/>
      <c r="Z726" s="77"/>
    </row>
    <row r="727" ht="16.5" customHeight="1">
      <c r="A727" s="31" t="s">
        <v>6884</v>
      </c>
      <c r="B727" s="31" t="s">
        <v>10511</v>
      </c>
      <c r="L727" s="431"/>
      <c r="M727" s="431"/>
      <c r="N727" s="431"/>
      <c r="O727" s="431"/>
      <c r="P727" s="431"/>
      <c r="Q727" s="431"/>
      <c r="R727" s="431"/>
      <c r="S727" s="431"/>
      <c r="T727" s="431"/>
      <c r="U727" s="431"/>
      <c r="V727" s="431"/>
      <c r="W727" s="77"/>
      <c r="X727" s="77"/>
      <c r="Y727" s="77"/>
      <c r="Z727" s="77"/>
    </row>
    <row r="728" ht="16.5" customHeight="1">
      <c r="A728" s="31" t="s">
        <v>5287</v>
      </c>
      <c r="B728" s="31" t="s">
        <v>10512</v>
      </c>
      <c r="L728" s="431"/>
      <c r="M728" s="431"/>
      <c r="N728" s="431"/>
      <c r="O728" s="431"/>
      <c r="P728" s="431"/>
      <c r="Q728" s="431"/>
      <c r="R728" s="431"/>
      <c r="S728" s="431"/>
      <c r="T728" s="431"/>
      <c r="U728" s="431"/>
      <c r="V728" s="431"/>
      <c r="W728" s="77"/>
      <c r="X728" s="77"/>
      <c r="Y728" s="77"/>
      <c r="Z728" s="77"/>
    </row>
    <row r="729" ht="16.5" customHeight="1">
      <c r="A729" s="31" t="s">
        <v>10513</v>
      </c>
      <c r="B729" s="31" t="s">
        <v>681</v>
      </c>
      <c r="L729" s="431"/>
      <c r="M729" s="431"/>
      <c r="N729" s="431"/>
      <c r="O729" s="431"/>
      <c r="P729" s="431"/>
      <c r="Q729" s="431"/>
      <c r="R729" s="431"/>
      <c r="S729" s="431"/>
      <c r="T729" s="431"/>
      <c r="U729" s="431"/>
      <c r="V729" s="431"/>
      <c r="W729" s="77"/>
      <c r="X729" s="77"/>
      <c r="Y729" s="77"/>
      <c r="Z729" s="77"/>
    </row>
    <row r="730" ht="16.5" customHeight="1">
      <c r="A730" s="31" t="s">
        <v>7733</v>
      </c>
      <c r="B730" s="31" t="s">
        <v>10514</v>
      </c>
      <c r="L730" s="431"/>
      <c r="M730" s="431"/>
      <c r="N730" s="431"/>
      <c r="O730" s="431"/>
      <c r="P730" s="431"/>
      <c r="Q730" s="431"/>
      <c r="R730" s="431"/>
      <c r="S730" s="431"/>
      <c r="T730" s="431"/>
      <c r="U730" s="431"/>
      <c r="V730" s="431"/>
      <c r="W730" s="77"/>
      <c r="X730" s="77"/>
      <c r="Y730" s="77"/>
      <c r="Z730" s="77"/>
    </row>
    <row r="731" ht="16.5" customHeight="1">
      <c r="A731" s="31" t="s">
        <v>9865</v>
      </c>
      <c r="B731" s="31" t="s">
        <v>10515</v>
      </c>
      <c r="L731" s="431"/>
      <c r="M731" s="431"/>
      <c r="N731" s="431"/>
      <c r="O731" s="431"/>
      <c r="P731" s="431"/>
      <c r="Q731" s="431"/>
      <c r="R731" s="431"/>
      <c r="S731" s="431"/>
      <c r="T731" s="431"/>
      <c r="U731" s="431"/>
      <c r="V731" s="431"/>
      <c r="W731" s="77"/>
      <c r="X731" s="77"/>
      <c r="Y731" s="77"/>
      <c r="Z731" s="77"/>
    </row>
    <row r="732" ht="16.5" customHeight="1">
      <c r="A732" s="31" t="s">
        <v>9867</v>
      </c>
      <c r="B732" s="31" t="s">
        <v>10516</v>
      </c>
      <c r="L732" s="431"/>
      <c r="M732" s="431"/>
      <c r="N732" s="431"/>
      <c r="O732" s="431"/>
      <c r="P732" s="431"/>
      <c r="Q732" s="431"/>
      <c r="R732" s="431"/>
      <c r="S732" s="431"/>
      <c r="T732" s="431"/>
      <c r="U732" s="431"/>
      <c r="V732" s="431"/>
      <c r="W732" s="77"/>
      <c r="X732" s="77"/>
      <c r="Y732" s="77"/>
      <c r="Z732" s="77"/>
    </row>
    <row r="733" ht="16.5" customHeight="1">
      <c r="A733" s="31" t="s">
        <v>10517</v>
      </c>
      <c r="B733" s="31" t="s">
        <v>10518</v>
      </c>
      <c r="L733" s="431"/>
      <c r="M733" s="431"/>
      <c r="N733" s="431"/>
      <c r="O733" s="431"/>
      <c r="P733" s="431"/>
      <c r="Q733" s="431"/>
      <c r="R733" s="431"/>
      <c r="S733" s="431"/>
      <c r="T733" s="431"/>
      <c r="U733" s="431"/>
      <c r="V733" s="431"/>
      <c r="W733" s="77"/>
      <c r="X733" s="77"/>
      <c r="Y733" s="77"/>
      <c r="Z733" s="77"/>
    </row>
    <row r="734" ht="16.5" customHeight="1">
      <c r="A734" s="31" t="s">
        <v>9871</v>
      </c>
      <c r="B734" s="31" t="s">
        <v>4544</v>
      </c>
      <c r="L734" s="431"/>
      <c r="M734" s="431"/>
      <c r="N734" s="431"/>
      <c r="O734" s="431"/>
      <c r="P734" s="431"/>
      <c r="Q734" s="431"/>
      <c r="R734" s="431"/>
      <c r="S734" s="431"/>
      <c r="T734" s="431"/>
      <c r="U734" s="431"/>
      <c r="V734" s="431"/>
      <c r="W734" s="77"/>
      <c r="X734" s="77"/>
      <c r="Y734" s="77"/>
      <c r="Z734" s="77"/>
    </row>
    <row r="735" ht="16.5" customHeight="1">
      <c r="A735" s="423" t="s">
        <v>10519</v>
      </c>
      <c r="L735" s="431"/>
      <c r="M735" s="431"/>
      <c r="N735" s="431"/>
      <c r="O735" s="431"/>
      <c r="P735" s="431"/>
      <c r="Q735" s="431"/>
      <c r="R735" s="431"/>
      <c r="S735" s="431"/>
      <c r="T735" s="431"/>
      <c r="U735" s="431"/>
      <c r="V735" s="431"/>
      <c r="W735" s="77"/>
      <c r="X735" s="77"/>
      <c r="Y735" s="77"/>
      <c r="Z735" s="77"/>
    </row>
    <row r="736" ht="16.5" customHeight="1">
      <c r="A736" s="425" t="s">
        <v>9532</v>
      </c>
      <c r="B736" s="425" t="s">
        <v>9928</v>
      </c>
      <c r="C736" s="426" t="s">
        <v>9363</v>
      </c>
      <c r="L736" s="431"/>
      <c r="M736" s="431"/>
      <c r="N736" s="431"/>
      <c r="O736" s="431"/>
      <c r="P736" s="431"/>
      <c r="Q736" s="431"/>
      <c r="R736" s="431"/>
      <c r="S736" s="431"/>
      <c r="T736" s="431"/>
      <c r="U736" s="431"/>
      <c r="V736" s="431"/>
      <c r="W736" s="77"/>
      <c r="X736" s="77"/>
      <c r="Y736" s="77"/>
      <c r="Z736" s="77"/>
    </row>
    <row r="737" ht="16.5" customHeight="1">
      <c r="A737" s="428" t="s">
        <v>3864</v>
      </c>
      <c r="B737" s="428" t="s">
        <v>1787</v>
      </c>
      <c r="C737" s="427" t="s">
        <v>9365</v>
      </c>
      <c r="D737" s="427" t="s">
        <v>8952</v>
      </c>
      <c r="E737" s="427" t="s">
        <v>4702</v>
      </c>
      <c r="F737" s="427" t="s">
        <v>4703</v>
      </c>
      <c r="G737" s="427" t="s">
        <v>4320</v>
      </c>
      <c r="H737" s="427" t="s">
        <v>436</v>
      </c>
      <c r="I737" s="427" t="s">
        <v>4704</v>
      </c>
      <c r="J737" s="427" t="s">
        <v>135</v>
      </c>
      <c r="K737" s="427" t="s">
        <v>128</v>
      </c>
      <c r="L737" s="431"/>
      <c r="M737" s="431"/>
      <c r="N737" s="431"/>
      <c r="O737" s="431"/>
      <c r="P737" s="431"/>
      <c r="Q737" s="431"/>
      <c r="R737" s="431"/>
      <c r="S737" s="431"/>
      <c r="T737" s="431"/>
      <c r="U737" s="431"/>
      <c r="V737" s="431"/>
      <c r="W737" s="77"/>
      <c r="X737" s="77"/>
      <c r="Y737" s="77"/>
      <c r="Z737" s="77"/>
    </row>
    <row r="738" ht="16.5" customHeight="1">
      <c r="A738" s="31" t="s">
        <v>3866</v>
      </c>
      <c r="B738" s="31" t="s">
        <v>1165</v>
      </c>
      <c r="C738" s="4" t="s">
        <v>9441</v>
      </c>
      <c r="D738" s="4" t="s">
        <v>9109</v>
      </c>
      <c r="E738" s="4" t="s">
        <v>9246</v>
      </c>
      <c r="F738" s="4" t="s">
        <v>8044</v>
      </c>
      <c r="G738" s="4" t="s">
        <v>5</v>
      </c>
      <c r="H738" s="4" t="s">
        <v>6288</v>
      </c>
      <c r="I738" s="4" t="s">
        <v>7810</v>
      </c>
      <c r="J738" s="4" t="s">
        <v>7782</v>
      </c>
      <c r="K738" s="4" t="s">
        <v>7810</v>
      </c>
      <c r="L738" s="424"/>
      <c r="M738" s="424"/>
      <c r="N738" s="424"/>
      <c r="O738" s="431"/>
      <c r="P738" s="431"/>
      <c r="Q738" s="431"/>
      <c r="R738" s="431"/>
      <c r="S738" s="431"/>
      <c r="T738" s="431"/>
      <c r="U738" s="431"/>
      <c r="V738" s="431"/>
      <c r="W738" s="77"/>
      <c r="X738" s="77"/>
      <c r="Y738" s="77"/>
      <c r="Z738" s="77"/>
    </row>
    <row r="739" ht="16.5" customHeight="1">
      <c r="A739" s="31" t="s">
        <v>3871</v>
      </c>
      <c r="B739" s="31" t="s">
        <v>10520</v>
      </c>
      <c r="C739" s="108" t="s">
        <v>9943</v>
      </c>
      <c r="L739" s="424"/>
      <c r="M739" s="424"/>
      <c r="N739" s="424"/>
      <c r="O739" s="431"/>
      <c r="P739" s="431"/>
      <c r="Q739" s="431"/>
      <c r="R739" s="431"/>
      <c r="S739" s="431"/>
      <c r="T739" s="431"/>
      <c r="U739" s="431"/>
      <c r="V739" s="431"/>
      <c r="W739" s="77"/>
      <c r="X739" s="77"/>
      <c r="Y739" s="77"/>
      <c r="Z739" s="77"/>
    </row>
    <row r="740" ht="16.5" customHeight="1">
      <c r="A740" s="31" t="s">
        <v>3877</v>
      </c>
      <c r="B740" s="31" t="s">
        <v>10521</v>
      </c>
      <c r="C740" s="8"/>
      <c r="D740" s="8"/>
      <c r="E740" s="8"/>
      <c r="F740" s="8"/>
      <c r="G740" s="8"/>
      <c r="H740" s="8"/>
      <c r="I740" s="8"/>
      <c r="J740" s="8"/>
      <c r="K740" s="8"/>
      <c r="L740" s="424"/>
      <c r="M740" s="424"/>
      <c r="N740" s="424"/>
      <c r="O740" s="431"/>
      <c r="P740" s="431"/>
      <c r="Q740" s="431"/>
      <c r="R740" s="431"/>
      <c r="S740" s="431"/>
      <c r="T740" s="431"/>
      <c r="U740" s="431"/>
      <c r="V740" s="431"/>
      <c r="W740" s="77"/>
      <c r="X740" s="77"/>
      <c r="Y740" s="77"/>
      <c r="Z740" s="77"/>
    </row>
    <row r="741" ht="16.5" customHeight="1">
      <c r="A741" s="31" t="s">
        <v>1242</v>
      </c>
      <c r="B741" s="31" t="s">
        <v>2841</v>
      </c>
      <c r="C741" s="8"/>
      <c r="D741" s="8"/>
      <c r="E741" s="8"/>
      <c r="F741" s="8"/>
      <c r="G741" s="8"/>
      <c r="H741" s="8"/>
      <c r="I741" s="8"/>
      <c r="J741" s="8"/>
      <c r="K741" s="8"/>
      <c r="L741" s="424"/>
      <c r="M741" s="424"/>
      <c r="N741" s="424"/>
      <c r="O741" s="431"/>
      <c r="P741" s="431"/>
      <c r="Q741" s="431"/>
      <c r="R741" s="431"/>
      <c r="S741" s="431"/>
      <c r="T741" s="431"/>
      <c r="U741" s="431"/>
      <c r="V741" s="431"/>
      <c r="W741" s="77"/>
      <c r="X741" s="77"/>
      <c r="Y741" s="77"/>
      <c r="Z741" s="77"/>
    </row>
    <row r="742" ht="16.5" customHeight="1">
      <c r="A742" s="31" t="s">
        <v>3883</v>
      </c>
      <c r="B742" s="31" t="s">
        <v>10522</v>
      </c>
      <c r="C742" s="8"/>
      <c r="D742" s="8"/>
      <c r="E742" s="8"/>
      <c r="F742" s="8"/>
      <c r="G742" s="8"/>
      <c r="H742" s="8"/>
      <c r="I742" s="8"/>
      <c r="J742" s="8"/>
      <c r="K742" s="8"/>
      <c r="L742" s="424"/>
      <c r="M742" s="424"/>
      <c r="N742" s="424"/>
      <c r="O742" s="431"/>
      <c r="P742" s="431"/>
      <c r="Q742" s="431"/>
      <c r="R742" s="431"/>
      <c r="S742" s="431"/>
      <c r="T742" s="431"/>
      <c r="U742" s="431"/>
      <c r="V742" s="431"/>
      <c r="W742" s="77"/>
      <c r="X742" s="77"/>
      <c r="Y742" s="77"/>
      <c r="Z742" s="77"/>
    </row>
    <row r="743" ht="16.5" customHeight="1">
      <c r="A743" s="31" t="s">
        <v>10523</v>
      </c>
      <c r="B743" s="31" t="s">
        <v>10524</v>
      </c>
      <c r="C743" s="8"/>
      <c r="D743" s="8"/>
      <c r="E743" s="8"/>
      <c r="F743" s="8"/>
      <c r="G743" s="8"/>
      <c r="H743" s="8"/>
      <c r="I743" s="8"/>
      <c r="J743" s="8"/>
      <c r="K743" s="8"/>
      <c r="L743" s="424"/>
      <c r="M743" s="424"/>
      <c r="N743" s="424"/>
      <c r="O743" s="431"/>
      <c r="P743" s="431"/>
      <c r="Q743" s="431"/>
      <c r="R743" s="431"/>
      <c r="S743" s="431"/>
      <c r="T743" s="431"/>
      <c r="U743" s="431"/>
      <c r="V743" s="431"/>
      <c r="W743" s="77"/>
      <c r="X743" s="77"/>
      <c r="Y743" s="77"/>
      <c r="Z743" s="77"/>
    </row>
    <row r="744" ht="16.5" customHeight="1">
      <c r="A744" s="31" t="s">
        <v>9593</v>
      </c>
      <c r="B744" s="31" t="s">
        <v>10525</v>
      </c>
      <c r="C744" s="8"/>
      <c r="D744" s="8"/>
      <c r="E744" s="8"/>
      <c r="F744" s="8"/>
      <c r="G744" s="8"/>
      <c r="H744" s="8"/>
      <c r="I744" s="8"/>
      <c r="J744" s="8"/>
      <c r="K744" s="8"/>
      <c r="L744" s="424"/>
      <c r="M744" s="424"/>
      <c r="N744" s="424"/>
      <c r="O744" s="431"/>
      <c r="P744" s="431"/>
      <c r="Q744" s="431"/>
      <c r="R744" s="431"/>
      <c r="S744" s="431"/>
      <c r="T744" s="431"/>
      <c r="U744" s="431"/>
      <c r="V744" s="431"/>
      <c r="W744" s="77"/>
      <c r="X744" s="77"/>
      <c r="Y744" s="77"/>
      <c r="Z744" s="77"/>
    </row>
    <row r="745" ht="16.5" customHeight="1">
      <c r="A745" s="31" t="s">
        <v>10526</v>
      </c>
      <c r="B745" s="31" t="s">
        <v>10527</v>
      </c>
      <c r="L745" s="431"/>
      <c r="M745" s="431"/>
      <c r="N745" s="431"/>
      <c r="O745" s="431"/>
      <c r="P745" s="431"/>
      <c r="Q745" s="431"/>
      <c r="R745" s="431"/>
      <c r="S745" s="431"/>
      <c r="T745" s="431"/>
      <c r="U745" s="431"/>
      <c r="V745" s="431"/>
      <c r="W745" s="77"/>
      <c r="X745" s="77"/>
      <c r="Y745" s="77"/>
      <c r="Z745" s="77"/>
    </row>
    <row r="746" ht="16.5" customHeight="1">
      <c r="A746" s="31" t="s">
        <v>10528</v>
      </c>
      <c r="B746" s="31" t="s">
        <v>10529</v>
      </c>
      <c r="L746" s="431"/>
      <c r="M746" s="431"/>
      <c r="N746" s="431"/>
      <c r="O746" s="431"/>
      <c r="P746" s="431"/>
      <c r="Q746" s="431"/>
      <c r="R746" s="431"/>
      <c r="S746" s="431"/>
      <c r="T746" s="431"/>
      <c r="U746" s="431"/>
      <c r="V746" s="431"/>
      <c r="W746" s="77"/>
      <c r="X746" s="77"/>
      <c r="Y746" s="77"/>
      <c r="Z746" s="77"/>
    </row>
    <row r="747" ht="16.5" customHeight="1">
      <c r="A747" s="31" t="s">
        <v>10530</v>
      </c>
      <c r="B747" s="31" t="s">
        <v>10531</v>
      </c>
      <c r="L747" s="431"/>
      <c r="M747" s="431"/>
      <c r="N747" s="431"/>
      <c r="O747" s="431"/>
      <c r="P747" s="431"/>
      <c r="Q747" s="431"/>
      <c r="R747" s="431"/>
      <c r="S747" s="431"/>
      <c r="T747" s="431"/>
      <c r="U747" s="431"/>
      <c r="V747" s="431"/>
      <c r="W747" s="77"/>
      <c r="X747" s="77"/>
      <c r="Y747" s="77"/>
      <c r="Z747" s="77"/>
    </row>
    <row r="748" ht="16.5" customHeight="1">
      <c r="A748" s="31" t="s">
        <v>10532</v>
      </c>
      <c r="B748" s="31" t="s">
        <v>10533</v>
      </c>
      <c r="L748" s="431"/>
      <c r="M748" s="431"/>
      <c r="N748" s="431"/>
      <c r="O748" s="431"/>
      <c r="P748" s="431"/>
      <c r="Q748" s="431"/>
      <c r="R748" s="431"/>
      <c r="S748" s="431"/>
      <c r="T748" s="431"/>
      <c r="U748" s="431"/>
      <c r="V748" s="431"/>
      <c r="W748" s="77"/>
      <c r="X748" s="77"/>
      <c r="Y748" s="77"/>
      <c r="Z748" s="77"/>
    </row>
    <row r="749" ht="16.5" customHeight="1">
      <c r="A749" s="31" t="s">
        <v>10534</v>
      </c>
      <c r="B749" s="31" t="s">
        <v>10535</v>
      </c>
      <c r="L749" s="431"/>
      <c r="M749" s="431"/>
      <c r="N749" s="431"/>
      <c r="O749" s="431"/>
      <c r="P749" s="431"/>
      <c r="Q749" s="431"/>
      <c r="R749" s="431"/>
      <c r="S749" s="431"/>
      <c r="T749" s="431"/>
      <c r="U749" s="431"/>
      <c r="V749" s="431"/>
      <c r="W749" s="77"/>
      <c r="X749" s="77"/>
      <c r="Y749" s="77"/>
      <c r="Z749" s="77"/>
    </row>
    <row r="750" ht="16.5" customHeight="1">
      <c r="A750" s="31" t="s">
        <v>10536</v>
      </c>
      <c r="B750" s="31" t="s">
        <v>10537</v>
      </c>
      <c r="L750" s="431"/>
      <c r="M750" s="431"/>
      <c r="N750" s="431"/>
      <c r="O750" s="431"/>
      <c r="P750" s="431"/>
      <c r="Q750" s="431"/>
      <c r="R750" s="431"/>
      <c r="S750" s="431"/>
      <c r="T750" s="431"/>
      <c r="U750" s="431"/>
      <c r="V750" s="431"/>
      <c r="W750" s="77"/>
      <c r="X750" s="77"/>
      <c r="Y750" s="77"/>
      <c r="Z750" s="77"/>
    </row>
    <row r="751" ht="16.5" customHeight="1">
      <c r="A751" s="31" t="s">
        <v>10538</v>
      </c>
      <c r="B751" s="31" t="s">
        <v>10539</v>
      </c>
      <c r="L751" s="431"/>
      <c r="M751" s="431"/>
      <c r="N751" s="431"/>
      <c r="O751" s="431"/>
      <c r="P751" s="431"/>
      <c r="Q751" s="431"/>
      <c r="R751" s="431"/>
      <c r="S751" s="431"/>
      <c r="T751" s="431"/>
      <c r="U751" s="431"/>
      <c r="V751" s="431"/>
      <c r="W751" s="77"/>
      <c r="X751" s="77"/>
      <c r="Y751" s="77"/>
      <c r="Z751" s="77"/>
    </row>
    <row r="752" ht="16.5" customHeight="1">
      <c r="A752" s="423" t="s">
        <v>10540</v>
      </c>
      <c r="L752" s="431"/>
      <c r="M752" s="431"/>
      <c r="N752" s="431"/>
      <c r="O752" s="431"/>
      <c r="P752" s="431"/>
      <c r="Q752" s="431"/>
      <c r="R752" s="431"/>
      <c r="S752" s="431"/>
      <c r="T752" s="431"/>
      <c r="U752" s="431"/>
      <c r="V752" s="431"/>
      <c r="W752" s="77"/>
      <c r="X752" s="77"/>
      <c r="Y752" s="77"/>
      <c r="Z752" s="77"/>
    </row>
    <row r="753" ht="16.5" customHeight="1">
      <c r="A753" s="425" t="s">
        <v>9414</v>
      </c>
      <c r="B753" s="425" t="s">
        <v>10015</v>
      </c>
      <c r="C753" s="426" t="s">
        <v>9363</v>
      </c>
      <c r="L753" s="431"/>
      <c r="M753" s="431"/>
      <c r="N753" s="431"/>
      <c r="O753" s="431"/>
      <c r="P753" s="431"/>
      <c r="Q753" s="431"/>
      <c r="R753" s="431"/>
      <c r="S753" s="431"/>
      <c r="T753" s="431"/>
      <c r="U753" s="431"/>
      <c r="V753" s="431"/>
      <c r="W753" s="77"/>
      <c r="X753" s="77"/>
      <c r="Y753" s="77"/>
      <c r="Z753" s="77"/>
    </row>
    <row r="754" ht="16.5" customHeight="1">
      <c r="A754" s="428" t="s">
        <v>1787</v>
      </c>
      <c r="B754" s="428" t="s">
        <v>2231</v>
      </c>
      <c r="C754" s="427" t="s">
        <v>9365</v>
      </c>
      <c r="D754" s="427" t="s">
        <v>8952</v>
      </c>
      <c r="E754" s="427" t="s">
        <v>4702</v>
      </c>
      <c r="F754" s="427" t="s">
        <v>4703</v>
      </c>
      <c r="G754" s="427" t="s">
        <v>4320</v>
      </c>
      <c r="H754" s="427" t="s">
        <v>436</v>
      </c>
      <c r="I754" s="427" t="s">
        <v>4704</v>
      </c>
      <c r="J754" s="427" t="s">
        <v>135</v>
      </c>
      <c r="K754" s="427" t="s">
        <v>128</v>
      </c>
      <c r="L754" s="431"/>
      <c r="M754" s="431"/>
      <c r="N754" s="431"/>
      <c r="O754" s="431"/>
      <c r="P754" s="431"/>
      <c r="Q754" s="431"/>
      <c r="R754" s="431"/>
      <c r="S754" s="431"/>
      <c r="T754" s="431"/>
      <c r="U754" s="431"/>
      <c r="V754" s="431"/>
      <c r="W754" s="77"/>
      <c r="X754" s="77"/>
      <c r="Y754" s="77"/>
      <c r="Z754" s="77"/>
    </row>
    <row r="755" ht="16.5" customHeight="1">
      <c r="A755" s="75" t="s">
        <v>1864</v>
      </c>
      <c r="B755" s="75" t="s">
        <v>10222</v>
      </c>
      <c r="C755" s="4" t="s">
        <v>9441</v>
      </c>
      <c r="D755" s="4" t="s">
        <v>9109</v>
      </c>
      <c r="E755" s="4" t="s">
        <v>9246</v>
      </c>
      <c r="F755" s="4" t="s">
        <v>1871</v>
      </c>
      <c r="G755" s="4" t="s">
        <v>103</v>
      </c>
      <c r="H755" s="4" t="s">
        <v>5147</v>
      </c>
      <c r="I755" s="4" t="s">
        <v>8081</v>
      </c>
      <c r="J755" s="4" t="s">
        <v>10431</v>
      </c>
      <c r="K755" s="4" t="s">
        <v>10448</v>
      </c>
      <c r="L755" s="424"/>
      <c r="M755" s="424"/>
      <c r="N755" s="424"/>
      <c r="O755" s="431"/>
      <c r="P755" s="431"/>
      <c r="Q755" s="431"/>
      <c r="R755" s="431"/>
      <c r="S755" s="431"/>
      <c r="T755" s="431"/>
      <c r="U755" s="431"/>
      <c r="V755" s="431"/>
      <c r="W755" s="77"/>
      <c r="X755" s="77"/>
      <c r="Y755" s="77"/>
      <c r="Z755" s="77"/>
    </row>
    <row r="756" ht="16.5" customHeight="1">
      <c r="A756" s="75" t="s">
        <v>10541</v>
      </c>
      <c r="B756" s="75" t="s">
        <v>2326</v>
      </c>
      <c r="C756" s="108" t="s">
        <v>9694</v>
      </c>
      <c r="L756" s="424"/>
      <c r="M756" s="424"/>
      <c r="N756" s="424"/>
      <c r="O756" s="431"/>
      <c r="P756" s="431"/>
      <c r="Q756" s="431"/>
      <c r="R756" s="431"/>
      <c r="S756" s="431"/>
      <c r="T756" s="431"/>
      <c r="U756" s="431"/>
      <c r="V756" s="431"/>
      <c r="W756" s="77"/>
      <c r="X756" s="77"/>
      <c r="Y756" s="77"/>
      <c r="Z756" s="77"/>
    </row>
    <row r="757" ht="16.5" customHeight="1">
      <c r="A757" s="75" t="s">
        <v>1875</v>
      </c>
      <c r="B757" s="75" t="s">
        <v>6333</v>
      </c>
      <c r="C757" s="8"/>
      <c r="D757" s="8"/>
      <c r="E757" s="8"/>
      <c r="F757" s="8"/>
      <c r="G757" s="8"/>
      <c r="H757" s="8"/>
      <c r="I757" s="8"/>
      <c r="J757" s="8"/>
      <c r="K757" s="8"/>
      <c r="L757" s="424"/>
      <c r="M757" s="424"/>
      <c r="N757" s="424"/>
      <c r="O757" s="431"/>
      <c r="P757" s="431"/>
      <c r="Q757" s="431"/>
      <c r="R757" s="431"/>
      <c r="S757" s="431"/>
      <c r="T757" s="431"/>
      <c r="U757" s="431"/>
      <c r="V757" s="431"/>
      <c r="W757" s="77"/>
      <c r="X757" s="77"/>
      <c r="Y757" s="77"/>
      <c r="Z757" s="77"/>
    </row>
    <row r="758" ht="16.5" customHeight="1">
      <c r="A758" s="75" t="s">
        <v>5016</v>
      </c>
      <c r="B758" s="75" t="s">
        <v>10542</v>
      </c>
      <c r="C758" s="8"/>
      <c r="D758" s="8"/>
      <c r="E758" s="8"/>
      <c r="F758" s="8"/>
      <c r="G758" s="8"/>
      <c r="H758" s="8"/>
      <c r="I758" s="8"/>
      <c r="J758" s="8"/>
      <c r="K758" s="8"/>
      <c r="L758" s="424"/>
      <c r="M758" s="424"/>
      <c r="N758" s="424"/>
      <c r="O758" s="431"/>
      <c r="P758" s="431"/>
      <c r="Q758" s="431"/>
      <c r="R758" s="431"/>
      <c r="S758" s="431"/>
      <c r="T758" s="431"/>
      <c r="U758" s="431"/>
      <c r="V758" s="431"/>
      <c r="W758" s="77"/>
      <c r="X758" s="77"/>
      <c r="Y758" s="77"/>
      <c r="Z758" s="77"/>
    </row>
    <row r="759" ht="16.5" customHeight="1">
      <c r="A759" s="75" t="s">
        <v>1886</v>
      </c>
      <c r="B759" s="75" t="s">
        <v>10235</v>
      </c>
      <c r="C759" s="8"/>
      <c r="D759" s="8"/>
      <c r="E759" s="8"/>
      <c r="F759" s="8"/>
      <c r="G759" s="8"/>
      <c r="H759" s="8"/>
      <c r="I759" s="8"/>
      <c r="J759" s="8"/>
      <c r="K759" s="8"/>
      <c r="L759" s="424"/>
      <c r="M759" s="424"/>
      <c r="N759" s="424"/>
      <c r="O759" s="431"/>
      <c r="P759" s="431"/>
      <c r="Q759" s="431"/>
      <c r="R759" s="431"/>
      <c r="S759" s="431"/>
      <c r="T759" s="431"/>
      <c r="U759" s="431"/>
      <c r="V759" s="431"/>
      <c r="W759" s="77"/>
      <c r="X759" s="77"/>
      <c r="Y759" s="77"/>
      <c r="Z759" s="77"/>
    </row>
    <row r="760" ht="16.5" customHeight="1">
      <c r="A760" s="75" t="s">
        <v>1891</v>
      </c>
      <c r="B760" s="75" t="s">
        <v>5023</v>
      </c>
      <c r="C760" s="8"/>
      <c r="D760" s="8"/>
      <c r="E760" s="8"/>
      <c r="F760" s="8"/>
      <c r="G760" s="8"/>
      <c r="H760" s="8"/>
      <c r="I760" s="8"/>
      <c r="J760" s="8"/>
      <c r="K760" s="8"/>
      <c r="L760" s="424"/>
      <c r="M760" s="424"/>
      <c r="N760" s="424"/>
      <c r="O760" s="431"/>
      <c r="P760" s="431"/>
      <c r="Q760" s="431"/>
      <c r="R760" s="431"/>
      <c r="S760" s="431"/>
      <c r="T760" s="431"/>
      <c r="U760" s="431"/>
      <c r="V760" s="431"/>
      <c r="W760" s="77"/>
      <c r="X760" s="77"/>
      <c r="Y760" s="77"/>
      <c r="Z760" s="77"/>
    </row>
    <row r="761" ht="16.5" customHeight="1">
      <c r="A761" s="75" t="s">
        <v>9515</v>
      </c>
      <c r="B761" s="75" t="s">
        <v>10035</v>
      </c>
      <c r="C761" s="8"/>
      <c r="D761" s="8"/>
      <c r="E761" s="8"/>
      <c r="F761" s="8"/>
      <c r="G761" s="8"/>
      <c r="H761" s="8"/>
      <c r="I761" s="8"/>
      <c r="J761" s="8"/>
      <c r="K761" s="8"/>
      <c r="L761" s="424"/>
      <c r="M761" s="424"/>
      <c r="N761" s="424"/>
      <c r="O761" s="431"/>
      <c r="P761" s="431"/>
      <c r="Q761" s="431"/>
      <c r="R761" s="431"/>
      <c r="S761" s="431"/>
      <c r="T761" s="431"/>
      <c r="U761" s="431"/>
      <c r="V761" s="431"/>
      <c r="W761" s="77"/>
      <c r="X761" s="77"/>
      <c r="Y761" s="77"/>
      <c r="Z761" s="77"/>
    </row>
    <row r="762" ht="16.5" customHeight="1">
      <c r="A762" s="429" t="s">
        <v>9517</v>
      </c>
      <c r="B762" s="429" t="s">
        <v>10037</v>
      </c>
      <c r="C762" s="432"/>
      <c r="D762" s="432"/>
      <c r="E762" s="432"/>
      <c r="F762" s="432"/>
      <c r="G762" s="432"/>
      <c r="H762" s="432"/>
      <c r="I762" s="432"/>
      <c r="J762" s="432"/>
      <c r="K762" s="432"/>
      <c r="L762" s="431"/>
      <c r="M762" s="431"/>
      <c r="N762" s="431"/>
      <c r="O762" s="431"/>
      <c r="P762" s="431"/>
      <c r="Q762" s="431"/>
      <c r="R762" s="431"/>
      <c r="S762" s="431"/>
      <c r="T762" s="431"/>
      <c r="U762" s="431"/>
      <c r="V762" s="431"/>
      <c r="W762" s="77"/>
      <c r="X762" s="77"/>
      <c r="Y762" s="77"/>
      <c r="Z762" s="77"/>
    </row>
    <row r="763" ht="16.5" customHeight="1">
      <c r="A763" s="429" t="s">
        <v>9519</v>
      </c>
      <c r="B763" s="429" t="s">
        <v>10543</v>
      </c>
      <c r="C763" s="432"/>
      <c r="D763" s="432"/>
      <c r="E763" s="432"/>
      <c r="F763" s="432"/>
      <c r="G763" s="432"/>
      <c r="H763" s="432"/>
      <c r="I763" s="432"/>
      <c r="J763" s="432"/>
      <c r="K763" s="432"/>
      <c r="L763" s="431"/>
      <c r="M763" s="431"/>
      <c r="N763" s="431"/>
      <c r="O763" s="431"/>
      <c r="P763" s="431"/>
      <c r="Q763" s="431"/>
      <c r="R763" s="431"/>
      <c r="S763" s="431"/>
      <c r="T763" s="431"/>
      <c r="U763" s="431"/>
      <c r="V763" s="431"/>
      <c r="W763" s="77"/>
      <c r="X763" s="77"/>
      <c r="Y763" s="77"/>
      <c r="Z763" s="77"/>
    </row>
    <row r="764" ht="16.5" customHeight="1">
      <c r="A764" s="429" t="s">
        <v>10544</v>
      </c>
      <c r="B764" s="429" t="s">
        <v>10545</v>
      </c>
      <c r="C764" s="432"/>
      <c r="D764" s="432"/>
      <c r="E764" s="432"/>
      <c r="F764" s="432"/>
      <c r="G764" s="432"/>
      <c r="H764" s="432"/>
      <c r="I764" s="432"/>
      <c r="J764" s="432"/>
      <c r="K764" s="432"/>
      <c r="L764" s="431"/>
      <c r="M764" s="431"/>
      <c r="N764" s="431"/>
      <c r="O764" s="431"/>
      <c r="P764" s="431"/>
      <c r="Q764" s="431"/>
      <c r="R764" s="431"/>
      <c r="S764" s="431"/>
      <c r="T764" s="431"/>
      <c r="U764" s="431"/>
      <c r="V764" s="431"/>
      <c r="W764" s="77"/>
      <c r="X764" s="77"/>
      <c r="Y764" s="77"/>
      <c r="Z764" s="77"/>
    </row>
    <row r="765" ht="16.5" customHeight="1">
      <c r="A765" s="429" t="s">
        <v>10546</v>
      </c>
      <c r="B765" s="429" t="s">
        <v>10547</v>
      </c>
      <c r="C765" s="432"/>
      <c r="D765" s="432"/>
      <c r="E765" s="432"/>
      <c r="F765" s="432"/>
      <c r="G765" s="432"/>
      <c r="H765" s="432"/>
      <c r="I765" s="432"/>
      <c r="J765" s="432"/>
      <c r="K765" s="432"/>
      <c r="L765" s="431"/>
      <c r="M765" s="431"/>
      <c r="N765" s="431"/>
      <c r="O765" s="431"/>
      <c r="P765" s="431"/>
      <c r="Q765" s="431"/>
      <c r="R765" s="431"/>
      <c r="S765" s="431"/>
      <c r="T765" s="431"/>
      <c r="U765" s="431"/>
      <c r="V765" s="431"/>
      <c r="W765" s="77"/>
      <c r="X765" s="77"/>
      <c r="Y765" s="77"/>
      <c r="Z765" s="77"/>
    </row>
    <row r="766" ht="16.5" customHeight="1">
      <c r="A766" s="429" t="s">
        <v>9524</v>
      </c>
      <c r="B766" s="429" t="s">
        <v>10548</v>
      </c>
      <c r="C766" s="432"/>
      <c r="D766" s="432"/>
      <c r="E766" s="432"/>
      <c r="F766" s="432"/>
      <c r="G766" s="432"/>
      <c r="H766" s="432"/>
      <c r="I766" s="432"/>
      <c r="J766" s="432"/>
      <c r="K766" s="432"/>
      <c r="L766" s="431"/>
      <c r="M766" s="431"/>
      <c r="N766" s="431"/>
      <c r="O766" s="431"/>
      <c r="P766" s="431"/>
      <c r="Q766" s="431"/>
      <c r="R766" s="431"/>
      <c r="S766" s="431"/>
      <c r="T766" s="431"/>
      <c r="U766" s="431"/>
      <c r="V766" s="431"/>
      <c r="W766" s="77"/>
      <c r="X766" s="77"/>
      <c r="Y766" s="77"/>
      <c r="Z766" s="77"/>
    </row>
    <row r="767" ht="16.5" customHeight="1">
      <c r="A767" s="429" t="s">
        <v>9526</v>
      </c>
      <c r="B767" s="429" t="s">
        <v>10549</v>
      </c>
      <c r="C767" s="432"/>
      <c r="D767" s="432"/>
      <c r="E767" s="432"/>
      <c r="F767" s="432"/>
      <c r="G767" s="432"/>
      <c r="H767" s="432"/>
      <c r="I767" s="432"/>
      <c r="J767" s="432"/>
      <c r="K767" s="432"/>
      <c r="L767" s="431"/>
      <c r="M767" s="431"/>
      <c r="N767" s="431"/>
      <c r="O767" s="431"/>
      <c r="P767" s="431"/>
      <c r="Q767" s="431"/>
      <c r="R767" s="431"/>
      <c r="S767" s="431"/>
      <c r="T767" s="431"/>
      <c r="U767" s="431"/>
      <c r="V767" s="431"/>
      <c r="W767" s="77"/>
      <c r="X767" s="77"/>
      <c r="Y767" s="77"/>
      <c r="Z767" s="77"/>
    </row>
    <row r="768" ht="16.5" customHeight="1">
      <c r="A768" s="429" t="s">
        <v>9528</v>
      </c>
      <c r="B768" s="429" t="s">
        <v>10550</v>
      </c>
      <c r="C768" s="432"/>
      <c r="D768" s="432"/>
      <c r="E768" s="432"/>
      <c r="F768" s="432"/>
      <c r="G768" s="432"/>
      <c r="H768" s="432"/>
      <c r="I768" s="432"/>
      <c r="J768" s="432"/>
      <c r="K768" s="432"/>
      <c r="L768" s="431"/>
      <c r="M768" s="431"/>
      <c r="N768" s="431"/>
      <c r="O768" s="431"/>
      <c r="P768" s="431"/>
      <c r="Q768" s="431"/>
      <c r="R768" s="431"/>
      <c r="S768" s="431"/>
      <c r="T768" s="431"/>
      <c r="U768" s="431"/>
      <c r="V768" s="431"/>
      <c r="W768" s="77"/>
      <c r="X768" s="77"/>
      <c r="Y768" s="77"/>
      <c r="Z768" s="77"/>
    </row>
    <row r="769" ht="16.5" customHeight="1">
      <c r="A769" s="423" t="s">
        <v>10551</v>
      </c>
      <c r="L769" s="431"/>
      <c r="M769" s="431"/>
      <c r="N769" s="431"/>
      <c r="O769" s="431"/>
      <c r="P769" s="431"/>
      <c r="Q769" s="431"/>
      <c r="R769" s="431"/>
      <c r="S769" s="431"/>
      <c r="T769" s="431"/>
      <c r="U769" s="431"/>
      <c r="V769" s="431"/>
      <c r="W769" s="77"/>
      <c r="X769" s="77"/>
      <c r="Y769" s="77"/>
      <c r="Z769" s="77"/>
    </row>
    <row r="770" ht="16.5" customHeight="1">
      <c r="A770" s="425" t="s">
        <v>9532</v>
      </c>
      <c r="B770" s="425" t="s">
        <v>10015</v>
      </c>
      <c r="C770" s="426" t="s">
        <v>9363</v>
      </c>
      <c r="L770" s="431"/>
      <c r="M770" s="431"/>
      <c r="N770" s="431"/>
      <c r="O770" s="431"/>
      <c r="P770" s="431"/>
      <c r="Q770" s="431"/>
      <c r="R770" s="431"/>
      <c r="S770" s="431"/>
      <c r="T770" s="431"/>
      <c r="U770" s="431"/>
      <c r="V770" s="431"/>
      <c r="W770" s="77"/>
      <c r="X770" s="77"/>
      <c r="Y770" s="77"/>
      <c r="Z770" s="77"/>
    </row>
    <row r="771" ht="16.5" customHeight="1">
      <c r="A771" s="428" t="s">
        <v>3864</v>
      </c>
      <c r="B771" s="428" t="s">
        <v>10424</v>
      </c>
      <c r="C771" s="427" t="s">
        <v>9365</v>
      </c>
      <c r="D771" s="427" t="s">
        <v>8952</v>
      </c>
      <c r="E771" s="427" t="s">
        <v>4702</v>
      </c>
      <c r="F771" s="427" t="s">
        <v>4703</v>
      </c>
      <c r="G771" s="427" t="s">
        <v>4320</v>
      </c>
      <c r="H771" s="427" t="s">
        <v>436</v>
      </c>
      <c r="I771" s="427" t="s">
        <v>4704</v>
      </c>
      <c r="J771" s="427" t="s">
        <v>135</v>
      </c>
      <c r="K771" s="427" t="s">
        <v>128</v>
      </c>
      <c r="L771" s="431"/>
      <c r="M771" s="431"/>
      <c r="N771" s="431"/>
      <c r="O771" s="431"/>
      <c r="P771" s="431"/>
      <c r="Q771" s="431"/>
      <c r="R771" s="431"/>
      <c r="S771" s="431"/>
      <c r="T771" s="431"/>
      <c r="U771" s="431"/>
      <c r="V771" s="431"/>
      <c r="W771" s="77"/>
      <c r="X771" s="77"/>
      <c r="Y771" s="77"/>
      <c r="Z771" s="77"/>
    </row>
    <row r="772" ht="16.5" customHeight="1">
      <c r="A772" s="75" t="s">
        <v>3866</v>
      </c>
      <c r="B772" s="75" t="s">
        <v>10426</v>
      </c>
      <c r="C772" s="4" t="s">
        <v>9441</v>
      </c>
      <c r="D772" s="4" t="s">
        <v>9109</v>
      </c>
      <c r="E772" s="4" t="s">
        <v>8917</v>
      </c>
      <c r="F772" s="4" t="s">
        <v>8044</v>
      </c>
      <c r="G772" s="4" t="s">
        <v>105</v>
      </c>
      <c r="H772" s="4" t="s">
        <v>175</v>
      </c>
      <c r="I772" s="4" t="s">
        <v>10552</v>
      </c>
      <c r="J772" s="4" t="s">
        <v>10552</v>
      </c>
      <c r="K772" s="4" t="s">
        <v>10553</v>
      </c>
      <c r="L772" s="431"/>
      <c r="M772" s="431"/>
      <c r="N772" s="431"/>
      <c r="O772" s="431"/>
      <c r="P772" s="431"/>
      <c r="Q772" s="431"/>
      <c r="R772" s="431"/>
      <c r="S772" s="431"/>
      <c r="T772" s="431"/>
      <c r="U772" s="431"/>
      <c r="V772" s="431"/>
      <c r="W772" s="77"/>
      <c r="X772" s="77"/>
      <c r="Y772" s="77"/>
      <c r="Z772" s="77"/>
    </row>
    <row r="773" ht="16.5" customHeight="1">
      <c r="A773" s="75" t="s">
        <v>3871</v>
      </c>
      <c r="B773" s="75" t="s">
        <v>10554</v>
      </c>
      <c r="C773" s="108" t="s">
        <v>9839</v>
      </c>
      <c r="L773" s="431"/>
      <c r="M773" s="431"/>
      <c r="N773" s="431"/>
      <c r="O773" s="431"/>
      <c r="P773" s="431"/>
      <c r="Q773" s="431"/>
      <c r="R773" s="431"/>
      <c r="S773" s="431"/>
      <c r="T773" s="431"/>
      <c r="U773" s="431"/>
      <c r="V773" s="431"/>
      <c r="W773" s="77"/>
      <c r="X773" s="77"/>
      <c r="Y773" s="77"/>
      <c r="Z773" s="77"/>
    </row>
    <row r="774" ht="16.5" customHeight="1">
      <c r="A774" s="75" t="s">
        <v>3877</v>
      </c>
      <c r="B774" s="75" t="s">
        <v>2220</v>
      </c>
      <c r="C774" s="8"/>
      <c r="D774" s="8"/>
      <c r="E774" s="8"/>
      <c r="F774" s="8"/>
      <c r="G774" s="8"/>
      <c r="H774" s="8"/>
      <c r="I774" s="8"/>
      <c r="J774" s="8"/>
      <c r="K774" s="8"/>
      <c r="L774" s="431"/>
      <c r="M774" s="431"/>
      <c r="N774" s="431"/>
      <c r="O774" s="431"/>
      <c r="P774" s="431"/>
      <c r="Q774" s="431"/>
      <c r="R774" s="431"/>
      <c r="S774" s="431"/>
      <c r="T774" s="431"/>
      <c r="U774" s="431"/>
      <c r="V774" s="431"/>
      <c r="W774" s="77"/>
      <c r="X774" s="77"/>
      <c r="Y774" s="77"/>
      <c r="Z774" s="77"/>
    </row>
    <row r="775" ht="16.5" customHeight="1">
      <c r="A775" s="75" t="s">
        <v>10555</v>
      </c>
      <c r="B775" s="75" t="s">
        <v>5267</v>
      </c>
      <c r="C775" s="8"/>
      <c r="D775" s="8"/>
      <c r="E775" s="8"/>
      <c r="F775" s="8"/>
      <c r="G775" s="8"/>
      <c r="H775" s="8"/>
      <c r="I775" s="8"/>
      <c r="J775" s="8"/>
      <c r="K775" s="8"/>
      <c r="L775" s="431"/>
      <c r="M775" s="431"/>
      <c r="N775" s="431"/>
      <c r="O775" s="431"/>
      <c r="P775" s="431"/>
      <c r="Q775" s="431"/>
      <c r="R775" s="431"/>
      <c r="S775" s="431"/>
      <c r="T775" s="431"/>
      <c r="U775" s="431"/>
      <c r="V775" s="431"/>
      <c r="W775" s="77"/>
      <c r="X775" s="77"/>
      <c r="Y775" s="77"/>
      <c r="Z775" s="77"/>
    </row>
    <row r="776" ht="16.5" customHeight="1">
      <c r="A776" s="75" t="s">
        <v>10556</v>
      </c>
      <c r="B776" s="75" t="s">
        <v>10557</v>
      </c>
      <c r="C776" s="8"/>
      <c r="D776" s="8"/>
      <c r="E776" s="8"/>
      <c r="F776" s="8"/>
      <c r="G776" s="8"/>
      <c r="H776" s="8"/>
      <c r="I776" s="8"/>
      <c r="J776" s="8"/>
      <c r="K776" s="8"/>
      <c r="L776" s="431"/>
      <c r="M776" s="431"/>
      <c r="N776" s="431"/>
      <c r="O776" s="431"/>
      <c r="P776" s="431"/>
      <c r="Q776" s="431"/>
      <c r="R776" s="431"/>
      <c r="S776" s="431"/>
      <c r="T776" s="431"/>
      <c r="U776" s="431"/>
      <c r="V776" s="431"/>
      <c r="W776" s="77"/>
      <c r="X776" s="77"/>
      <c r="Y776" s="77"/>
      <c r="Z776" s="77"/>
    </row>
    <row r="777" ht="16.5" customHeight="1">
      <c r="A777" s="75" t="s">
        <v>10558</v>
      </c>
      <c r="B777" s="75" t="s">
        <v>10559</v>
      </c>
      <c r="C777" s="8"/>
      <c r="D777" s="8"/>
      <c r="E777" s="8"/>
      <c r="F777" s="8"/>
      <c r="G777" s="8"/>
      <c r="H777" s="8"/>
      <c r="I777" s="8"/>
      <c r="J777" s="8"/>
      <c r="K777" s="8"/>
      <c r="L777" s="431"/>
      <c r="M777" s="431"/>
      <c r="N777" s="431"/>
      <c r="O777" s="431"/>
      <c r="P777" s="431"/>
      <c r="Q777" s="431"/>
      <c r="R777" s="431"/>
      <c r="S777" s="431"/>
      <c r="T777" s="431"/>
      <c r="U777" s="431"/>
      <c r="V777" s="431"/>
      <c r="W777" s="77"/>
      <c r="X777" s="77"/>
      <c r="Y777" s="77"/>
      <c r="Z777" s="77"/>
    </row>
    <row r="778" ht="16.5" customHeight="1">
      <c r="A778" s="75" t="s">
        <v>10560</v>
      </c>
      <c r="B778" s="75" t="s">
        <v>8163</v>
      </c>
      <c r="C778" s="8"/>
      <c r="D778" s="8"/>
      <c r="E778" s="8"/>
      <c r="F778" s="8"/>
      <c r="G778" s="8"/>
      <c r="H778" s="8"/>
      <c r="I778" s="8"/>
      <c r="J778" s="8"/>
      <c r="K778" s="8"/>
      <c r="L778" s="431"/>
      <c r="M778" s="431"/>
      <c r="N778" s="431"/>
      <c r="O778" s="431"/>
      <c r="P778" s="431"/>
      <c r="Q778" s="431"/>
      <c r="R778" s="431"/>
      <c r="S778" s="431"/>
      <c r="T778" s="431"/>
      <c r="U778" s="431"/>
      <c r="V778" s="431"/>
      <c r="W778" s="77"/>
      <c r="X778" s="77"/>
      <c r="Y778" s="77"/>
      <c r="Z778" s="77"/>
    </row>
    <row r="779" ht="16.5" customHeight="1">
      <c r="A779" s="429" t="s">
        <v>10561</v>
      </c>
      <c r="B779" s="429" t="s">
        <v>6900</v>
      </c>
      <c r="C779" s="432"/>
      <c r="D779" s="432"/>
      <c r="E779" s="432"/>
      <c r="F779" s="432"/>
      <c r="G779" s="432"/>
      <c r="H779" s="432"/>
      <c r="I779" s="432"/>
      <c r="J779" s="432"/>
      <c r="K779" s="432"/>
      <c r="L779" s="431"/>
      <c r="M779" s="431"/>
      <c r="N779" s="431"/>
      <c r="O779" s="431"/>
      <c r="P779" s="431"/>
      <c r="Q779" s="431"/>
      <c r="R779" s="431"/>
      <c r="S779" s="431"/>
      <c r="T779" s="431"/>
      <c r="U779" s="431"/>
      <c r="V779" s="431"/>
      <c r="W779" s="77"/>
      <c r="X779" s="77"/>
      <c r="Y779" s="77"/>
      <c r="Z779" s="77"/>
    </row>
    <row r="780" ht="16.5" customHeight="1">
      <c r="A780" s="429" t="s">
        <v>10562</v>
      </c>
      <c r="B780" s="429" t="s">
        <v>10563</v>
      </c>
      <c r="C780" s="432"/>
      <c r="D780" s="432"/>
      <c r="E780" s="432"/>
      <c r="F780" s="432"/>
      <c r="G780" s="432"/>
      <c r="H780" s="432"/>
      <c r="I780" s="432"/>
      <c r="J780" s="432"/>
      <c r="K780" s="432"/>
      <c r="L780" s="431"/>
      <c r="M780" s="431"/>
      <c r="N780" s="431"/>
      <c r="O780" s="431"/>
      <c r="P780" s="431"/>
      <c r="Q780" s="431"/>
      <c r="R780" s="431"/>
      <c r="S780" s="431"/>
      <c r="T780" s="431"/>
      <c r="U780" s="431"/>
      <c r="V780" s="431"/>
      <c r="W780" s="77"/>
      <c r="X780" s="77"/>
      <c r="Y780" s="77"/>
      <c r="Z780" s="77"/>
    </row>
    <row r="781" ht="16.5" customHeight="1">
      <c r="A781" s="429" t="s">
        <v>10564</v>
      </c>
      <c r="B781" s="429" t="s">
        <v>10243</v>
      </c>
      <c r="C781" s="432"/>
      <c r="D781" s="432"/>
      <c r="E781" s="432"/>
      <c r="F781" s="432"/>
      <c r="G781" s="432"/>
      <c r="H781" s="432"/>
      <c r="I781" s="432"/>
      <c r="J781" s="432"/>
      <c r="K781" s="432"/>
      <c r="L781" s="431"/>
      <c r="M781" s="431"/>
      <c r="N781" s="431"/>
      <c r="O781" s="431"/>
      <c r="P781" s="431"/>
      <c r="Q781" s="431"/>
      <c r="R781" s="431"/>
      <c r="S781" s="431"/>
      <c r="T781" s="431"/>
      <c r="U781" s="431"/>
      <c r="V781" s="431"/>
      <c r="W781" s="77"/>
      <c r="X781" s="77"/>
      <c r="Y781" s="77"/>
      <c r="Z781" s="77"/>
    </row>
    <row r="782" ht="16.5" customHeight="1">
      <c r="A782" s="429" t="s">
        <v>10565</v>
      </c>
      <c r="B782" s="429" t="s">
        <v>5985</v>
      </c>
      <c r="C782" s="432"/>
      <c r="D782" s="432"/>
      <c r="E782" s="432"/>
      <c r="F782" s="432"/>
      <c r="G782" s="432"/>
      <c r="H782" s="432"/>
      <c r="I782" s="432"/>
      <c r="J782" s="432"/>
      <c r="K782" s="432"/>
      <c r="L782" s="431"/>
      <c r="M782" s="431"/>
      <c r="N782" s="431"/>
      <c r="O782" s="431"/>
      <c r="P782" s="431"/>
      <c r="Q782" s="431"/>
      <c r="R782" s="431"/>
      <c r="S782" s="431"/>
      <c r="T782" s="431"/>
      <c r="U782" s="431"/>
      <c r="V782" s="431"/>
      <c r="W782" s="77"/>
      <c r="X782" s="77"/>
      <c r="Y782" s="77"/>
      <c r="Z782" s="77"/>
    </row>
    <row r="783" ht="16.5" customHeight="1">
      <c r="A783" s="429" t="s">
        <v>10566</v>
      </c>
      <c r="B783" s="429" t="s">
        <v>10567</v>
      </c>
      <c r="C783" s="432"/>
      <c r="D783" s="432"/>
      <c r="E783" s="432"/>
      <c r="F783" s="432"/>
      <c r="G783" s="432"/>
      <c r="H783" s="432"/>
      <c r="I783" s="432"/>
      <c r="J783" s="432"/>
      <c r="K783" s="432"/>
      <c r="L783" s="431"/>
      <c r="M783" s="431"/>
      <c r="N783" s="431"/>
      <c r="O783" s="431"/>
      <c r="P783" s="431"/>
      <c r="Q783" s="431"/>
      <c r="R783" s="431"/>
      <c r="S783" s="431"/>
      <c r="T783" s="431"/>
      <c r="U783" s="431"/>
      <c r="V783" s="431"/>
      <c r="W783" s="77"/>
      <c r="X783" s="77"/>
      <c r="Y783" s="77"/>
      <c r="Z783" s="77"/>
    </row>
    <row r="784" ht="16.5" customHeight="1">
      <c r="A784" s="429" t="s">
        <v>10568</v>
      </c>
      <c r="B784" s="429" t="s">
        <v>10569</v>
      </c>
      <c r="C784" s="432"/>
      <c r="D784" s="432"/>
      <c r="E784" s="432"/>
      <c r="F784" s="432"/>
      <c r="G784" s="432"/>
      <c r="H784" s="432"/>
      <c r="I784" s="432"/>
      <c r="J784" s="432"/>
      <c r="K784" s="432"/>
      <c r="L784" s="431"/>
      <c r="M784" s="431"/>
      <c r="N784" s="431"/>
      <c r="O784" s="431"/>
      <c r="P784" s="431"/>
      <c r="Q784" s="431"/>
      <c r="R784" s="431"/>
      <c r="S784" s="431"/>
      <c r="T784" s="431"/>
      <c r="U784" s="431"/>
      <c r="V784" s="431"/>
      <c r="W784" s="77"/>
      <c r="X784" s="77"/>
      <c r="Y784" s="77"/>
      <c r="Z784" s="77"/>
    </row>
    <row r="785" ht="16.5" customHeight="1">
      <c r="A785" s="429" t="s">
        <v>10570</v>
      </c>
      <c r="B785" s="429" t="s">
        <v>10571</v>
      </c>
      <c r="C785" s="432"/>
      <c r="D785" s="432"/>
      <c r="E785" s="432"/>
      <c r="F785" s="432"/>
      <c r="G785" s="432"/>
      <c r="H785" s="432"/>
      <c r="I785" s="432"/>
      <c r="J785" s="432"/>
      <c r="K785" s="432"/>
      <c r="L785" s="431"/>
      <c r="M785" s="431"/>
      <c r="N785" s="431"/>
      <c r="O785" s="431"/>
      <c r="P785" s="431"/>
      <c r="Q785" s="431"/>
      <c r="R785" s="431"/>
      <c r="S785" s="431"/>
      <c r="T785" s="431"/>
      <c r="U785" s="431"/>
      <c r="V785" s="431"/>
      <c r="W785" s="77"/>
      <c r="X785" s="77"/>
      <c r="Y785" s="77"/>
      <c r="Z785" s="77"/>
    </row>
    <row r="786" ht="16.5" customHeight="1">
      <c r="A786" s="423" t="s">
        <v>10572</v>
      </c>
      <c r="L786" s="431"/>
      <c r="M786" s="431"/>
      <c r="N786" s="431"/>
      <c r="O786" s="431"/>
      <c r="P786" s="431"/>
      <c r="Q786" s="431"/>
      <c r="R786" s="431"/>
      <c r="S786" s="431"/>
      <c r="T786" s="431"/>
      <c r="U786" s="431"/>
      <c r="V786" s="431"/>
      <c r="W786" s="77"/>
      <c r="X786" s="77"/>
      <c r="Y786" s="77"/>
      <c r="Z786" s="77"/>
    </row>
    <row r="787" ht="16.5" customHeight="1">
      <c r="A787" s="425" t="s">
        <v>9414</v>
      </c>
      <c r="B787" s="425" t="s">
        <v>9361</v>
      </c>
      <c r="C787" s="426" t="s">
        <v>9363</v>
      </c>
      <c r="L787" s="431"/>
      <c r="M787" s="431"/>
      <c r="N787" s="431"/>
      <c r="O787" s="431"/>
      <c r="P787" s="431"/>
      <c r="Q787" s="431"/>
      <c r="R787" s="431"/>
      <c r="S787" s="431"/>
      <c r="T787" s="431"/>
      <c r="U787" s="431"/>
      <c r="V787" s="431"/>
      <c r="W787" s="77"/>
      <c r="X787" s="77"/>
      <c r="Y787" s="77"/>
      <c r="Z787" s="77"/>
    </row>
    <row r="788" ht="16.5" customHeight="1">
      <c r="A788" s="428" t="s">
        <v>1787</v>
      </c>
      <c r="B788" s="428" t="s">
        <v>10425</v>
      </c>
      <c r="C788" s="427" t="s">
        <v>9365</v>
      </c>
      <c r="D788" s="427" t="s">
        <v>8952</v>
      </c>
      <c r="E788" s="427" t="s">
        <v>4702</v>
      </c>
      <c r="F788" s="427" t="s">
        <v>4703</v>
      </c>
      <c r="G788" s="427" t="s">
        <v>4320</v>
      </c>
      <c r="H788" s="427" t="s">
        <v>436</v>
      </c>
      <c r="I788" s="427" t="s">
        <v>4704</v>
      </c>
      <c r="J788" s="427" t="s">
        <v>135</v>
      </c>
      <c r="K788" s="427" t="s">
        <v>128</v>
      </c>
      <c r="L788" s="431"/>
      <c r="M788" s="431"/>
      <c r="N788" s="431"/>
      <c r="O788" s="431"/>
      <c r="P788" s="431"/>
      <c r="Q788" s="431"/>
      <c r="R788" s="431"/>
      <c r="S788" s="431"/>
      <c r="T788" s="431"/>
      <c r="U788" s="431"/>
      <c r="V788" s="431"/>
      <c r="W788" s="77"/>
      <c r="X788" s="77"/>
      <c r="Y788" s="77"/>
      <c r="Z788" s="77"/>
    </row>
    <row r="789" ht="16.5" customHeight="1">
      <c r="A789" s="75" t="s">
        <v>1864</v>
      </c>
      <c r="B789" s="75" t="s">
        <v>10573</v>
      </c>
      <c r="C789" s="4" t="s">
        <v>9441</v>
      </c>
      <c r="D789" s="4" t="s">
        <v>9109</v>
      </c>
      <c r="E789" s="4" t="s">
        <v>8917</v>
      </c>
      <c r="F789" s="4" t="s">
        <v>1871</v>
      </c>
      <c r="G789" s="4" t="s">
        <v>103</v>
      </c>
      <c r="H789" s="4" t="s">
        <v>6765</v>
      </c>
      <c r="I789" s="4" t="s">
        <v>10574</v>
      </c>
      <c r="J789" s="4" t="s">
        <v>7900</v>
      </c>
      <c r="K789" s="4" t="s">
        <v>10574</v>
      </c>
      <c r="L789" s="424"/>
      <c r="M789" s="424"/>
      <c r="N789" s="424"/>
      <c r="O789" s="431"/>
      <c r="P789" s="431"/>
      <c r="Q789" s="431"/>
      <c r="R789" s="431"/>
      <c r="S789" s="431"/>
      <c r="T789" s="431"/>
      <c r="U789" s="431"/>
      <c r="V789" s="431"/>
      <c r="W789" s="77"/>
      <c r="X789" s="77"/>
      <c r="Y789" s="77"/>
      <c r="Z789" s="77"/>
    </row>
    <row r="790" ht="16.5" customHeight="1">
      <c r="A790" s="75" t="s">
        <v>10541</v>
      </c>
      <c r="B790" s="75" t="s">
        <v>9368</v>
      </c>
      <c r="C790" s="108" t="s">
        <v>9694</v>
      </c>
      <c r="L790" s="424"/>
      <c r="M790" s="424"/>
      <c r="N790" s="424"/>
      <c r="O790" s="431"/>
      <c r="P790" s="431"/>
      <c r="Q790" s="431"/>
      <c r="R790" s="431"/>
      <c r="S790" s="431"/>
      <c r="T790" s="431"/>
      <c r="U790" s="431"/>
      <c r="V790" s="431"/>
      <c r="W790" s="77"/>
      <c r="X790" s="77"/>
      <c r="Y790" s="77"/>
      <c r="Z790" s="77"/>
    </row>
    <row r="791" ht="16.5" customHeight="1">
      <c r="A791" s="75" t="s">
        <v>1875</v>
      </c>
      <c r="B791" s="75" t="s">
        <v>4235</v>
      </c>
      <c r="C791" s="8"/>
      <c r="D791" s="8"/>
      <c r="E791" s="8"/>
      <c r="F791" s="8"/>
      <c r="G791" s="8"/>
      <c r="H791" s="8"/>
      <c r="I791" s="8"/>
      <c r="J791" s="8"/>
      <c r="K791" s="8"/>
      <c r="L791" s="424"/>
      <c r="M791" s="424"/>
      <c r="N791" s="424"/>
      <c r="O791" s="431"/>
      <c r="P791" s="431"/>
      <c r="Q791" s="431"/>
      <c r="R791" s="431"/>
      <c r="S791" s="431"/>
      <c r="T791" s="431"/>
      <c r="U791" s="431"/>
      <c r="V791" s="431"/>
      <c r="W791" s="77"/>
      <c r="X791" s="77"/>
      <c r="Y791" s="77"/>
      <c r="Z791" s="77"/>
    </row>
    <row r="792" ht="16.5" customHeight="1">
      <c r="A792" s="75" t="s">
        <v>10575</v>
      </c>
      <c r="B792" s="75" t="s">
        <v>8136</v>
      </c>
      <c r="C792" s="8"/>
      <c r="D792" s="8"/>
      <c r="E792" s="8"/>
      <c r="F792" s="8"/>
      <c r="G792" s="8"/>
      <c r="H792" s="8"/>
      <c r="I792" s="8"/>
      <c r="J792" s="8"/>
      <c r="K792" s="8"/>
      <c r="L792" s="424"/>
      <c r="M792" s="424"/>
      <c r="N792" s="424"/>
      <c r="O792" s="431"/>
      <c r="P792" s="431"/>
      <c r="Q792" s="431"/>
      <c r="R792" s="431"/>
      <c r="S792" s="431"/>
      <c r="T792" s="431"/>
      <c r="U792" s="431"/>
      <c r="V792" s="431"/>
      <c r="W792" s="77"/>
      <c r="X792" s="77"/>
      <c r="Y792" s="77"/>
      <c r="Z792" s="77"/>
    </row>
    <row r="793" ht="16.5" customHeight="1">
      <c r="A793" s="75" t="s">
        <v>1886</v>
      </c>
      <c r="B793" s="75" t="s">
        <v>10576</v>
      </c>
      <c r="C793" s="8"/>
      <c r="D793" s="8"/>
      <c r="E793" s="8"/>
      <c r="F793" s="8"/>
      <c r="G793" s="8"/>
      <c r="H793" s="8"/>
      <c r="I793" s="8"/>
      <c r="J793" s="8"/>
      <c r="K793" s="8"/>
      <c r="L793" s="424"/>
      <c r="M793" s="424"/>
      <c r="N793" s="424"/>
      <c r="O793" s="431"/>
      <c r="P793" s="431"/>
      <c r="Q793" s="431"/>
      <c r="R793" s="431"/>
      <c r="S793" s="431"/>
      <c r="T793" s="431"/>
      <c r="U793" s="431"/>
      <c r="V793" s="431"/>
      <c r="W793" s="77"/>
      <c r="X793" s="77"/>
      <c r="Y793" s="77"/>
      <c r="Z793" s="77"/>
    </row>
    <row r="794" ht="16.5" customHeight="1">
      <c r="A794" s="75" t="s">
        <v>1891</v>
      </c>
      <c r="B794" s="75" t="s">
        <v>10286</v>
      </c>
      <c r="C794" s="8"/>
      <c r="D794" s="8"/>
      <c r="E794" s="8"/>
      <c r="F794" s="8"/>
      <c r="G794" s="8"/>
      <c r="H794" s="8"/>
      <c r="I794" s="8"/>
      <c r="J794" s="8"/>
      <c r="K794" s="8"/>
      <c r="L794" s="424"/>
      <c r="M794" s="424"/>
      <c r="N794" s="424"/>
      <c r="O794" s="431"/>
      <c r="P794" s="431"/>
      <c r="Q794" s="431"/>
      <c r="R794" s="431"/>
      <c r="S794" s="431"/>
      <c r="T794" s="431"/>
      <c r="U794" s="431"/>
      <c r="V794" s="431"/>
      <c r="W794" s="77"/>
      <c r="X794" s="77"/>
      <c r="Y794" s="77"/>
      <c r="Z794" s="77"/>
    </row>
    <row r="795" ht="16.5" customHeight="1">
      <c r="A795" s="75" t="s">
        <v>9515</v>
      </c>
      <c r="B795" s="75" t="s">
        <v>6884</v>
      </c>
      <c r="L795" s="431"/>
      <c r="M795" s="431"/>
      <c r="N795" s="431"/>
      <c r="O795" s="431"/>
      <c r="P795" s="431"/>
      <c r="Q795" s="431"/>
      <c r="R795" s="431"/>
      <c r="S795" s="431"/>
      <c r="T795" s="431"/>
      <c r="U795" s="431"/>
      <c r="V795" s="431"/>
      <c r="W795" s="77"/>
      <c r="X795" s="77"/>
      <c r="Y795" s="77"/>
      <c r="Z795" s="77"/>
    </row>
    <row r="796" ht="16.5" customHeight="1">
      <c r="A796" s="75" t="s">
        <v>10577</v>
      </c>
      <c r="B796" s="75" t="s">
        <v>5287</v>
      </c>
      <c r="L796" s="431"/>
      <c r="M796" s="431"/>
      <c r="N796" s="431"/>
      <c r="O796" s="431"/>
      <c r="P796" s="431"/>
      <c r="Q796" s="431"/>
      <c r="R796" s="431"/>
      <c r="S796" s="431"/>
      <c r="T796" s="431"/>
      <c r="U796" s="431"/>
      <c r="V796" s="431"/>
      <c r="W796" s="77"/>
      <c r="X796" s="77"/>
      <c r="Y796" s="77"/>
      <c r="Z796" s="77"/>
    </row>
    <row r="797" ht="16.5" customHeight="1">
      <c r="A797" s="75" t="s">
        <v>9519</v>
      </c>
      <c r="B797" s="75" t="s">
        <v>10513</v>
      </c>
      <c r="L797" s="431"/>
      <c r="M797" s="431"/>
      <c r="N797" s="431"/>
      <c r="O797" s="431"/>
      <c r="P797" s="431"/>
      <c r="Q797" s="431"/>
      <c r="R797" s="431"/>
      <c r="S797" s="431"/>
      <c r="T797" s="431"/>
      <c r="U797" s="431"/>
      <c r="V797" s="431"/>
      <c r="W797" s="77"/>
      <c r="X797" s="77"/>
      <c r="Y797" s="77"/>
      <c r="Z797" s="77"/>
    </row>
    <row r="798" ht="16.5" customHeight="1">
      <c r="A798" s="75" t="s">
        <v>10544</v>
      </c>
      <c r="B798" s="75" t="s">
        <v>7733</v>
      </c>
      <c r="L798" s="431"/>
      <c r="M798" s="431"/>
      <c r="N798" s="431"/>
      <c r="O798" s="431"/>
      <c r="P798" s="431"/>
      <c r="Q798" s="431"/>
      <c r="R798" s="431"/>
      <c r="S798" s="431"/>
      <c r="T798" s="431"/>
      <c r="U798" s="431"/>
      <c r="V798" s="431"/>
      <c r="W798" s="77"/>
      <c r="X798" s="77"/>
      <c r="Y798" s="77"/>
      <c r="Z798" s="77"/>
    </row>
    <row r="799" ht="16.5" customHeight="1">
      <c r="A799" s="429" t="s">
        <v>10546</v>
      </c>
      <c r="B799" s="429" t="s">
        <v>9865</v>
      </c>
      <c r="C799" s="432"/>
      <c r="D799" s="432"/>
      <c r="E799" s="432"/>
      <c r="F799" s="432"/>
      <c r="G799" s="432"/>
      <c r="H799" s="432"/>
      <c r="I799" s="432"/>
      <c r="J799" s="432"/>
      <c r="K799" s="432"/>
      <c r="L799" s="431"/>
      <c r="M799" s="431"/>
      <c r="N799" s="431"/>
      <c r="O799" s="431"/>
      <c r="P799" s="431"/>
      <c r="Q799" s="431"/>
      <c r="R799" s="431"/>
      <c r="S799" s="431"/>
      <c r="T799" s="431"/>
      <c r="U799" s="431"/>
      <c r="V799" s="431"/>
      <c r="W799" s="77"/>
      <c r="X799" s="77"/>
      <c r="Y799" s="77"/>
      <c r="Z799" s="77"/>
    </row>
    <row r="800" ht="16.5" customHeight="1">
      <c r="A800" s="429" t="s">
        <v>9524</v>
      </c>
      <c r="B800" s="429" t="s">
        <v>9867</v>
      </c>
      <c r="C800" s="432"/>
      <c r="D800" s="432"/>
      <c r="E800" s="432"/>
      <c r="F800" s="432"/>
      <c r="G800" s="432"/>
      <c r="H800" s="432"/>
      <c r="I800" s="432"/>
      <c r="J800" s="432"/>
      <c r="K800" s="432"/>
      <c r="L800" s="431"/>
      <c r="M800" s="431"/>
      <c r="N800" s="431"/>
      <c r="O800" s="431"/>
      <c r="P800" s="431"/>
      <c r="Q800" s="431"/>
      <c r="R800" s="431"/>
      <c r="S800" s="431"/>
      <c r="T800" s="431"/>
      <c r="U800" s="431"/>
      <c r="V800" s="431"/>
      <c r="W800" s="77"/>
      <c r="X800" s="77"/>
      <c r="Y800" s="77"/>
      <c r="Z800" s="77"/>
    </row>
    <row r="801" ht="16.5" customHeight="1">
      <c r="A801" s="429" t="s">
        <v>9526</v>
      </c>
      <c r="B801" s="429" t="s">
        <v>10578</v>
      </c>
      <c r="C801" s="432"/>
      <c r="D801" s="432"/>
      <c r="E801" s="432"/>
      <c r="F801" s="432"/>
      <c r="G801" s="432"/>
      <c r="H801" s="432"/>
      <c r="I801" s="432"/>
      <c r="J801" s="432"/>
      <c r="K801" s="432"/>
      <c r="L801" s="431"/>
      <c r="M801" s="431"/>
      <c r="N801" s="431"/>
      <c r="O801" s="431"/>
      <c r="P801" s="431"/>
      <c r="Q801" s="431"/>
      <c r="R801" s="431"/>
      <c r="S801" s="431"/>
      <c r="T801" s="431"/>
      <c r="U801" s="431"/>
      <c r="V801" s="431"/>
      <c r="W801" s="77"/>
      <c r="X801" s="77"/>
      <c r="Y801" s="77"/>
      <c r="Z801" s="77"/>
    </row>
    <row r="802" ht="16.5" customHeight="1">
      <c r="A802" s="429" t="s">
        <v>9528</v>
      </c>
      <c r="B802" s="429" t="s">
        <v>9752</v>
      </c>
      <c r="C802" s="432"/>
      <c r="D802" s="432"/>
      <c r="E802" s="432"/>
      <c r="F802" s="432"/>
      <c r="G802" s="432"/>
      <c r="H802" s="432"/>
      <c r="I802" s="432"/>
      <c r="J802" s="432"/>
      <c r="K802" s="432"/>
      <c r="L802" s="431"/>
      <c r="M802" s="431"/>
      <c r="N802" s="431"/>
      <c r="O802" s="431"/>
      <c r="P802" s="431"/>
      <c r="Q802" s="431"/>
      <c r="R802" s="431"/>
      <c r="S802" s="431"/>
      <c r="T802" s="431"/>
      <c r="U802" s="431"/>
      <c r="V802" s="431"/>
      <c r="W802" s="77"/>
      <c r="X802" s="77"/>
      <c r="Y802" s="77"/>
      <c r="Z802" s="77"/>
    </row>
    <row r="803" ht="16.5" customHeight="1">
      <c r="A803" s="423" t="s">
        <v>10579</v>
      </c>
      <c r="L803" s="431"/>
      <c r="M803" s="431"/>
      <c r="N803" s="431"/>
      <c r="O803" s="431"/>
      <c r="P803" s="431"/>
      <c r="Q803" s="431"/>
      <c r="R803" s="431"/>
      <c r="S803" s="431"/>
      <c r="T803" s="431"/>
      <c r="U803" s="431"/>
      <c r="V803" s="431"/>
      <c r="W803" s="77"/>
      <c r="X803" s="77"/>
      <c r="Y803" s="77"/>
      <c r="Z803" s="77"/>
    </row>
    <row r="804" ht="16.5" customHeight="1">
      <c r="A804" s="425" t="s">
        <v>10580</v>
      </c>
      <c r="B804" s="425" t="s">
        <v>10581</v>
      </c>
      <c r="C804" s="426" t="s">
        <v>9363</v>
      </c>
      <c r="L804" s="431"/>
      <c r="M804" s="431"/>
      <c r="N804" s="431"/>
      <c r="O804" s="431"/>
      <c r="P804" s="431"/>
      <c r="Q804" s="431"/>
      <c r="R804" s="431"/>
      <c r="S804" s="431"/>
      <c r="T804" s="431"/>
      <c r="U804" s="431"/>
      <c r="V804" s="431"/>
      <c r="W804" s="77"/>
      <c r="X804" s="77"/>
      <c r="Y804" s="77"/>
      <c r="Z804" s="77"/>
    </row>
    <row r="805" ht="16.5" customHeight="1">
      <c r="A805" s="198" t="s">
        <v>8104</v>
      </c>
      <c r="B805" s="198" t="s">
        <v>3142</v>
      </c>
      <c r="C805" s="427" t="s">
        <v>9365</v>
      </c>
      <c r="D805" s="427" t="s">
        <v>8952</v>
      </c>
      <c r="E805" s="427" t="s">
        <v>4702</v>
      </c>
      <c r="F805" s="427" t="s">
        <v>4703</v>
      </c>
      <c r="G805" s="427" t="s">
        <v>4320</v>
      </c>
      <c r="H805" s="427" t="s">
        <v>436</v>
      </c>
      <c r="I805" s="427" t="s">
        <v>4704</v>
      </c>
      <c r="J805" s="427" t="s">
        <v>135</v>
      </c>
      <c r="K805" s="427" t="s">
        <v>128</v>
      </c>
      <c r="L805" s="431"/>
      <c r="M805" s="431"/>
      <c r="N805" s="431"/>
      <c r="O805" s="431"/>
      <c r="P805" s="431"/>
      <c r="Q805" s="431"/>
      <c r="R805" s="431"/>
      <c r="S805" s="431"/>
      <c r="T805" s="431"/>
      <c r="U805" s="431"/>
      <c r="V805" s="431"/>
      <c r="W805" s="77"/>
      <c r="X805" s="77"/>
      <c r="Y805" s="77"/>
      <c r="Z805" s="77"/>
    </row>
    <row r="806" ht="16.5" customHeight="1">
      <c r="A806" s="31" t="s">
        <v>3037</v>
      </c>
      <c r="B806" s="31" t="s">
        <v>6464</v>
      </c>
      <c r="C806" s="4" t="s">
        <v>9441</v>
      </c>
      <c r="D806" s="4" t="s">
        <v>9130</v>
      </c>
      <c r="E806" s="4" t="s">
        <v>8917</v>
      </c>
      <c r="F806" s="4" t="s">
        <v>10582</v>
      </c>
      <c r="G806" s="4" t="s">
        <v>13</v>
      </c>
      <c r="H806" s="4" t="s">
        <v>6288</v>
      </c>
      <c r="I806" s="4" t="s">
        <v>8569</v>
      </c>
      <c r="J806" s="4" t="s">
        <v>10583</v>
      </c>
      <c r="K806" s="4" t="s">
        <v>7871</v>
      </c>
      <c r="L806" s="431"/>
      <c r="M806" s="431"/>
      <c r="N806" s="431"/>
      <c r="O806" s="431"/>
      <c r="P806" s="431"/>
      <c r="Q806" s="431"/>
      <c r="R806" s="431"/>
      <c r="S806" s="431"/>
      <c r="T806" s="431"/>
      <c r="U806" s="431"/>
      <c r="V806" s="431"/>
      <c r="W806" s="77"/>
      <c r="X806" s="77"/>
      <c r="Y806" s="77"/>
      <c r="Z806" s="77"/>
    </row>
    <row r="807" ht="16.5" customHeight="1">
      <c r="A807" s="31" t="s">
        <v>10584</v>
      </c>
      <c r="B807" s="31" t="s">
        <v>10585</v>
      </c>
      <c r="C807" s="108" t="s">
        <v>10586</v>
      </c>
      <c r="L807" s="431"/>
      <c r="M807" s="431"/>
      <c r="N807" s="431"/>
      <c r="O807" s="431"/>
      <c r="P807" s="431"/>
      <c r="Q807" s="431"/>
      <c r="R807" s="431"/>
      <c r="S807" s="431"/>
      <c r="T807" s="431"/>
      <c r="U807" s="431"/>
      <c r="V807" s="431"/>
      <c r="W807" s="77"/>
      <c r="X807" s="77"/>
      <c r="Y807" s="77"/>
      <c r="Z807" s="77"/>
    </row>
    <row r="808" ht="16.5" customHeight="1">
      <c r="A808" s="31" t="s">
        <v>10587</v>
      </c>
      <c r="B808" s="31" t="s">
        <v>10588</v>
      </c>
      <c r="C808" s="8"/>
      <c r="D808" s="8"/>
      <c r="E808" s="8"/>
      <c r="F808" s="8"/>
      <c r="G808" s="8"/>
      <c r="H808" s="8"/>
      <c r="I808" s="8"/>
      <c r="J808" s="8"/>
      <c r="K808" s="8"/>
      <c r="L808" s="431"/>
      <c r="M808" s="431"/>
      <c r="N808" s="431"/>
      <c r="O808" s="431"/>
      <c r="P808" s="431"/>
      <c r="Q808" s="431"/>
      <c r="R808" s="431"/>
      <c r="S808" s="431"/>
      <c r="T808" s="431"/>
      <c r="U808" s="431"/>
      <c r="V808" s="431"/>
      <c r="W808" s="77"/>
      <c r="X808" s="77"/>
      <c r="Y808" s="77"/>
      <c r="Z808" s="77"/>
    </row>
    <row r="809" ht="16.5" customHeight="1">
      <c r="A809" s="31" t="s">
        <v>5268</v>
      </c>
      <c r="B809" s="31" t="s">
        <v>3317</v>
      </c>
      <c r="C809" s="8"/>
      <c r="D809" s="8"/>
      <c r="E809" s="8"/>
      <c r="F809" s="8"/>
      <c r="G809" s="8"/>
      <c r="H809" s="8"/>
      <c r="I809" s="8"/>
      <c r="J809" s="8"/>
      <c r="K809" s="8"/>
      <c r="L809" s="431"/>
      <c r="M809" s="431"/>
      <c r="N809" s="431"/>
      <c r="O809" s="431"/>
      <c r="P809" s="431"/>
      <c r="Q809" s="431"/>
      <c r="R809" s="431"/>
      <c r="S809" s="431"/>
      <c r="T809" s="431"/>
      <c r="U809" s="431"/>
      <c r="V809" s="431"/>
      <c r="W809" s="77"/>
      <c r="X809" s="77"/>
      <c r="Y809" s="77"/>
      <c r="Z809" s="77"/>
    </row>
    <row r="810" ht="16.5" customHeight="1">
      <c r="A810" s="31" t="s">
        <v>5273</v>
      </c>
      <c r="B810" s="31" t="s">
        <v>10589</v>
      </c>
      <c r="C810" s="8"/>
      <c r="D810" s="8"/>
      <c r="E810" s="8"/>
      <c r="F810" s="8"/>
      <c r="G810" s="8"/>
      <c r="H810" s="8"/>
      <c r="I810" s="8"/>
      <c r="J810" s="8"/>
      <c r="K810" s="8"/>
      <c r="L810" s="431"/>
      <c r="M810" s="431"/>
      <c r="N810" s="431"/>
      <c r="O810" s="431"/>
      <c r="P810" s="431"/>
      <c r="Q810" s="431"/>
      <c r="R810" s="431"/>
      <c r="S810" s="431"/>
      <c r="T810" s="431"/>
      <c r="U810" s="431"/>
      <c r="V810" s="431"/>
      <c r="W810" s="77"/>
      <c r="X810" s="77"/>
      <c r="Y810" s="77"/>
      <c r="Z810" s="77"/>
    </row>
    <row r="811" ht="16.5" customHeight="1">
      <c r="A811" s="31" t="s">
        <v>2979</v>
      </c>
      <c r="B811" s="31" t="s">
        <v>3262</v>
      </c>
      <c r="C811" s="8"/>
      <c r="D811" s="8"/>
      <c r="E811" s="8"/>
      <c r="F811" s="8"/>
      <c r="G811" s="8"/>
      <c r="H811" s="8"/>
      <c r="I811" s="8"/>
      <c r="J811" s="8"/>
      <c r="K811" s="8"/>
      <c r="L811" s="431"/>
      <c r="M811" s="431"/>
      <c r="N811" s="431"/>
      <c r="O811" s="431"/>
      <c r="P811" s="431"/>
      <c r="Q811" s="431"/>
      <c r="R811" s="431"/>
      <c r="S811" s="431"/>
      <c r="T811" s="431"/>
      <c r="U811" s="431"/>
      <c r="V811" s="431"/>
      <c r="W811" s="77"/>
      <c r="X811" s="77"/>
      <c r="Y811" s="77"/>
      <c r="Z811" s="77"/>
    </row>
    <row r="812">
      <c r="A812" s="31" t="s">
        <v>10590</v>
      </c>
      <c r="B812" s="31" t="s">
        <v>10591</v>
      </c>
      <c r="L812" s="431"/>
      <c r="M812" s="431"/>
      <c r="N812" s="431"/>
      <c r="O812" s="431"/>
      <c r="P812" s="431"/>
      <c r="Q812" s="431"/>
      <c r="R812" s="431"/>
      <c r="S812" s="431"/>
      <c r="T812" s="431"/>
      <c r="U812" s="431"/>
      <c r="V812" s="431"/>
      <c r="W812" s="77"/>
      <c r="X812" s="77"/>
      <c r="Y812" s="77"/>
      <c r="Z812" s="77"/>
    </row>
    <row r="813">
      <c r="A813" s="31" t="s">
        <v>10592</v>
      </c>
      <c r="B813" s="31" t="s">
        <v>10593</v>
      </c>
      <c r="L813" s="431"/>
      <c r="M813" s="431"/>
      <c r="N813" s="431"/>
      <c r="O813" s="431"/>
      <c r="P813" s="431"/>
      <c r="Q813" s="431"/>
      <c r="R813" s="431"/>
      <c r="S813" s="431"/>
      <c r="T813" s="431"/>
      <c r="U813" s="431"/>
      <c r="V813" s="431"/>
      <c r="W813" s="77"/>
      <c r="X813" s="77"/>
      <c r="Y813" s="77"/>
      <c r="Z813" s="77"/>
    </row>
    <row r="814">
      <c r="A814" s="31" t="s">
        <v>10594</v>
      </c>
      <c r="B814" s="31" t="s">
        <v>10595</v>
      </c>
      <c r="L814" s="431"/>
      <c r="M814" s="431"/>
      <c r="N814" s="431"/>
      <c r="O814" s="431"/>
      <c r="P814" s="431"/>
      <c r="Q814" s="431"/>
      <c r="R814" s="431"/>
      <c r="S814" s="431"/>
      <c r="T814" s="431"/>
      <c r="U814" s="431"/>
      <c r="V814" s="431"/>
      <c r="W814" s="77"/>
      <c r="X814" s="77"/>
      <c r="Y814" s="77"/>
      <c r="Z814" s="77"/>
    </row>
    <row r="815">
      <c r="A815" s="31" t="s">
        <v>10596</v>
      </c>
      <c r="B815" s="31" t="s">
        <v>10597</v>
      </c>
      <c r="L815" s="431"/>
      <c r="M815" s="431"/>
      <c r="N815" s="431"/>
      <c r="O815" s="431"/>
      <c r="P815" s="431"/>
      <c r="Q815" s="431"/>
      <c r="R815" s="431"/>
      <c r="S815" s="431"/>
      <c r="T815" s="431"/>
      <c r="U815" s="431"/>
      <c r="V815" s="431"/>
      <c r="W815" s="77"/>
      <c r="X815" s="77"/>
      <c r="Y815" s="77"/>
      <c r="Z815" s="77"/>
    </row>
    <row r="816">
      <c r="A816" s="31" t="s">
        <v>10598</v>
      </c>
      <c r="B816" s="31" t="s">
        <v>6420</v>
      </c>
      <c r="L816" s="431"/>
      <c r="M816" s="431"/>
      <c r="N816" s="431"/>
      <c r="O816" s="431"/>
      <c r="P816" s="431"/>
      <c r="Q816" s="431"/>
      <c r="R816" s="431"/>
      <c r="S816" s="431"/>
      <c r="T816" s="431"/>
      <c r="U816" s="431"/>
      <c r="V816" s="431"/>
      <c r="W816" s="77"/>
      <c r="X816" s="77"/>
      <c r="Y816" s="77"/>
      <c r="Z816" s="77"/>
    </row>
    <row r="817">
      <c r="A817" s="433" t="s">
        <v>10599</v>
      </c>
      <c r="L817" s="431"/>
      <c r="M817" s="431"/>
      <c r="N817" s="431"/>
      <c r="O817" s="431"/>
      <c r="P817" s="431"/>
      <c r="Q817" s="431"/>
      <c r="R817" s="431"/>
      <c r="S817" s="431"/>
      <c r="T817" s="431"/>
      <c r="U817" s="431"/>
      <c r="V817" s="431"/>
      <c r="W817" s="77"/>
      <c r="X817" s="77"/>
      <c r="Y817" s="77"/>
      <c r="Z817" s="77"/>
    </row>
    <row r="818">
      <c r="A818" s="340" t="s">
        <v>9533</v>
      </c>
      <c r="B818" s="340" t="s">
        <v>9415</v>
      </c>
      <c r="C818" s="340" t="s">
        <v>9363</v>
      </c>
      <c r="L818" s="431"/>
      <c r="M818" s="431"/>
      <c r="N818" s="431"/>
      <c r="O818" s="431"/>
      <c r="P818" s="431"/>
      <c r="Q818" s="431"/>
      <c r="R818" s="431"/>
      <c r="S818" s="431"/>
      <c r="T818" s="431"/>
      <c r="U818" s="431"/>
      <c r="V818" s="431"/>
      <c r="W818" s="77"/>
      <c r="X818" s="77"/>
      <c r="Y818" s="77"/>
      <c r="Z818" s="77"/>
    </row>
    <row r="819">
      <c r="A819" s="75" t="s">
        <v>10042</v>
      </c>
      <c r="B819" s="75" t="s">
        <v>2867</v>
      </c>
      <c r="C819" s="256" t="s">
        <v>9365</v>
      </c>
      <c r="D819" s="256" t="s">
        <v>8952</v>
      </c>
      <c r="E819" s="379" t="s">
        <v>4702</v>
      </c>
      <c r="F819" s="256" t="s">
        <v>4703</v>
      </c>
      <c r="G819" s="379" t="s">
        <v>4320</v>
      </c>
      <c r="H819" s="379" t="s">
        <v>436</v>
      </c>
      <c r="I819" s="379" t="s">
        <v>4704</v>
      </c>
      <c r="J819" s="379" t="s">
        <v>135</v>
      </c>
      <c r="K819" s="379" t="s">
        <v>128</v>
      </c>
      <c r="L819" s="431"/>
      <c r="M819" s="431"/>
      <c r="N819" s="431"/>
      <c r="O819" s="431"/>
      <c r="P819" s="431"/>
      <c r="Q819" s="431"/>
      <c r="R819" s="431"/>
      <c r="S819" s="431"/>
      <c r="T819" s="431"/>
      <c r="U819" s="431"/>
      <c r="V819" s="431"/>
      <c r="W819" s="77"/>
      <c r="X819" s="77"/>
      <c r="Y819" s="77"/>
      <c r="Z819" s="77"/>
    </row>
    <row r="820">
      <c r="A820" s="434" t="s">
        <v>2174</v>
      </c>
      <c r="B820" s="434" t="s">
        <v>9495</v>
      </c>
      <c r="C820" s="424" t="s">
        <v>9441</v>
      </c>
      <c r="D820" s="424" t="s">
        <v>9130</v>
      </c>
      <c r="E820" s="424" t="s">
        <v>8947</v>
      </c>
      <c r="F820" s="424" t="s">
        <v>10070</v>
      </c>
      <c r="G820" s="424" t="s">
        <v>115</v>
      </c>
      <c r="H820" s="424" t="s">
        <v>8066</v>
      </c>
      <c r="I820" s="424" t="s">
        <v>10600</v>
      </c>
      <c r="J820" s="424" t="s">
        <v>10227</v>
      </c>
      <c r="K820" s="424" t="s">
        <v>10600</v>
      </c>
      <c r="L820" s="424"/>
      <c r="M820" s="424"/>
      <c r="N820" s="424"/>
      <c r="O820" s="431"/>
      <c r="P820" s="431"/>
      <c r="Q820" s="431"/>
      <c r="R820" s="431"/>
      <c r="S820" s="431"/>
      <c r="T820" s="431"/>
      <c r="U820" s="431"/>
      <c r="V820" s="431"/>
      <c r="W820" s="77"/>
      <c r="X820" s="77"/>
      <c r="Y820" s="77"/>
      <c r="Z820" s="77"/>
    </row>
    <row r="821">
      <c r="A821" s="434" t="s">
        <v>2178</v>
      </c>
      <c r="B821" s="434" t="s">
        <v>9501</v>
      </c>
      <c r="C821" s="424" t="s">
        <v>9466</v>
      </c>
      <c r="D821" s="424" t="s">
        <v>9130</v>
      </c>
      <c r="E821" s="424" t="s">
        <v>8917</v>
      </c>
      <c r="F821" s="424" t="s">
        <v>10070</v>
      </c>
      <c r="G821" s="424" t="s">
        <v>109</v>
      </c>
      <c r="H821" s="424" t="s">
        <v>8066</v>
      </c>
      <c r="I821" s="424" t="s">
        <v>10483</v>
      </c>
      <c r="J821" s="424" t="s">
        <v>10600</v>
      </c>
      <c r="K821" s="424" t="s">
        <v>10227</v>
      </c>
      <c r="L821" s="424"/>
      <c r="M821" s="424"/>
      <c r="N821" s="424"/>
      <c r="O821" s="431"/>
      <c r="P821" s="431"/>
      <c r="Q821" s="431"/>
      <c r="R821" s="431"/>
      <c r="S821" s="431"/>
      <c r="T821" s="431"/>
      <c r="U821" s="431"/>
      <c r="V821" s="431"/>
      <c r="W821" s="77"/>
      <c r="X821" s="77"/>
      <c r="Y821" s="77"/>
      <c r="Z821" s="77"/>
    </row>
    <row r="822">
      <c r="A822" s="434" t="s">
        <v>9561</v>
      </c>
      <c r="B822" s="434" t="s">
        <v>9836</v>
      </c>
      <c r="C822" s="424" t="s">
        <v>9472</v>
      </c>
      <c r="D822" s="424" t="s">
        <v>9130</v>
      </c>
      <c r="E822" s="424" t="s">
        <v>9246</v>
      </c>
      <c r="F822" s="424" t="s">
        <v>10070</v>
      </c>
      <c r="G822" s="424" t="s">
        <v>109</v>
      </c>
      <c r="H822" s="424" t="s">
        <v>8066</v>
      </c>
      <c r="I822" s="424" t="s">
        <v>10483</v>
      </c>
      <c r="J822" s="424" t="s">
        <v>10466</v>
      </c>
      <c r="K822" s="424" t="s">
        <v>10484</v>
      </c>
      <c r="L822" s="424"/>
      <c r="M822" s="424"/>
      <c r="N822" s="424"/>
      <c r="O822" s="431"/>
      <c r="P822" s="431"/>
      <c r="Q822" s="431"/>
      <c r="R822" s="431"/>
      <c r="S822" s="431"/>
      <c r="T822" s="431"/>
      <c r="U822" s="431"/>
      <c r="V822" s="431"/>
      <c r="W822" s="77"/>
      <c r="X822" s="77"/>
      <c r="Y822" s="77"/>
      <c r="Z822" s="77"/>
    </row>
    <row r="823">
      <c r="A823" s="434" t="s">
        <v>10060</v>
      </c>
      <c r="B823" s="434" t="s">
        <v>10601</v>
      </c>
      <c r="C823" s="108" t="s">
        <v>10488</v>
      </c>
      <c r="L823" s="424"/>
      <c r="M823" s="424"/>
      <c r="N823" s="424"/>
      <c r="O823" s="431"/>
      <c r="P823" s="431"/>
      <c r="Q823" s="431"/>
      <c r="R823" s="431"/>
      <c r="S823" s="431"/>
      <c r="T823" s="431"/>
      <c r="U823" s="431"/>
      <c r="V823" s="431"/>
      <c r="W823" s="77"/>
      <c r="X823" s="77"/>
      <c r="Y823" s="77"/>
      <c r="Z823" s="77"/>
    </row>
    <row r="824">
      <c r="A824" s="434" t="s">
        <v>10602</v>
      </c>
      <c r="B824" s="434" t="s">
        <v>10603</v>
      </c>
      <c r="C824" s="424"/>
      <c r="D824" s="424"/>
      <c r="E824" s="424"/>
      <c r="F824" s="424"/>
      <c r="G824" s="424"/>
      <c r="H824" s="424"/>
      <c r="I824" s="424"/>
      <c r="J824" s="424"/>
      <c r="K824" s="424"/>
      <c r="L824" s="424"/>
      <c r="M824" s="424"/>
      <c r="N824" s="424"/>
      <c r="O824" s="431"/>
      <c r="P824" s="431"/>
      <c r="Q824" s="431"/>
      <c r="R824" s="431"/>
      <c r="S824" s="431"/>
      <c r="T824" s="431"/>
      <c r="U824" s="431"/>
      <c r="V824" s="431"/>
      <c r="W824" s="77"/>
      <c r="X824" s="77"/>
      <c r="Y824" s="77"/>
      <c r="Z824" s="77"/>
    </row>
    <row r="825">
      <c r="A825" s="434" t="s">
        <v>10604</v>
      </c>
      <c r="B825" s="434" t="s">
        <v>10605</v>
      </c>
      <c r="C825" s="424"/>
      <c r="D825" s="424"/>
      <c r="E825" s="424"/>
      <c r="F825" s="424"/>
      <c r="G825" s="424"/>
      <c r="H825" s="424"/>
      <c r="I825" s="424"/>
      <c r="J825" s="424"/>
      <c r="K825" s="424"/>
      <c r="L825" s="424"/>
      <c r="M825" s="424"/>
      <c r="N825" s="424"/>
      <c r="O825" s="431"/>
      <c r="P825" s="431"/>
      <c r="Q825" s="431"/>
      <c r="R825" s="431"/>
      <c r="S825" s="431"/>
      <c r="T825" s="431"/>
      <c r="U825" s="431"/>
      <c r="V825" s="431"/>
      <c r="W825" s="77"/>
      <c r="X825" s="77"/>
      <c r="Y825" s="77"/>
      <c r="Z825" s="77"/>
    </row>
    <row r="826">
      <c r="A826" s="434" t="s">
        <v>10606</v>
      </c>
      <c r="B826" s="434" t="s">
        <v>10607</v>
      </c>
      <c r="C826" s="424"/>
      <c r="D826" s="424"/>
      <c r="E826" s="424"/>
      <c r="F826" s="424"/>
      <c r="G826" s="424"/>
      <c r="H826" s="424"/>
      <c r="I826" s="424"/>
      <c r="J826" s="424"/>
      <c r="K826" s="424"/>
      <c r="L826" s="424"/>
      <c r="M826" s="424"/>
      <c r="N826" s="424"/>
      <c r="O826" s="431"/>
      <c r="P826" s="431"/>
      <c r="Q826" s="431"/>
      <c r="R826" s="431"/>
      <c r="S826" s="431"/>
      <c r="T826" s="431"/>
      <c r="U826" s="431"/>
      <c r="V826" s="431"/>
      <c r="W826" s="77"/>
      <c r="X826" s="77"/>
      <c r="Y826" s="77"/>
      <c r="Z826" s="77"/>
    </row>
    <row r="827">
      <c r="A827" s="434" t="s">
        <v>10608</v>
      </c>
      <c r="B827" s="434" t="s">
        <v>10609</v>
      </c>
      <c r="C827" s="431"/>
      <c r="D827" s="431"/>
      <c r="E827" s="431"/>
      <c r="F827" s="431"/>
      <c r="G827" s="431"/>
      <c r="H827" s="431"/>
      <c r="I827" s="431"/>
      <c r="J827" s="431"/>
      <c r="K827" s="431"/>
      <c r="L827" s="431"/>
      <c r="M827" s="431"/>
      <c r="N827" s="431"/>
      <c r="O827" s="431"/>
      <c r="P827" s="431"/>
      <c r="Q827" s="431"/>
      <c r="R827" s="431"/>
      <c r="S827" s="431"/>
      <c r="T827" s="431"/>
      <c r="U827" s="431"/>
      <c r="V827" s="431"/>
      <c r="W827" s="77"/>
      <c r="X827" s="77"/>
      <c r="Y827" s="77"/>
      <c r="Z827" s="77"/>
    </row>
    <row r="828">
      <c r="A828" s="434" t="s">
        <v>10087</v>
      </c>
      <c r="B828" s="434" t="s">
        <v>10610</v>
      </c>
      <c r="C828" s="431"/>
      <c r="D828" s="431"/>
      <c r="E828" s="431"/>
      <c r="F828" s="431"/>
      <c r="G828" s="431"/>
      <c r="H828" s="431"/>
      <c r="I828" s="431"/>
      <c r="J828" s="431"/>
      <c r="K828" s="431"/>
      <c r="L828" s="431"/>
      <c r="M828" s="431"/>
      <c r="N828" s="431"/>
      <c r="O828" s="431"/>
      <c r="P828" s="431"/>
      <c r="Q828" s="431"/>
      <c r="R828" s="431"/>
      <c r="S828" s="431"/>
      <c r="T828" s="431"/>
      <c r="U828" s="431"/>
      <c r="V828" s="431"/>
      <c r="W828" s="77"/>
      <c r="X828" s="77"/>
      <c r="Y828" s="77"/>
      <c r="Z828" s="77"/>
    </row>
    <row r="829">
      <c r="A829" s="434" t="s">
        <v>10611</v>
      </c>
      <c r="B829" s="434" t="s">
        <v>9433</v>
      </c>
      <c r="C829" s="431"/>
      <c r="D829" s="431"/>
      <c r="E829" s="431"/>
      <c r="F829" s="431"/>
      <c r="G829" s="431"/>
      <c r="H829" s="431"/>
      <c r="I829" s="431"/>
      <c r="J829" s="431"/>
      <c r="K829" s="431"/>
      <c r="L829" s="431"/>
      <c r="M829" s="431"/>
      <c r="N829" s="431"/>
      <c r="O829" s="431"/>
      <c r="P829" s="431"/>
      <c r="Q829" s="431"/>
      <c r="R829" s="431"/>
      <c r="S829" s="431"/>
      <c r="T829" s="431"/>
      <c r="U829" s="431"/>
      <c r="V829" s="431"/>
      <c r="W829" s="77"/>
      <c r="X829" s="77"/>
      <c r="Y829" s="77"/>
      <c r="Z829" s="77"/>
    </row>
    <row r="830">
      <c r="A830" s="434" t="s">
        <v>10612</v>
      </c>
      <c r="B830" s="434" t="s">
        <v>10613</v>
      </c>
      <c r="C830" s="431"/>
      <c r="D830" s="431"/>
      <c r="E830" s="431"/>
      <c r="F830" s="431"/>
      <c r="G830" s="431"/>
      <c r="H830" s="431"/>
      <c r="I830" s="431"/>
      <c r="J830" s="431"/>
      <c r="K830" s="431"/>
      <c r="L830" s="431"/>
      <c r="M830" s="431"/>
      <c r="N830" s="431"/>
      <c r="O830" s="431"/>
      <c r="P830" s="431"/>
      <c r="Q830" s="431"/>
      <c r="R830" s="431"/>
      <c r="S830" s="431"/>
      <c r="T830" s="431"/>
      <c r="U830" s="431"/>
      <c r="V830" s="431"/>
      <c r="W830" s="77"/>
      <c r="X830" s="77"/>
      <c r="Y830" s="77"/>
      <c r="Z830" s="77"/>
    </row>
    <row r="831">
      <c r="A831" s="433" t="s">
        <v>10614</v>
      </c>
      <c r="L831" s="431"/>
      <c r="M831" s="431"/>
      <c r="N831" s="431"/>
      <c r="O831" s="431"/>
      <c r="P831" s="431"/>
      <c r="Q831" s="431"/>
      <c r="R831" s="431"/>
      <c r="S831" s="431"/>
      <c r="T831" s="431"/>
      <c r="U831" s="431"/>
      <c r="V831" s="431"/>
      <c r="W831" s="77"/>
      <c r="X831" s="77"/>
      <c r="Y831" s="77"/>
      <c r="Z831" s="77"/>
    </row>
    <row r="832">
      <c r="A832" s="340" t="s">
        <v>9929</v>
      </c>
      <c r="B832" s="340" t="s">
        <v>10615</v>
      </c>
      <c r="C832" s="340" t="s">
        <v>9363</v>
      </c>
      <c r="L832" s="431"/>
      <c r="M832" s="431"/>
      <c r="N832" s="431"/>
      <c r="O832" s="431"/>
      <c r="P832" s="431"/>
      <c r="Q832" s="431"/>
      <c r="R832" s="431"/>
      <c r="S832" s="431"/>
      <c r="T832" s="431"/>
      <c r="U832" s="431"/>
      <c r="V832" s="431"/>
      <c r="W832" s="77"/>
      <c r="X832" s="77"/>
      <c r="Y832" s="77"/>
      <c r="Z832" s="77"/>
    </row>
    <row r="833">
      <c r="A833" s="75" t="s">
        <v>1327</v>
      </c>
      <c r="B833" s="75" t="s">
        <v>10616</v>
      </c>
      <c r="C833" s="256" t="s">
        <v>9365</v>
      </c>
      <c r="D833" s="256" t="s">
        <v>8952</v>
      </c>
      <c r="E833" s="379" t="s">
        <v>4702</v>
      </c>
      <c r="F833" s="256" t="s">
        <v>4703</v>
      </c>
      <c r="G833" s="379" t="s">
        <v>4320</v>
      </c>
      <c r="H833" s="379" t="s">
        <v>436</v>
      </c>
      <c r="I833" s="379" t="s">
        <v>4704</v>
      </c>
      <c r="J833" s="379" t="s">
        <v>135</v>
      </c>
      <c r="K833" s="379" t="s">
        <v>128</v>
      </c>
      <c r="L833" s="431"/>
      <c r="W833" s="77"/>
      <c r="X833" s="77"/>
      <c r="Y833" s="77"/>
      <c r="Z833" s="77"/>
    </row>
    <row r="834">
      <c r="A834" s="434" t="s">
        <v>1329</v>
      </c>
      <c r="B834" s="434" t="s">
        <v>2649</v>
      </c>
      <c r="C834" s="424" t="s">
        <v>9441</v>
      </c>
      <c r="D834" s="424" t="s">
        <v>9109</v>
      </c>
      <c r="E834" s="424" t="s">
        <v>8947</v>
      </c>
      <c r="F834" s="424" t="s">
        <v>10399</v>
      </c>
      <c r="G834" s="424" t="s">
        <v>6</v>
      </c>
      <c r="H834" s="424" t="s">
        <v>175</v>
      </c>
      <c r="I834" s="424" t="s">
        <v>10617</v>
      </c>
      <c r="J834" s="424" t="s">
        <v>10618</v>
      </c>
      <c r="K834" s="424" t="s">
        <v>10617</v>
      </c>
      <c r="L834" s="255"/>
      <c r="M834" s="255"/>
      <c r="N834" s="12"/>
      <c r="W834" s="77"/>
      <c r="X834" s="77"/>
      <c r="Y834" s="77"/>
      <c r="Z834" s="77"/>
    </row>
    <row r="835">
      <c r="A835" s="434" t="s">
        <v>1336</v>
      </c>
      <c r="B835" s="434" t="s">
        <v>2730</v>
      </c>
      <c r="C835" s="424"/>
      <c r="D835" s="424"/>
      <c r="E835" s="424"/>
      <c r="F835" s="424"/>
      <c r="G835" s="424"/>
      <c r="H835" s="424"/>
      <c r="I835" s="424"/>
      <c r="J835" s="424"/>
      <c r="K835" s="424"/>
      <c r="L835" s="26"/>
      <c r="M835" s="26"/>
      <c r="N835" s="12"/>
      <c r="O835" s="12"/>
      <c r="P835" s="435"/>
      <c r="Q835" s="12"/>
      <c r="R835" s="435"/>
      <c r="S835" s="435"/>
      <c r="T835" s="435"/>
      <c r="U835" s="435"/>
      <c r="V835" s="435"/>
      <c r="W835" s="77"/>
      <c r="X835" s="77"/>
      <c r="Y835" s="77"/>
      <c r="Z835" s="77"/>
    </row>
    <row r="836">
      <c r="A836" s="434" t="s">
        <v>1346</v>
      </c>
      <c r="B836" s="434" t="s">
        <v>10619</v>
      </c>
      <c r="C836" s="424"/>
      <c r="D836" s="424"/>
      <c r="E836" s="424"/>
      <c r="F836" s="424"/>
      <c r="G836" s="424"/>
      <c r="H836" s="424"/>
      <c r="I836" s="424"/>
      <c r="J836" s="424"/>
      <c r="K836" s="424"/>
      <c r="L836" s="9"/>
      <c r="M836" s="9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434" t="s">
        <v>1355</v>
      </c>
      <c r="B837" s="434" t="s">
        <v>10620</v>
      </c>
      <c r="C837" s="424"/>
      <c r="D837" s="424"/>
      <c r="E837" s="424"/>
      <c r="F837" s="424"/>
      <c r="G837" s="424"/>
      <c r="H837" s="424"/>
      <c r="I837" s="424"/>
      <c r="J837" s="424"/>
      <c r="K837" s="424"/>
      <c r="L837" s="9"/>
      <c r="M837" s="9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5" t="s">
        <v>10621</v>
      </c>
      <c r="B838" s="75" t="s">
        <v>10622</v>
      </c>
      <c r="C838" s="8"/>
      <c r="D838" s="8"/>
      <c r="E838" s="8"/>
      <c r="F838" s="8"/>
      <c r="G838" s="8"/>
      <c r="H838" s="8"/>
      <c r="I838" s="8"/>
      <c r="J838" s="8"/>
      <c r="K838" s="8"/>
      <c r="L838" s="9"/>
      <c r="M838" s="9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5" t="s">
        <v>10623</v>
      </c>
      <c r="B839" s="75" t="s">
        <v>10624</v>
      </c>
      <c r="C839" s="8"/>
      <c r="D839" s="8"/>
      <c r="E839" s="8"/>
      <c r="F839" s="8"/>
      <c r="G839" s="8"/>
      <c r="H839" s="8"/>
      <c r="I839" s="8"/>
      <c r="J839" s="8"/>
      <c r="K839" s="8"/>
      <c r="L839" s="9"/>
      <c r="M839" s="9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5" t="s">
        <v>10625</v>
      </c>
      <c r="B840" s="75" t="s">
        <v>10626</v>
      </c>
      <c r="C840" s="8"/>
      <c r="D840" s="8"/>
      <c r="E840" s="8"/>
      <c r="F840" s="8"/>
      <c r="G840" s="8"/>
      <c r="H840" s="8"/>
      <c r="I840" s="8"/>
      <c r="J840" s="8"/>
      <c r="K840" s="8"/>
      <c r="L840" s="9"/>
      <c r="M840" s="9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434" t="s">
        <v>10276</v>
      </c>
      <c r="B841" s="434" t="s">
        <v>10627</v>
      </c>
      <c r="C841" s="424"/>
      <c r="D841" s="424"/>
      <c r="E841" s="424"/>
      <c r="F841" s="424"/>
      <c r="G841" s="424"/>
      <c r="H841" s="424"/>
      <c r="I841" s="424"/>
      <c r="J841" s="424"/>
      <c r="K841" s="424"/>
      <c r="L841" s="9"/>
      <c r="M841" s="9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434" t="s">
        <v>10277</v>
      </c>
      <c r="B842" s="434" t="s">
        <v>10628</v>
      </c>
      <c r="C842" s="424"/>
      <c r="D842" s="424"/>
      <c r="E842" s="424"/>
      <c r="F842" s="424"/>
      <c r="G842" s="424"/>
      <c r="H842" s="424"/>
      <c r="I842" s="424"/>
      <c r="J842" s="424"/>
      <c r="K842" s="424"/>
      <c r="L842" s="9"/>
      <c r="M842" s="9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434" t="s">
        <v>10278</v>
      </c>
      <c r="B843" s="434" t="s">
        <v>10629</v>
      </c>
      <c r="C843" s="424"/>
      <c r="D843" s="424"/>
      <c r="E843" s="424"/>
      <c r="F843" s="424"/>
      <c r="G843" s="424"/>
      <c r="H843" s="424"/>
      <c r="I843" s="424"/>
      <c r="J843" s="424"/>
      <c r="K843" s="424"/>
      <c r="L843" s="9"/>
      <c r="M843" s="9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434" t="s">
        <v>10279</v>
      </c>
      <c r="B844" s="434" t="s">
        <v>10630</v>
      </c>
      <c r="C844" s="424"/>
      <c r="D844" s="424"/>
      <c r="E844" s="424"/>
      <c r="F844" s="424"/>
      <c r="G844" s="424"/>
      <c r="H844" s="424"/>
      <c r="I844" s="424"/>
      <c r="J844" s="424"/>
      <c r="K844" s="424"/>
      <c r="L844" s="9"/>
      <c r="M844" s="9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434" t="s">
        <v>10280</v>
      </c>
      <c r="B845" s="434" t="s">
        <v>10631</v>
      </c>
      <c r="C845" s="424"/>
      <c r="D845" s="424"/>
      <c r="E845" s="424"/>
      <c r="F845" s="424"/>
      <c r="G845" s="424"/>
      <c r="H845" s="424"/>
      <c r="I845" s="424"/>
      <c r="J845" s="424"/>
      <c r="K845" s="424"/>
      <c r="L845" s="9"/>
      <c r="M845" s="9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434" t="s">
        <v>10632</v>
      </c>
      <c r="B846" s="434" t="s">
        <v>10633</v>
      </c>
      <c r="C846" s="431"/>
      <c r="D846" s="431"/>
      <c r="E846" s="431"/>
      <c r="F846" s="431"/>
      <c r="G846" s="431"/>
      <c r="H846" s="431"/>
      <c r="I846" s="431"/>
      <c r="J846" s="431"/>
      <c r="K846" s="431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434" t="s">
        <v>10282</v>
      </c>
      <c r="B847" s="434" t="s">
        <v>10634</v>
      </c>
      <c r="C847" s="431"/>
      <c r="D847" s="431"/>
      <c r="E847" s="431"/>
      <c r="F847" s="431"/>
      <c r="G847" s="431"/>
      <c r="H847" s="431"/>
      <c r="I847" s="431"/>
      <c r="J847" s="431"/>
      <c r="K847" s="431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433" t="s">
        <v>10635</v>
      </c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340" t="s">
        <v>9534</v>
      </c>
      <c r="B849" s="340" t="s">
        <v>10165</v>
      </c>
      <c r="C849" s="340" t="s">
        <v>9363</v>
      </c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5" t="s">
        <v>2057</v>
      </c>
      <c r="B850" s="75" t="s">
        <v>387</v>
      </c>
      <c r="C850" s="256" t="s">
        <v>9365</v>
      </c>
      <c r="D850" s="256" t="s">
        <v>8952</v>
      </c>
      <c r="E850" s="379" t="s">
        <v>4702</v>
      </c>
      <c r="F850" s="256" t="s">
        <v>4703</v>
      </c>
      <c r="G850" s="379" t="s">
        <v>4320</v>
      </c>
      <c r="H850" s="379" t="s">
        <v>436</v>
      </c>
      <c r="I850" s="379" t="s">
        <v>4704</v>
      </c>
      <c r="J850" s="379" t="s">
        <v>135</v>
      </c>
      <c r="K850" s="379" t="s">
        <v>128</v>
      </c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5" t="s">
        <v>10636</v>
      </c>
      <c r="B851" s="31" t="s">
        <v>10167</v>
      </c>
      <c r="C851" s="4" t="s">
        <v>9441</v>
      </c>
      <c r="D851" s="4" t="s">
        <v>9253</v>
      </c>
      <c r="E851" s="4" t="s">
        <v>8947</v>
      </c>
      <c r="F851" s="4" t="s">
        <v>10637</v>
      </c>
      <c r="G851" s="4" t="s">
        <v>106</v>
      </c>
      <c r="H851" s="4" t="s">
        <v>10638</v>
      </c>
      <c r="I851" s="4" t="s">
        <v>10355</v>
      </c>
      <c r="J851" s="4" t="s">
        <v>10355</v>
      </c>
      <c r="K851" s="4" t="s">
        <v>10639</v>
      </c>
      <c r="L851" s="9"/>
      <c r="M851" s="9"/>
      <c r="N851" s="9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5" t="s">
        <v>10640</v>
      </c>
      <c r="B852" s="31" t="s">
        <v>10641</v>
      </c>
      <c r="C852" s="4" t="s">
        <v>9466</v>
      </c>
      <c r="D852" s="4" t="s">
        <v>9253</v>
      </c>
      <c r="E852" s="4" t="s">
        <v>9246</v>
      </c>
      <c r="F852" s="4" t="s">
        <v>10637</v>
      </c>
      <c r="G852" s="4" t="s">
        <v>120</v>
      </c>
      <c r="H852" s="4" t="s">
        <v>10642</v>
      </c>
      <c r="I852" s="4" t="s">
        <v>10643</v>
      </c>
      <c r="J852" s="4" t="s">
        <v>10644</v>
      </c>
      <c r="K852" s="4" t="s">
        <v>10643</v>
      </c>
      <c r="L852" s="9"/>
      <c r="M852" s="9"/>
      <c r="N852" s="9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5" t="s">
        <v>10645</v>
      </c>
      <c r="B853" s="31" t="s">
        <v>10177</v>
      </c>
      <c r="C853" s="4" t="s">
        <v>9472</v>
      </c>
      <c r="D853" s="4" t="s">
        <v>9253</v>
      </c>
      <c r="E853" s="4" t="s">
        <v>10370</v>
      </c>
      <c r="F853" s="4" t="s">
        <v>10637</v>
      </c>
      <c r="G853" s="4" t="s">
        <v>120</v>
      </c>
      <c r="H853" s="4" t="s">
        <v>158</v>
      </c>
      <c r="I853" s="4" t="s">
        <v>10058</v>
      </c>
      <c r="J853" s="4" t="s">
        <v>10646</v>
      </c>
      <c r="K853" s="4" t="s">
        <v>10349</v>
      </c>
      <c r="L853" s="9"/>
      <c r="M853" s="9"/>
      <c r="N853" s="9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5" t="s">
        <v>10647</v>
      </c>
      <c r="B854" s="31" t="s">
        <v>10648</v>
      </c>
      <c r="C854" s="108" t="s">
        <v>9839</v>
      </c>
      <c r="L854" s="9"/>
      <c r="M854" s="9"/>
      <c r="N854" s="9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5" t="s">
        <v>10649</v>
      </c>
      <c r="B855" s="31" t="s">
        <v>10650</v>
      </c>
      <c r="C855" s="8"/>
      <c r="D855" s="8"/>
      <c r="E855" s="8"/>
      <c r="F855" s="8"/>
      <c r="G855" s="8"/>
      <c r="H855" s="8"/>
      <c r="I855" s="8"/>
      <c r="J855" s="8"/>
      <c r="K855" s="8"/>
      <c r="L855" s="9"/>
      <c r="M855" s="9"/>
      <c r="N855" s="9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5" t="s">
        <v>10651</v>
      </c>
      <c r="B856" s="31" t="s">
        <v>10184</v>
      </c>
      <c r="C856" s="8"/>
      <c r="D856" s="8"/>
      <c r="E856" s="8"/>
      <c r="F856" s="8"/>
      <c r="G856" s="8"/>
      <c r="H856" s="8"/>
      <c r="I856" s="8"/>
      <c r="J856" s="8"/>
      <c r="K856" s="8"/>
      <c r="L856" s="9"/>
      <c r="M856" s="9"/>
      <c r="N856" s="9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5" t="s">
        <v>10652</v>
      </c>
      <c r="B857" s="31" t="s">
        <v>406</v>
      </c>
      <c r="C857" s="8"/>
      <c r="D857" s="8"/>
      <c r="E857" s="8"/>
      <c r="F857" s="8"/>
      <c r="G857" s="8"/>
      <c r="H857" s="8"/>
      <c r="I857" s="8"/>
      <c r="J857" s="8"/>
      <c r="K857" s="8"/>
      <c r="L857" s="9"/>
      <c r="M857" s="9"/>
      <c r="N857" s="9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434" t="s">
        <v>10653</v>
      </c>
      <c r="B858" s="431"/>
      <c r="C858" s="431"/>
      <c r="D858" s="431"/>
      <c r="E858" s="431"/>
      <c r="F858" s="431"/>
      <c r="G858" s="431"/>
      <c r="H858" s="431"/>
      <c r="I858" s="431"/>
      <c r="J858" s="431"/>
      <c r="K858" s="431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434" t="s">
        <v>10654</v>
      </c>
      <c r="B859" s="431"/>
      <c r="C859" s="431"/>
      <c r="D859" s="431"/>
      <c r="E859" s="431"/>
      <c r="F859" s="431"/>
      <c r="G859" s="431"/>
      <c r="H859" s="431"/>
      <c r="I859" s="431"/>
      <c r="J859" s="431"/>
      <c r="K859" s="431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433" t="s">
        <v>10655</v>
      </c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340" t="s">
        <v>9361</v>
      </c>
      <c r="B861" s="340" t="s">
        <v>9532</v>
      </c>
      <c r="C861" s="340" t="s">
        <v>9363</v>
      </c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5" t="s">
        <v>10425</v>
      </c>
      <c r="B862" s="75" t="s">
        <v>7948</v>
      </c>
      <c r="C862" s="256" t="s">
        <v>9365</v>
      </c>
      <c r="D862" s="256" t="s">
        <v>8952</v>
      </c>
      <c r="E862" s="379" t="s">
        <v>4702</v>
      </c>
      <c r="F862" s="256" t="s">
        <v>4703</v>
      </c>
      <c r="G862" s="379" t="s">
        <v>4320</v>
      </c>
      <c r="H862" s="379" t="s">
        <v>436</v>
      </c>
      <c r="I862" s="379" t="s">
        <v>4704</v>
      </c>
      <c r="J862" s="379" t="s">
        <v>135</v>
      </c>
      <c r="K862" s="379" t="s">
        <v>128</v>
      </c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31" t="s">
        <v>10656</v>
      </c>
      <c r="B863" s="31" t="s">
        <v>10657</v>
      </c>
      <c r="C863" s="4" t="s">
        <v>9441</v>
      </c>
      <c r="D863" s="4" t="s">
        <v>9109</v>
      </c>
      <c r="E863" s="4" t="s">
        <v>10658</v>
      </c>
      <c r="F863" s="4" t="s">
        <v>7107</v>
      </c>
      <c r="G863" s="4" t="s">
        <v>17</v>
      </c>
      <c r="H863" s="4" t="s">
        <v>10659</v>
      </c>
      <c r="I863" s="4" t="s">
        <v>10660</v>
      </c>
      <c r="J863" s="4" t="s">
        <v>10661</v>
      </c>
      <c r="K863" s="4" t="s">
        <v>10660</v>
      </c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31" t="s">
        <v>9852</v>
      </c>
      <c r="B864" s="31" t="s">
        <v>3871</v>
      </c>
      <c r="C864" s="4" t="s">
        <v>9466</v>
      </c>
      <c r="D864" s="4" t="s">
        <v>9109</v>
      </c>
      <c r="E864" s="4" t="s">
        <v>8548</v>
      </c>
      <c r="F864" s="4" t="s">
        <v>7107</v>
      </c>
      <c r="G864" s="4" t="s">
        <v>105</v>
      </c>
      <c r="H864" s="4" t="s">
        <v>10662</v>
      </c>
      <c r="I864" s="4" t="s">
        <v>10663</v>
      </c>
      <c r="J864" s="4" t="s">
        <v>10664</v>
      </c>
      <c r="K864" s="4" t="s">
        <v>10663</v>
      </c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31" t="s">
        <v>10435</v>
      </c>
      <c r="B865" s="31" t="s">
        <v>3877</v>
      </c>
      <c r="C865" s="4" t="s">
        <v>9472</v>
      </c>
      <c r="D865" s="4" t="s">
        <v>9109</v>
      </c>
      <c r="E865" s="4" t="s">
        <v>8947</v>
      </c>
      <c r="F865" s="4" t="s">
        <v>7107</v>
      </c>
      <c r="G865" s="4" t="s">
        <v>105</v>
      </c>
      <c r="H865" s="4" t="s">
        <v>1500</v>
      </c>
      <c r="I865" s="4" t="s">
        <v>10665</v>
      </c>
      <c r="J865" s="4" t="s">
        <v>10665</v>
      </c>
      <c r="K865" s="4" t="s">
        <v>9835</v>
      </c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31" t="s">
        <v>10666</v>
      </c>
      <c r="B866" s="31" t="s">
        <v>1242</v>
      </c>
      <c r="C866" s="108" t="s">
        <v>9839</v>
      </c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31" t="s">
        <v>10667</v>
      </c>
      <c r="B867" s="31" t="s">
        <v>3883</v>
      </c>
      <c r="C867" s="8"/>
      <c r="D867" s="8"/>
      <c r="E867" s="8"/>
      <c r="F867" s="8"/>
      <c r="G867" s="8"/>
      <c r="H867" s="8"/>
      <c r="I867" s="8"/>
      <c r="J867" s="8"/>
      <c r="K867" s="8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31" t="s">
        <v>10668</v>
      </c>
      <c r="B868" s="31" t="s">
        <v>10523</v>
      </c>
      <c r="C868" s="8"/>
      <c r="D868" s="8"/>
      <c r="E868" s="8"/>
      <c r="F868" s="8"/>
      <c r="G868" s="8"/>
      <c r="H868" s="8"/>
      <c r="I868" s="8"/>
      <c r="J868" s="8"/>
      <c r="K868" s="8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31" t="s">
        <v>4989</v>
      </c>
      <c r="B869" s="31" t="s">
        <v>9593</v>
      </c>
      <c r="C869" s="8"/>
      <c r="D869" s="8"/>
      <c r="E869" s="8"/>
      <c r="F869" s="8"/>
      <c r="G869" s="8"/>
      <c r="H869" s="8"/>
      <c r="I869" s="8"/>
      <c r="J869" s="8"/>
      <c r="K869" s="8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31" t="s">
        <v>10669</v>
      </c>
      <c r="B870" s="31" t="s">
        <v>9844</v>
      </c>
      <c r="C870" s="8"/>
      <c r="D870" s="8"/>
      <c r="E870" s="8"/>
      <c r="F870" s="8"/>
      <c r="G870" s="8"/>
      <c r="H870" s="8"/>
      <c r="I870" s="8"/>
      <c r="J870" s="8"/>
      <c r="K870" s="8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31" t="s">
        <v>10513</v>
      </c>
      <c r="B871" s="31" t="s">
        <v>10528</v>
      </c>
      <c r="C871" s="8"/>
      <c r="D871" s="8"/>
      <c r="E871" s="8"/>
      <c r="F871" s="8"/>
      <c r="G871" s="8"/>
      <c r="H871" s="8"/>
      <c r="I871" s="8"/>
      <c r="J871" s="8"/>
      <c r="K871" s="8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31" t="s">
        <v>10670</v>
      </c>
      <c r="B872" s="31" t="s">
        <v>10530</v>
      </c>
      <c r="C872" s="8"/>
      <c r="D872" s="8"/>
      <c r="E872" s="8"/>
      <c r="F872" s="8"/>
      <c r="G872" s="8"/>
      <c r="H872" s="8"/>
      <c r="I872" s="8"/>
      <c r="J872" s="8"/>
      <c r="K872" s="8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31" t="s">
        <v>10671</v>
      </c>
      <c r="B873" s="31" t="s">
        <v>10532</v>
      </c>
      <c r="C873" s="8"/>
      <c r="D873" s="8"/>
      <c r="E873" s="8"/>
      <c r="F873" s="8"/>
      <c r="G873" s="8"/>
      <c r="H873" s="8"/>
      <c r="I873" s="8"/>
      <c r="J873" s="8"/>
      <c r="K873" s="8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31" t="s">
        <v>10290</v>
      </c>
      <c r="B874" s="31" t="s">
        <v>10672</v>
      </c>
      <c r="C874" s="8"/>
      <c r="D874" s="8"/>
      <c r="E874" s="8"/>
      <c r="F874" s="8"/>
      <c r="G874" s="8"/>
      <c r="H874" s="8"/>
      <c r="I874" s="8"/>
      <c r="J874" s="8"/>
      <c r="K874" s="8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31" t="s">
        <v>10474</v>
      </c>
      <c r="B875" s="31" t="s">
        <v>10536</v>
      </c>
      <c r="C875" s="8"/>
      <c r="D875" s="8"/>
      <c r="E875" s="8"/>
      <c r="F875" s="8"/>
      <c r="G875" s="8"/>
      <c r="H875" s="8"/>
      <c r="I875" s="8"/>
      <c r="J875" s="8"/>
      <c r="K875" s="8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31" t="s">
        <v>10478</v>
      </c>
      <c r="B876" s="31" t="s">
        <v>10538</v>
      </c>
      <c r="C876" s="8"/>
      <c r="D876" s="8"/>
      <c r="E876" s="8"/>
      <c r="F876" s="8"/>
      <c r="G876" s="8"/>
      <c r="H876" s="8"/>
      <c r="I876" s="8"/>
      <c r="J876" s="8"/>
      <c r="K876" s="8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433" t="s">
        <v>10673</v>
      </c>
    </row>
    <row r="878">
      <c r="A878" s="340" t="s">
        <v>9361</v>
      </c>
      <c r="B878" s="340" t="s">
        <v>9437</v>
      </c>
      <c r="C878" s="340" t="s">
        <v>9363</v>
      </c>
    </row>
    <row r="879">
      <c r="A879" s="75" t="s">
        <v>10674</v>
      </c>
      <c r="B879" s="75" t="s">
        <v>10675</v>
      </c>
      <c r="C879" s="256" t="s">
        <v>9365</v>
      </c>
      <c r="D879" s="256" t="s">
        <v>8952</v>
      </c>
      <c r="E879" s="379" t="s">
        <v>4702</v>
      </c>
      <c r="F879" s="256" t="s">
        <v>4703</v>
      </c>
      <c r="G879" s="379" t="s">
        <v>4320</v>
      </c>
      <c r="H879" s="379" t="s">
        <v>436</v>
      </c>
      <c r="I879" s="379" t="s">
        <v>4704</v>
      </c>
      <c r="J879" s="379" t="s">
        <v>135</v>
      </c>
      <c r="K879" s="379" t="s">
        <v>128</v>
      </c>
    </row>
    <row r="880">
      <c r="A880" s="75" t="s">
        <v>10676</v>
      </c>
      <c r="B880" s="75" t="s">
        <v>10677</v>
      </c>
      <c r="C880" s="4" t="s">
        <v>9441</v>
      </c>
      <c r="D880" s="4" t="s">
        <v>9168</v>
      </c>
      <c r="E880" s="4" t="s">
        <v>7589</v>
      </c>
      <c r="F880" s="4" t="s">
        <v>7750</v>
      </c>
      <c r="G880" s="4" t="s">
        <v>8</v>
      </c>
      <c r="H880" s="4" t="s">
        <v>173</v>
      </c>
      <c r="I880" s="4" t="s">
        <v>7748</v>
      </c>
      <c r="J880" s="4" t="s">
        <v>7748</v>
      </c>
      <c r="K880" s="4" t="s">
        <v>7748</v>
      </c>
    </row>
    <row r="881">
      <c r="A881" s="75" t="s">
        <v>10678</v>
      </c>
      <c r="B881" s="75" t="s">
        <v>10679</v>
      </c>
      <c r="C881" s="108" t="s">
        <v>9448</v>
      </c>
    </row>
    <row r="882">
      <c r="A882" s="75" t="s">
        <v>7702</v>
      </c>
      <c r="B882" s="75" t="s">
        <v>10680</v>
      </c>
      <c r="C882" s="8"/>
      <c r="D882" s="8"/>
      <c r="E882" s="8"/>
      <c r="F882" s="8"/>
      <c r="G882" s="8"/>
      <c r="H882" s="8"/>
      <c r="I882" s="8"/>
      <c r="J882" s="8"/>
      <c r="K882" s="8"/>
    </row>
    <row r="883">
      <c r="A883" s="75" t="s">
        <v>10681</v>
      </c>
      <c r="B883" s="75" t="s">
        <v>10682</v>
      </c>
      <c r="C883" s="8"/>
      <c r="D883" s="8"/>
      <c r="E883" s="8"/>
      <c r="F883" s="8"/>
      <c r="G883" s="8"/>
      <c r="H883" s="8"/>
      <c r="I883" s="8"/>
      <c r="J883" s="8"/>
      <c r="K883" s="8"/>
    </row>
    <row r="884">
      <c r="A884" s="75" t="s">
        <v>10683</v>
      </c>
      <c r="B884" s="75" t="s">
        <v>10684</v>
      </c>
      <c r="C884" s="8"/>
      <c r="D884" s="8"/>
      <c r="E884" s="8"/>
      <c r="F884" s="8"/>
      <c r="G884" s="8"/>
      <c r="H884" s="8"/>
      <c r="I884" s="8"/>
      <c r="J884" s="8"/>
      <c r="K884" s="8"/>
    </row>
    <row r="885">
      <c r="A885" s="75" t="s">
        <v>10685</v>
      </c>
      <c r="B885" s="75" t="s">
        <v>1964</v>
      </c>
      <c r="C885" s="8"/>
      <c r="D885" s="8"/>
      <c r="E885" s="8"/>
      <c r="F885" s="8"/>
      <c r="G885" s="8"/>
      <c r="H885" s="8"/>
      <c r="I885" s="8"/>
      <c r="J885" s="8"/>
      <c r="K885" s="8"/>
    </row>
    <row r="886">
      <c r="A886" s="75" t="s">
        <v>10686</v>
      </c>
      <c r="B886" s="105"/>
      <c r="C886" s="8"/>
      <c r="D886" s="8"/>
      <c r="E886" s="8"/>
      <c r="F886" s="8"/>
      <c r="G886" s="8"/>
      <c r="H886" s="8"/>
      <c r="I886" s="8"/>
      <c r="J886" s="8"/>
      <c r="K886" s="8"/>
    </row>
    <row r="887">
      <c r="A887" s="433" t="s">
        <v>10687</v>
      </c>
    </row>
    <row r="888">
      <c r="A888" s="340" t="s">
        <v>9532</v>
      </c>
      <c r="B888" s="340" t="s">
        <v>9531</v>
      </c>
      <c r="C888" s="340" t="s">
        <v>9363</v>
      </c>
    </row>
    <row r="889">
      <c r="A889" s="75" t="s">
        <v>3927</v>
      </c>
      <c r="B889" s="75" t="s">
        <v>10688</v>
      </c>
      <c r="C889" s="256" t="s">
        <v>9365</v>
      </c>
      <c r="D889" s="256" t="s">
        <v>8952</v>
      </c>
      <c r="E889" s="379" t="s">
        <v>4702</v>
      </c>
      <c r="F889" s="256" t="s">
        <v>4703</v>
      </c>
      <c r="G889" s="379" t="s">
        <v>4320</v>
      </c>
      <c r="H889" s="379" t="s">
        <v>436</v>
      </c>
      <c r="I889" s="379" t="s">
        <v>4704</v>
      </c>
      <c r="J889" s="379" t="s">
        <v>135</v>
      </c>
      <c r="K889" s="379" t="s">
        <v>128</v>
      </c>
    </row>
    <row r="890">
      <c r="A890" s="75" t="s">
        <v>10689</v>
      </c>
      <c r="B890" s="75" t="s">
        <v>1277</v>
      </c>
      <c r="C890" s="4" t="s">
        <v>9441</v>
      </c>
      <c r="D890" s="4" t="s">
        <v>9109</v>
      </c>
      <c r="E890" s="4" t="s">
        <v>7589</v>
      </c>
      <c r="F890" s="4" t="s">
        <v>8044</v>
      </c>
      <c r="G890" s="4" t="s">
        <v>105</v>
      </c>
      <c r="H890" s="4" t="s">
        <v>5147</v>
      </c>
      <c r="I890" s="4" t="s">
        <v>10690</v>
      </c>
      <c r="J890" s="4" t="s">
        <v>10690</v>
      </c>
      <c r="K890" s="4" t="s">
        <v>10691</v>
      </c>
    </row>
    <row r="891">
      <c r="A891" s="75" t="s">
        <v>10692</v>
      </c>
      <c r="B891" s="75" t="s">
        <v>3828</v>
      </c>
      <c r="C891" s="108" t="s">
        <v>9839</v>
      </c>
    </row>
    <row r="892">
      <c r="A892" s="75" t="s">
        <v>3559</v>
      </c>
      <c r="B892" s="75" t="s">
        <v>10693</v>
      </c>
      <c r="C892" s="8"/>
      <c r="D892" s="8"/>
      <c r="E892" s="8"/>
      <c r="F892" s="8"/>
      <c r="G892" s="8"/>
      <c r="H892" s="8"/>
      <c r="I892" s="8"/>
      <c r="J892" s="8"/>
      <c r="K892" s="8"/>
    </row>
    <row r="893">
      <c r="A893" s="75" t="s">
        <v>10694</v>
      </c>
      <c r="B893" s="75" t="s">
        <v>10695</v>
      </c>
      <c r="C893" s="8"/>
      <c r="D893" s="8"/>
      <c r="E893" s="8"/>
      <c r="F893" s="8"/>
      <c r="G893" s="8"/>
      <c r="H893" s="8"/>
      <c r="I893" s="8"/>
      <c r="J893" s="8"/>
      <c r="K893" s="8"/>
    </row>
    <row r="894">
      <c r="A894" s="75" t="s">
        <v>10556</v>
      </c>
      <c r="B894" s="75" t="s">
        <v>10696</v>
      </c>
      <c r="C894" s="8"/>
      <c r="D894" s="8"/>
      <c r="E894" s="8"/>
      <c r="F894" s="8"/>
      <c r="G894" s="8"/>
      <c r="H894" s="8"/>
      <c r="I894" s="8"/>
      <c r="J894" s="8"/>
      <c r="K894" s="8"/>
    </row>
    <row r="895">
      <c r="A895" s="75" t="s">
        <v>10697</v>
      </c>
      <c r="B895" s="75" t="s">
        <v>10698</v>
      </c>
      <c r="C895" s="8"/>
      <c r="D895" s="8"/>
      <c r="E895" s="8"/>
      <c r="F895" s="8"/>
      <c r="G895" s="8"/>
      <c r="H895" s="8"/>
      <c r="I895" s="8"/>
      <c r="J895" s="8"/>
      <c r="K895" s="8"/>
    </row>
    <row r="896">
      <c r="A896" s="75" t="s">
        <v>10699</v>
      </c>
      <c r="B896" s="75" t="s">
        <v>10700</v>
      </c>
      <c r="C896" s="8"/>
      <c r="D896" s="8"/>
      <c r="E896" s="8"/>
      <c r="F896" s="8"/>
      <c r="G896" s="8"/>
      <c r="H896" s="8"/>
      <c r="I896" s="8"/>
      <c r="J896" s="8"/>
      <c r="K896" s="8"/>
    </row>
    <row r="897">
      <c r="A897" s="75" t="s">
        <v>10701</v>
      </c>
      <c r="B897" s="75" t="s">
        <v>10702</v>
      </c>
      <c r="C897" s="8"/>
      <c r="D897" s="8"/>
      <c r="E897" s="8"/>
      <c r="F897" s="8"/>
      <c r="G897" s="8"/>
      <c r="H897" s="8"/>
      <c r="I897" s="8"/>
      <c r="J897" s="8"/>
      <c r="K897" s="8"/>
    </row>
    <row r="898">
      <c r="A898" s="75" t="s">
        <v>10703</v>
      </c>
      <c r="B898" s="75" t="s">
        <v>10704</v>
      </c>
      <c r="C898" s="8"/>
      <c r="D898" s="8"/>
      <c r="E898" s="8"/>
      <c r="F898" s="8"/>
      <c r="G898" s="8"/>
      <c r="H898" s="8"/>
      <c r="I898" s="8"/>
      <c r="J898" s="8"/>
      <c r="K898" s="8"/>
    </row>
    <row r="899">
      <c r="A899" s="75" t="s">
        <v>10705</v>
      </c>
      <c r="B899" s="75" t="s">
        <v>10706</v>
      </c>
      <c r="C899" s="8"/>
      <c r="D899" s="8"/>
      <c r="E899" s="8"/>
      <c r="F899" s="8"/>
      <c r="G899" s="8"/>
      <c r="H899" s="8"/>
      <c r="I899" s="8"/>
      <c r="J899" s="8"/>
      <c r="K899" s="8"/>
    </row>
    <row r="900">
      <c r="A900" s="75" t="s">
        <v>10707</v>
      </c>
      <c r="B900" s="75" t="s">
        <v>10708</v>
      </c>
      <c r="C900" s="8"/>
      <c r="D900" s="8"/>
      <c r="E900" s="8"/>
      <c r="F900" s="8"/>
      <c r="G900" s="8"/>
      <c r="H900" s="8"/>
      <c r="I900" s="8"/>
      <c r="J900" s="8"/>
      <c r="K900" s="8"/>
    </row>
    <row r="901">
      <c r="A901" s="75" t="s">
        <v>10709</v>
      </c>
      <c r="B901" s="75" t="s">
        <v>10710</v>
      </c>
      <c r="C901" s="8"/>
      <c r="D901" s="8"/>
      <c r="E901" s="8"/>
      <c r="F901" s="8"/>
      <c r="G901" s="8"/>
      <c r="H901" s="8"/>
      <c r="I901" s="8"/>
      <c r="J901" s="8"/>
      <c r="K901" s="8"/>
    </row>
    <row r="902">
      <c r="A902" s="75" t="s">
        <v>10711</v>
      </c>
      <c r="B902" s="75" t="s">
        <v>9868</v>
      </c>
      <c r="C902" s="8"/>
      <c r="D902" s="8"/>
      <c r="E902" s="8"/>
      <c r="F902" s="8"/>
      <c r="G902" s="8"/>
      <c r="H902" s="8"/>
      <c r="I902" s="8"/>
      <c r="J902" s="8"/>
      <c r="K902" s="8"/>
    </row>
    <row r="903">
      <c r="A903" s="75" t="s">
        <v>10712</v>
      </c>
      <c r="B903" s="75" t="s">
        <v>9667</v>
      </c>
      <c r="C903" s="8"/>
      <c r="D903" s="8"/>
      <c r="E903" s="8"/>
      <c r="F903" s="8"/>
      <c r="G903" s="8"/>
      <c r="H903" s="8"/>
      <c r="I903" s="8"/>
      <c r="J903" s="8"/>
      <c r="K903" s="8"/>
    </row>
    <row r="904">
      <c r="A904" s="433" t="s">
        <v>10713</v>
      </c>
    </row>
    <row r="905">
      <c r="A905" s="340" t="s">
        <v>9414</v>
      </c>
      <c r="B905" s="340" t="s">
        <v>9530</v>
      </c>
      <c r="C905" s="340" t="s">
        <v>9363</v>
      </c>
    </row>
    <row r="906">
      <c r="A906" s="75" t="s">
        <v>10714</v>
      </c>
      <c r="B906" s="75" t="s">
        <v>10715</v>
      </c>
      <c r="C906" s="256" t="s">
        <v>9365</v>
      </c>
      <c r="D906" s="256" t="s">
        <v>8952</v>
      </c>
      <c r="E906" s="379" t="s">
        <v>4702</v>
      </c>
      <c r="F906" s="256" t="s">
        <v>4703</v>
      </c>
      <c r="G906" s="379" t="s">
        <v>4320</v>
      </c>
      <c r="H906" s="379" t="s">
        <v>436</v>
      </c>
      <c r="I906" s="379" t="s">
        <v>4704</v>
      </c>
      <c r="J906" s="379" t="s">
        <v>135</v>
      </c>
      <c r="K906" s="379" t="s">
        <v>128</v>
      </c>
    </row>
    <row r="907">
      <c r="A907" s="75" t="s">
        <v>1928</v>
      </c>
      <c r="B907" s="75" t="s">
        <v>10716</v>
      </c>
      <c r="C907" s="4" t="s">
        <v>9441</v>
      </c>
      <c r="D907" s="4" t="s">
        <v>9168</v>
      </c>
      <c r="E907" s="4" t="s">
        <v>7589</v>
      </c>
      <c r="F907" s="4" t="s">
        <v>1871</v>
      </c>
      <c r="G907" s="4" t="s">
        <v>103</v>
      </c>
      <c r="H907" s="4" t="s">
        <v>173</v>
      </c>
      <c r="I907" s="4" t="s">
        <v>10717</v>
      </c>
      <c r="J907" s="4" t="s">
        <v>8070</v>
      </c>
      <c r="K907" s="4" t="s">
        <v>10717</v>
      </c>
    </row>
    <row r="908">
      <c r="A908" s="75" t="s">
        <v>10718</v>
      </c>
      <c r="B908" s="75" t="s">
        <v>4258</v>
      </c>
      <c r="C908" s="4" t="s">
        <v>9466</v>
      </c>
      <c r="D908" s="4" t="s">
        <v>9168</v>
      </c>
      <c r="E908" s="4" t="s">
        <v>7597</v>
      </c>
      <c r="F908" s="4" t="s">
        <v>1871</v>
      </c>
      <c r="G908" s="4" t="s">
        <v>103</v>
      </c>
      <c r="H908" s="4" t="s">
        <v>10719</v>
      </c>
      <c r="I908" s="4" t="s">
        <v>10717</v>
      </c>
      <c r="J908" s="4" t="s">
        <v>10717</v>
      </c>
      <c r="K908" s="4" t="s">
        <v>10720</v>
      </c>
    </row>
    <row r="909">
      <c r="A909" s="75" t="s">
        <v>10721</v>
      </c>
      <c r="B909" s="75" t="s">
        <v>10722</v>
      </c>
      <c r="C909" s="4" t="s">
        <v>9472</v>
      </c>
      <c r="D909" s="4" t="s">
        <v>9168</v>
      </c>
      <c r="E909" s="4" t="s">
        <v>7606</v>
      </c>
      <c r="F909" s="4" t="s">
        <v>1871</v>
      </c>
      <c r="G909" s="4" t="s">
        <v>103</v>
      </c>
      <c r="H909" s="4" t="s">
        <v>10719</v>
      </c>
      <c r="I909" s="4" t="s">
        <v>10723</v>
      </c>
      <c r="J909" s="4" t="s">
        <v>10723</v>
      </c>
      <c r="K909" s="4" t="s">
        <v>10724</v>
      </c>
    </row>
    <row r="910">
      <c r="A910" s="75" t="s">
        <v>1914</v>
      </c>
      <c r="B910" s="75" t="s">
        <v>10725</v>
      </c>
      <c r="C910" s="108" t="s">
        <v>9694</v>
      </c>
    </row>
    <row r="911">
      <c r="A911" s="75" t="s">
        <v>10726</v>
      </c>
      <c r="B911" s="75" t="s">
        <v>10727</v>
      </c>
      <c r="C911" s="8"/>
      <c r="D911" s="8"/>
      <c r="E911" s="8"/>
      <c r="F911" s="8"/>
      <c r="G911" s="8"/>
      <c r="H911" s="8"/>
      <c r="I911" s="8"/>
      <c r="J911" s="8"/>
      <c r="K911" s="8"/>
    </row>
    <row r="912">
      <c r="A912" s="75" t="s">
        <v>10728</v>
      </c>
      <c r="B912" s="75" t="s">
        <v>10729</v>
      </c>
      <c r="C912" s="8"/>
      <c r="D912" s="8"/>
      <c r="E912" s="8"/>
      <c r="F912" s="8"/>
      <c r="G912" s="8"/>
      <c r="H912" s="8"/>
      <c r="I912" s="8"/>
      <c r="J912" s="8"/>
      <c r="K912" s="8"/>
    </row>
    <row r="913">
      <c r="A913" s="75" t="s">
        <v>10730</v>
      </c>
      <c r="B913" s="75" t="s">
        <v>10731</v>
      </c>
      <c r="C913" s="8"/>
      <c r="D913" s="8"/>
      <c r="E913" s="8"/>
      <c r="F913" s="8"/>
      <c r="G913" s="8"/>
      <c r="H913" s="8"/>
      <c r="I913" s="8"/>
      <c r="J913" s="8"/>
      <c r="K913" s="8"/>
    </row>
    <row r="914">
      <c r="A914" s="433" t="s">
        <v>10732</v>
      </c>
    </row>
    <row r="915">
      <c r="A915" s="340" t="s">
        <v>9532</v>
      </c>
      <c r="B915" s="340" t="s">
        <v>9802</v>
      </c>
      <c r="C915" s="340" t="s">
        <v>9363</v>
      </c>
    </row>
    <row r="916">
      <c r="A916" s="75" t="s">
        <v>10733</v>
      </c>
      <c r="B916" s="75" t="s">
        <v>10733</v>
      </c>
      <c r="C916" s="256" t="s">
        <v>9365</v>
      </c>
      <c r="D916" s="256" t="s">
        <v>8952</v>
      </c>
      <c r="E916" s="379" t="s">
        <v>4702</v>
      </c>
      <c r="F916" s="256" t="s">
        <v>4703</v>
      </c>
      <c r="G916" s="379" t="s">
        <v>4320</v>
      </c>
      <c r="H916" s="379" t="s">
        <v>436</v>
      </c>
      <c r="I916" s="379" t="s">
        <v>4704</v>
      </c>
      <c r="J916" s="379" t="s">
        <v>135</v>
      </c>
      <c r="K916" s="379" t="s">
        <v>128</v>
      </c>
    </row>
    <row r="917">
      <c r="A917" s="8"/>
      <c r="B917" s="8"/>
      <c r="C917" s="4" t="s">
        <v>9441</v>
      </c>
      <c r="D917" s="4" t="s">
        <v>9174</v>
      </c>
      <c r="E917" s="4" t="s">
        <v>9173</v>
      </c>
      <c r="F917" s="4" t="s">
        <v>8044</v>
      </c>
      <c r="G917" s="4" t="s">
        <v>105</v>
      </c>
      <c r="H917" s="4" t="s">
        <v>10734</v>
      </c>
      <c r="I917" s="4" t="s">
        <v>10735</v>
      </c>
      <c r="J917" s="4" t="s">
        <v>10735</v>
      </c>
      <c r="K917" s="4" t="s">
        <v>10735</v>
      </c>
    </row>
    <row r="918">
      <c r="A918" s="8"/>
      <c r="B918" s="8"/>
      <c r="C918" s="108" t="s">
        <v>9839</v>
      </c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>
      <c r="A922" s="433" t="s">
        <v>10736</v>
      </c>
    </row>
    <row r="923">
      <c r="A923" s="340" t="s">
        <v>9361</v>
      </c>
      <c r="B923" s="340" t="s">
        <v>10737</v>
      </c>
      <c r="C923" s="340" t="s">
        <v>9363</v>
      </c>
    </row>
    <row r="924">
      <c r="A924" s="75" t="s">
        <v>10738</v>
      </c>
      <c r="B924" s="75" t="s">
        <v>10739</v>
      </c>
      <c r="C924" s="256" t="s">
        <v>9365</v>
      </c>
      <c r="D924" s="256" t="s">
        <v>8952</v>
      </c>
      <c r="E924" s="379" t="s">
        <v>4702</v>
      </c>
      <c r="F924" s="256" t="s">
        <v>4703</v>
      </c>
      <c r="G924" s="379" t="s">
        <v>4320</v>
      </c>
      <c r="H924" s="379" t="s">
        <v>436</v>
      </c>
      <c r="I924" s="379" t="s">
        <v>4704</v>
      </c>
      <c r="J924" s="379" t="s">
        <v>135</v>
      </c>
      <c r="K924" s="379" t="s">
        <v>128</v>
      </c>
    </row>
    <row r="925">
      <c r="A925" s="75" t="s">
        <v>10740</v>
      </c>
      <c r="B925" s="75" t="s">
        <v>10741</v>
      </c>
      <c r="C925" s="4" t="s">
        <v>9441</v>
      </c>
      <c r="D925" s="4" t="s">
        <v>9168</v>
      </c>
      <c r="E925" s="4" t="s">
        <v>7606</v>
      </c>
      <c r="F925" s="4" t="s">
        <v>7180</v>
      </c>
      <c r="G925" s="4" t="s">
        <v>17</v>
      </c>
      <c r="H925" s="4" t="s">
        <v>6288</v>
      </c>
      <c r="I925" s="4" t="s">
        <v>10742</v>
      </c>
      <c r="J925" s="4" t="s">
        <v>10743</v>
      </c>
      <c r="K925" s="4" t="s">
        <v>10744</v>
      </c>
    </row>
    <row r="926">
      <c r="A926" s="75" t="s">
        <v>10745</v>
      </c>
      <c r="B926" s="75" t="s">
        <v>10746</v>
      </c>
      <c r="C926" s="4" t="s">
        <v>9466</v>
      </c>
      <c r="D926" s="4" t="s">
        <v>9168</v>
      </c>
      <c r="E926" s="4" t="s">
        <v>7612</v>
      </c>
      <c r="F926" s="4" t="s">
        <v>7180</v>
      </c>
      <c r="G926" s="4" t="s">
        <v>17</v>
      </c>
      <c r="H926" s="4" t="s">
        <v>9463</v>
      </c>
      <c r="I926" s="4" t="s">
        <v>10743</v>
      </c>
      <c r="J926" s="4" t="s">
        <v>10743</v>
      </c>
      <c r="K926" s="4" t="s">
        <v>9981</v>
      </c>
    </row>
    <row r="927">
      <c r="A927" s="75" t="s">
        <v>10747</v>
      </c>
      <c r="B927" s="75" t="s">
        <v>2106</v>
      </c>
      <c r="C927" s="4" t="s">
        <v>9472</v>
      </c>
      <c r="D927" s="4" t="s">
        <v>9168</v>
      </c>
      <c r="E927" s="4" t="s">
        <v>7747</v>
      </c>
      <c r="F927" s="4" t="s">
        <v>7180</v>
      </c>
      <c r="G927" s="4" t="s">
        <v>104</v>
      </c>
      <c r="H927" s="4" t="s">
        <v>9463</v>
      </c>
      <c r="I927" s="4" t="s">
        <v>10744</v>
      </c>
      <c r="J927" s="4" t="s">
        <v>8067</v>
      </c>
      <c r="K927" s="4" t="s">
        <v>10748</v>
      </c>
    </row>
    <row r="928">
      <c r="A928" s="75" t="s">
        <v>10749</v>
      </c>
      <c r="B928" s="75" t="s">
        <v>10750</v>
      </c>
      <c r="C928" s="4" t="s">
        <v>9712</v>
      </c>
      <c r="D928" s="4" t="s">
        <v>9168</v>
      </c>
      <c r="E928" s="4" t="s">
        <v>7622</v>
      </c>
      <c r="F928" s="4" t="s">
        <v>7180</v>
      </c>
      <c r="G928" s="4" t="s">
        <v>17</v>
      </c>
      <c r="H928" s="4" t="s">
        <v>9463</v>
      </c>
      <c r="I928" s="4" t="s">
        <v>10743</v>
      </c>
      <c r="J928" s="4" t="s">
        <v>10743</v>
      </c>
      <c r="K928" s="4" t="s">
        <v>10743</v>
      </c>
    </row>
    <row r="929">
      <c r="A929" s="75" t="s">
        <v>10751</v>
      </c>
      <c r="B929" s="75" t="s">
        <v>10752</v>
      </c>
      <c r="C929" s="4" t="s">
        <v>9716</v>
      </c>
      <c r="D929" s="4" t="s">
        <v>9168</v>
      </c>
      <c r="E929" s="4" t="s">
        <v>7630</v>
      </c>
      <c r="F929" s="4" t="s">
        <v>7180</v>
      </c>
      <c r="G929" s="4" t="s">
        <v>17</v>
      </c>
      <c r="H929" s="4" t="s">
        <v>9463</v>
      </c>
      <c r="I929" s="4" t="s">
        <v>9981</v>
      </c>
      <c r="J929" s="4" t="s">
        <v>8067</v>
      </c>
      <c r="K929" s="4" t="s">
        <v>7899</v>
      </c>
    </row>
    <row r="930">
      <c r="A930" s="75" t="s">
        <v>10753</v>
      </c>
      <c r="B930" s="75" t="s">
        <v>3836</v>
      </c>
      <c r="C930" s="108" t="s">
        <v>9982</v>
      </c>
    </row>
    <row r="931">
      <c r="A931" s="8"/>
      <c r="B931" s="75" t="s">
        <v>10754</v>
      </c>
      <c r="C931" s="8"/>
      <c r="D931" s="8"/>
      <c r="E931" s="8"/>
      <c r="F931" s="8"/>
      <c r="G931" s="8"/>
      <c r="H931" s="8"/>
      <c r="I931" s="8"/>
      <c r="J931" s="8"/>
      <c r="K931" s="8"/>
    </row>
    <row r="932">
      <c r="A932" s="433" t="s">
        <v>10755</v>
      </c>
    </row>
    <row r="933">
      <c r="A933" s="340" t="s">
        <v>9532</v>
      </c>
      <c r="B933" s="340" t="s">
        <v>9414</v>
      </c>
      <c r="C933" s="340" t="s">
        <v>9363</v>
      </c>
    </row>
    <row r="934">
      <c r="A934" s="75" t="s">
        <v>10756</v>
      </c>
      <c r="B934" s="75" t="s">
        <v>1952</v>
      </c>
      <c r="C934" s="256" t="s">
        <v>9365</v>
      </c>
      <c r="D934" s="256" t="s">
        <v>8952</v>
      </c>
      <c r="E934" s="379" t="s">
        <v>4702</v>
      </c>
      <c r="F934" s="256" t="s">
        <v>4703</v>
      </c>
      <c r="G934" s="379" t="s">
        <v>4320</v>
      </c>
      <c r="H934" s="379" t="s">
        <v>436</v>
      </c>
      <c r="I934" s="379" t="s">
        <v>4704</v>
      </c>
      <c r="J934" s="379" t="s">
        <v>135</v>
      </c>
      <c r="K934" s="379" t="s">
        <v>128</v>
      </c>
    </row>
    <row r="935">
      <c r="A935" s="75" t="s">
        <v>10757</v>
      </c>
      <c r="B935" s="75" t="s">
        <v>10758</v>
      </c>
      <c r="C935" s="4" t="s">
        <v>9441</v>
      </c>
      <c r="D935" s="4" t="s">
        <v>9135</v>
      </c>
      <c r="E935" s="4" t="s">
        <v>7747</v>
      </c>
      <c r="F935" s="4" t="s">
        <v>8044</v>
      </c>
      <c r="G935" s="4" t="s">
        <v>105</v>
      </c>
      <c r="H935" s="4" t="s">
        <v>1500</v>
      </c>
      <c r="I935" s="4" t="s">
        <v>10735</v>
      </c>
      <c r="J935" s="4" t="s">
        <v>10735</v>
      </c>
      <c r="K935" s="4" t="s">
        <v>10735</v>
      </c>
    </row>
    <row r="936">
      <c r="A936" s="75" t="s">
        <v>10759</v>
      </c>
      <c r="B936" s="75" t="s">
        <v>10760</v>
      </c>
      <c r="C936" s="4" t="s">
        <v>9466</v>
      </c>
      <c r="D936" s="4" t="s">
        <v>9135</v>
      </c>
      <c r="E936" s="4" t="s">
        <v>7622</v>
      </c>
      <c r="F936" s="4" t="s">
        <v>8044</v>
      </c>
      <c r="G936" s="4" t="s">
        <v>103</v>
      </c>
      <c r="H936" s="4" t="s">
        <v>1500</v>
      </c>
      <c r="I936" s="4" t="s">
        <v>10761</v>
      </c>
      <c r="J936" s="4" t="s">
        <v>10762</v>
      </c>
      <c r="K936" s="4" t="s">
        <v>10761</v>
      </c>
    </row>
    <row r="937">
      <c r="A937" s="75" t="s">
        <v>10763</v>
      </c>
      <c r="B937" s="75" t="s">
        <v>10764</v>
      </c>
      <c r="C937" s="4" t="s">
        <v>9472</v>
      </c>
      <c r="D937" s="4" t="s">
        <v>9135</v>
      </c>
      <c r="E937" s="4" t="s">
        <v>7630</v>
      </c>
      <c r="F937" s="4" t="s">
        <v>8044</v>
      </c>
      <c r="G937" s="4" t="s">
        <v>105</v>
      </c>
      <c r="H937" s="4" t="s">
        <v>10719</v>
      </c>
      <c r="I937" s="4" t="s">
        <v>10765</v>
      </c>
      <c r="J937" s="4" t="s">
        <v>10766</v>
      </c>
      <c r="K937" s="4" t="s">
        <v>10761</v>
      </c>
    </row>
    <row r="938">
      <c r="A938" s="75" t="s">
        <v>10767</v>
      </c>
      <c r="B938" s="75" t="s">
        <v>10768</v>
      </c>
      <c r="C938" s="108" t="s">
        <v>9839</v>
      </c>
    </row>
    <row r="939">
      <c r="A939" s="75" t="s">
        <v>10556</v>
      </c>
      <c r="B939" s="75" t="s">
        <v>10769</v>
      </c>
      <c r="C939" s="8"/>
      <c r="D939" s="8"/>
      <c r="E939" s="8"/>
      <c r="F939" s="8"/>
      <c r="G939" s="8"/>
      <c r="H939" s="8"/>
      <c r="I939" s="8"/>
      <c r="J939" s="8"/>
      <c r="K939" s="8"/>
    </row>
    <row r="940">
      <c r="A940" s="75" t="s">
        <v>10770</v>
      </c>
      <c r="B940" s="75" t="s">
        <v>9424</v>
      </c>
      <c r="C940" s="8"/>
      <c r="D940" s="8"/>
      <c r="E940" s="8"/>
      <c r="F940" s="8"/>
      <c r="G940" s="8"/>
      <c r="H940" s="8"/>
      <c r="I940" s="8"/>
      <c r="J940" s="8"/>
      <c r="K940" s="8"/>
    </row>
    <row r="941">
      <c r="A941" s="75" t="s">
        <v>10771</v>
      </c>
      <c r="B941" s="75" t="s">
        <v>10772</v>
      </c>
      <c r="C941" s="8"/>
      <c r="D941" s="8"/>
      <c r="E941" s="8"/>
      <c r="F941" s="8"/>
      <c r="G941" s="8"/>
      <c r="H941" s="8"/>
      <c r="I941" s="8"/>
      <c r="J941" s="8"/>
      <c r="K941" s="8"/>
    </row>
    <row r="942">
      <c r="A942" s="75" t="s">
        <v>10773</v>
      </c>
      <c r="B942" s="75" t="s">
        <v>10774</v>
      </c>
      <c r="C942" s="8"/>
      <c r="D942" s="8"/>
      <c r="E942" s="8"/>
      <c r="F942" s="8"/>
      <c r="G942" s="8"/>
      <c r="H942" s="8"/>
      <c r="I942" s="8"/>
      <c r="J942" s="8"/>
      <c r="K942" s="8"/>
    </row>
    <row r="943">
      <c r="A943" s="75" t="s">
        <v>10775</v>
      </c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>
      <c r="A944" s="433" t="s">
        <v>10776</v>
      </c>
    </row>
    <row r="945">
      <c r="A945" s="340" t="s">
        <v>9530</v>
      </c>
      <c r="B945" s="340" t="s">
        <v>9802</v>
      </c>
      <c r="C945" s="340" t="s">
        <v>9363</v>
      </c>
    </row>
    <row r="946">
      <c r="A946" s="75" t="s">
        <v>10715</v>
      </c>
      <c r="B946" s="75" t="s">
        <v>10777</v>
      </c>
      <c r="C946" s="256" t="s">
        <v>9365</v>
      </c>
      <c r="D946" s="256" t="s">
        <v>8952</v>
      </c>
      <c r="E946" s="379" t="s">
        <v>4702</v>
      </c>
      <c r="F946" s="256" t="s">
        <v>4703</v>
      </c>
      <c r="G946" s="379" t="s">
        <v>4320</v>
      </c>
      <c r="H946" s="379" t="s">
        <v>436</v>
      </c>
      <c r="I946" s="379" t="s">
        <v>4704</v>
      </c>
      <c r="J946" s="379" t="s">
        <v>135</v>
      </c>
      <c r="K946" s="379" t="s">
        <v>128</v>
      </c>
    </row>
    <row r="947">
      <c r="A947" s="75" t="s">
        <v>9539</v>
      </c>
      <c r="B947" s="75" t="s">
        <v>893</v>
      </c>
      <c r="C947" s="4" t="s">
        <v>9441</v>
      </c>
      <c r="D947" s="4" t="s">
        <v>9102</v>
      </c>
      <c r="E947" s="4" t="s">
        <v>7630</v>
      </c>
      <c r="F947" s="4" t="s">
        <v>10778</v>
      </c>
      <c r="G947" s="4" t="s">
        <v>18</v>
      </c>
      <c r="H947" s="4" t="s">
        <v>1500</v>
      </c>
      <c r="I947" s="4" t="s">
        <v>8078</v>
      </c>
      <c r="J947" s="4" t="s">
        <v>9805</v>
      </c>
      <c r="K947" s="4" t="s">
        <v>8078</v>
      </c>
      <c r="L947" s="8"/>
      <c r="M947" s="8"/>
    </row>
    <row r="948">
      <c r="A948" s="75" t="s">
        <v>4258</v>
      </c>
      <c r="B948" s="75" t="s">
        <v>961</v>
      </c>
      <c r="C948" s="108" t="s">
        <v>10319</v>
      </c>
      <c r="L948" s="8"/>
      <c r="M948" s="8"/>
    </row>
    <row r="949">
      <c r="A949" s="75" t="s">
        <v>10779</v>
      </c>
      <c r="B949" s="75" t="s">
        <v>720</v>
      </c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</row>
    <row r="950">
      <c r="A950" s="75" t="s">
        <v>10780</v>
      </c>
      <c r="B950" s="75" t="s">
        <v>6345</v>
      </c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</row>
    <row r="951">
      <c r="A951" s="75" t="s">
        <v>10781</v>
      </c>
      <c r="B951" s="75" t="s">
        <v>4974</v>
      </c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</row>
    <row r="952">
      <c r="A952" s="75" t="s">
        <v>10782</v>
      </c>
      <c r="B952" s="75" t="s">
        <v>4980</v>
      </c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</row>
    <row r="953">
      <c r="A953" s="75" t="s">
        <v>10783</v>
      </c>
      <c r="B953" s="75" t="s">
        <v>10784</v>
      </c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</row>
    <row r="954">
      <c r="A954" s="75" t="s">
        <v>10785</v>
      </c>
      <c r="B954" s="75" t="s">
        <v>10786</v>
      </c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</row>
    <row r="955">
      <c r="A955" s="75" t="s">
        <v>10787</v>
      </c>
      <c r="B955" s="75" t="s">
        <v>10788</v>
      </c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</row>
    <row r="956">
      <c r="A956" s="75" t="s">
        <v>10789</v>
      </c>
      <c r="B956" s="75" t="s">
        <v>4517</v>
      </c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</row>
    <row r="957">
      <c r="A957" s="75" t="s">
        <v>10790</v>
      </c>
      <c r="B957" s="75" t="s">
        <v>10791</v>
      </c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</row>
    <row r="958">
      <c r="A958" s="75" t="s">
        <v>10792</v>
      </c>
      <c r="B958" s="75" t="s">
        <v>10793</v>
      </c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</row>
    <row r="959">
      <c r="A959" s="75" t="s">
        <v>10794</v>
      </c>
      <c r="B959" s="75" t="s">
        <v>10795</v>
      </c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</row>
    <row r="960">
      <c r="A960" s="75" t="s">
        <v>10796</v>
      </c>
      <c r="B960" s="75" t="s">
        <v>10797</v>
      </c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</row>
    <row r="961">
      <c r="A961" s="75" t="s">
        <v>10798</v>
      </c>
      <c r="B961" s="75" t="s">
        <v>10799</v>
      </c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</row>
    <row r="962">
      <c r="A962" s="75" t="s">
        <v>10800</v>
      </c>
      <c r="B962" s="75" t="s">
        <v>4550</v>
      </c>
      <c r="C962" s="8"/>
      <c r="D962" s="8"/>
      <c r="E962" s="8"/>
      <c r="F962" s="8"/>
      <c r="G962" s="8"/>
      <c r="H962" s="8"/>
      <c r="I962" s="8"/>
      <c r="J962" s="8"/>
      <c r="K962" s="8"/>
    </row>
    <row r="963">
      <c r="A963" s="75" t="s">
        <v>10801</v>
      </c>
      <c r="B963" s="75" t="s">
        <v>10802</v>
      </c>
      <c r="C963" s="8"/>
      <c r="D963" s="8"/>
      <c r="E963" s="8"/>
      <c r="F963" s="8"/>
      <c r="G963" s="8"/>
      <c r="H963" s="8"/>
      <c r="I963" s="8"/>
      <c r="J963" s="8"/>
      <c r="K963" s="8"/>
    </row>
    <row r="964">
      <c r="A964" s="433" t="s">
        <v>10803</v>
      </c>
    </row>
    <row r="965">
      <c r="A965" s="340" t="s">
        <v>9532</v>
      </c>
      <c r="B965" s="340" t="s">
        <v>9361</v>
      </c>
      <c r="C965" s="340" t="s">
        <v>9363</v>
      </c>
    </row>
    <row r="966">
      <c r="A966" s="75" t="s">
        <v>10804</v>
      </c>
      <c r="B966" s="75" t="s">
        <v>10805</v>
      </c>
      <c r="C966" s="256" t="s">
        <v>9365</v>
      </c>
      <c r="D966" s="256" t="s">
        <v>8952</v>
      </c>
      <c r="E966" s="379" t="s">
        <v>4702</v>
      </c>
      <c r="F966" s="256" t="s">
        <v>4703</v>
      </c>
      <c r="G966" s="379" t="s">
        <v>4320</v>
      </c>
      <c r="H966" s="379" t="s">
        <v>436</v>
      </c>
      <c r="I966" s="379" t="s">
        <v>4704</v>
      </c>
      <c r="J966" s="379" t="s">
        <v>135</v>
      </c>
      <c r="K966" s="379" t="s">
        <v>128</v>
      </c>
    </row>
    <row r="967">
      <c r="A967" s="75" t="s">
        <v>10806</v>
      </c>
      <c r="B967" s="75" t="s">
        <v>10807</v>
      </c>
      <c r="C967" s="4" t="s">
        <v>10808</v>
      </c>
      <c r="D967" s="4" t="s">
        <v>9135</v>
      </c>
      <c r="E967" s="4" t="s">
        <v>8943</v>
      </c>
      <c r="F967" s="4" t="s">
        <v>8044</v>
      </c>
      <c r="G967" s="4" t="s">
        <v>17</v>
      </c>
      <c r="H967" s="4" t="s">
        <v>8304</v>
      </c>
      <c r="I967" s="4" t="s">
        <v>10809</v>
      </c>
      <c r="J967" s="4" t="s">
        <v>10735</v>
      </c>
      <c r="K967" s="4" t="s">
        <v>10765</v>
      </c>
    </row>
    <row r="968">
      <c r="A968" s="75" t="s">
        <v>10810</v>
      </c>
      <c r="B968" s="75" t="s">
        <v>10811</v>
      </c>
      <c r="C968" s="4" t="s">
        <v>9466</v>
      </c>
      <c r="D968" s="4" t="s">
        <v>10812</v>
      </c>
      <c r="E968" s="4" t="s">
        <v>8929</v>
      </c>
      <c r="F968" s="4" t="s">
        <v>8044</v>
      </c>
      <c r="G968" s="4" t="s">
        <v>17</v>
      </c>
      <c r="H968" s="4" t="s">
        <v>8304</v>
      </c>
      <c r="I968" s="4" t="s">
        <v>10813</v>
      </c>
      <c r="J968" s="4" t="s">
        <v>10813</v>
      </c>
      <c r="K968" s="4" t="s">
        <v>10814</v>
      </c>
    </row>
    <row r="969">
      <c r="A969" s="75" t="s">
        <v>10815</v>
      </c>
      <c r="B969" s="75" t="s">
        <v>9738</v>
      </c>
      <c r="C969" s="4" t="s">
        <v>9472</v>
      </c>
      <c r="D969" s="4" t="s">
        <v>9135</v>
      </c>
      <c r="E969" s="4" t="s">
        <v>7756</v>
      </c>
      <c r="F969" s="4" t="s">
        <v>8044</v>
      </c>
      <c r="G969" s="4" t="s">
        <v>105</v>
      </c>
      <c r="H969" s="4" t="s">
        <v>8304</v>
      </c>
      <c r="I969" s="4" t="s">
        <v>10816</v>
      </c>
      <c r="J969" s="4" t="s">
        <v>10152</v>
      </c>
      <c r="K969" s="4" t="s">
        <v>10813</v>
      </c>
    </row>
    <row r="970">
      <c r="A970" s="75" t="s">
        <v>10767</v>
      </c>
      <c r="B970" s="75" t="s">
        <v>4236</v>
      </c>
      <c r="C970" s="108" t="s">
        <v>9982</v>
      </c>
    </row>
    <row r="971">
      <c r="A971" s="75" t="s">
        <v>10556</v>
      </c>
      <c r="B971" s="75" t="s">
        <v>10817</v>
      </c>
      <c r="C971" s="8"/>
      <c r="D971" s="8"/>
      <c r="E971" s="8"/>
      <c r="F971" s="8"/>
      <c r="G971" s="8"/>
      <c r="H971" s="8"/>
      <c r="I971" s="8"/>
      <c r="J971" s="8"/>
      <c r="K971" s="8"/>
    </row>
    <row r="972">
      <c r="A972" s="75" t="s">
        <v>10818</v>
      </c>
      <c r="B972" s="75" t="s">
        <v>10819</v>
      </c>
      <c r="C972" s="8"/>
      <c r="D972" s="8"/>
      <c r="E972" s="8"/>
      <c r="F972" s="8"/>
      <c r="G972" s="8"/>
      <c r="H972" s="8"/>
      <c r="I972" s="8"/>
      <c r="J972" s="8"/>
      <c r="K972" s="8"/>
    </row>
    <row r="973">
      <c r="A973" s="75" t="s">
        <v>10820</v>
      </c>
      <c r="B973" s="75" t="s">
        <v>8168</v>
      </c>
      <c r="C973" s="8"/>
      <c r="D973" s="8"/>
      <c r="E973" s="8"/>
      <c r="F973" s="8"/>
      <c r="G973" s="8"/>
      <c r="H973" s="8"/>
      <c r="I973" s="8"/>
      <c r="J973" s="8"/>
      <c r="K973" s="8"/>
    </row>
    <row r="974">
      <c r="A974" s="75" t="s">
        <v>10821</v>
      </c>
      <c r="B974" s="75" t="s">
        <v>10822</v>
      </c>
      <c r="C974" s="8"/>
      <c r="D974" s="8"/>
      <c r="E974" s="8"/>
      <c r="F974" s="8"/>
      <c r="G974" s="8"/>
      <c r="H974" s="8"/>
      <c r="I974" s="8"/>
      <c r="J974" s="8"/>
      <c r="K974" s="8"/>
    </row>
    <row r="975">
      <c r="A975" s="75" t="s">
        <v>10823</v>
      </c>
      <c r="B975" s="75" t="s">
        <v>10824</v>
      </c>
      <c r="C975" s="8"/>
      <c r="D975" s="8"/>
      <c r="E975" s="8"/>
      <c r="F975" s="8"/>
      <c r="G975" s="8"/>
      <c r="H975" s="8"/>
      <c r="I975" s="8"/>
      <c r="J975" s="8"/>
      <c r="K975" s="8"/>
    </row>
    <row r="976">
      <c r="A976" s="433" t="s">
        <v>10825</v>
      </c>
    </row>
    <row r="977">
      <c r="A977" s="340" t="s">
        <v>9361</v>
      </c>
      <c r="B977" s="340" t="s">
        <v>9437</v>
      </c>
      <c r="C977" s="340" t="s">
        <v>9363</v>
      </c>
    </row>
    <row r="978">
      <c r="A978" s="75" t="s">
        <v>10826</v>
      </c>
      <c r="B978" s="75" t="s">
        <v>10827</v>
      </c>
      <c r="C978" s="256" t="s">
        <v>9365</v>
      </c>
      <c r="D978" s="256" t="s">
        <v>8952</v>
      </c>
      <c r="E978" s="379" t="s">
        <v>4702</v>
      </c>
      <c r="F978" s="256" t="s">
        <v>4703</v>
      </c>
      <c r="G978" s="379" t="s">
        <v>4320</v>
      </c>
      <c r="H978" s="379" t="s">
        <v>436</v>
      </c>
      <c r="I978" s="379" t="s">
        <v>4704</v>
      </c>
      <c r="J978" s="379" t="s">
        <v>135</v>
      </c>
      <c r="K978" s="379" t="s">
        <v>128</v>
      </c>
    </row>
    <row r="979">
      <c r="A979" s="75" t="s">
        <v>10828</v>
      </c>
      <c r="B979" s="75" t="s">
        <v>10829</v>
      </c>
      <c r="C979" s="4" t="s">
        <v>9441</v>
      </c>
      <c r="D979" s="4" t="s">
        <v>9135</v>
      </c>
      <c r="E979" s="4" t="s">
        <v>8943</v>
      </c>
      <c r="F979" s="4" t="s">
        <v>10830</v>
      </c>
      <c r="G979" s="4" t="s">
        <v>8</v>
      </c>
      <c r="H979" s="4" t="s">
        <v>1500</v>
      </c>
      <c r="I979" s="4" t="s">
        <v>10831</v>
      </c>
      <c r="J979" s="4" t="s">
        <v>10831</v>
      </c>
      <c r="K979" s="4" t="s">
        <v>7900</v>
      </c>
    </row>
    <row r="980">
      <c r="A980" s="75" t="s">
        <v>10832</v>
      </c>
      <c r="B980" s="75" t="s">
        <v>10833</v>
      </c>
      <c r="C980" s="4" t="s">
        <v>9466</v>
      </c>
      <c r="D980" s="4" t="s">
        <v>9135</v>
      </c>
      <c r="E980" s="4" t="s">
        <v>8929</v>
      </c>
      <c r="F980" s="4" t="s">
        <v>10830</v>
      </c>
      <c r="G980" s="4" t="s">
        <v>17</v>
      </c>
      <c r="H980" s="4" t="s">
        <v>1500</v>
      </c>
      <c r="I980" s="4" t="s">
        <v>10834</v>
      </c>
      <c r="J980" s="4" t="s">
        <v>10834</v>
      </c>
      <c r="K980" s="4" t="s">
        <v>9973</v>
      </c>
    </row>
    <row r="981">
      <c r="A981" s="75" t="s">
        <v>9370</v>
      </c>
      <c r="B981" s="75" t="s">
        <v>10835</v>
      </c>
      <c r="C981" s="4" t="s">
        <v>9472</v>
      </c>
      <c r="D981" s="4" t="s">
        <v>9135</v>
      </c>
      <c r="E981" s="4" t="s">
        <v>7756</v>
      </c>
      <c r="F981" s="4" t="s">
        <v>10830</v>
      </c>
      <c r="G981" s="4" t="s">
        <v>8</v>
      </c>
      <c r="H981" s="4" t="s">
        <v>1500</v>
      </c>
      <c r="I981" s="4" t="s">
        <v>8434</v>
      </c>
      <c r="J981" s="4" t="s">
        <v>10836</v>
      </c>
      <c r="K981" s="4" t="s">
        <v>8434</v>
      </c>
    </row>
    <row r="982">
      <c r="A982" s="75" t="s">
        <v>10837</v>
      </c>
      <c r="B982" s="75" t="s">
        <v>10838</v>
      </c>
      <c r="C982" s="108" t="s">
        <v>9448</v>
      </c>
    </row>
    <row r="983">
      <c r="A983" s="75" t="s">
        <v>10839</v>
      </c>
      <c r="B983" s="75" t="s">
        <v>10840</v>
      </c>
    </row>
    <row r="984">
      <c r="A984" s="75" t="s">
        <v>10841</v>
      </c>
      <c r="B984" s="75" t="s">
        <v>10842</v>
      </c>
    </row>
    <row r="985">
      <c r="A985" s="75" t="s">
        <v>4989</v>
      </c>
      <c r="B985" s="75" t="s">
        <v>5964</v>
      </c>
    </row>
    <row r="986">
      <c r="A986" s="75" t="s">
        <v>10843</v>
      </c>
      <c r="B986" s="75" t="s">
        <v>10844</v>
      </c>
      <c r="C986" s="8"/>
      <c r="D986" s="8"/>
      <c r="E986" s="8"/>
      <c r="F986" s="8"/>
      <c r="G986" s="8"/>
      <c r="H986" s="8"/>
      <c r="I986" s="8"/>
      <c r="J986" s="8"/>
      <c r="K986" s="8"/>
    </row>
    <row r="987">
      <c r="A987" s="75" t="s">
        <v>10845</v>
      </c>
      <c r="B987" s="75" t="s">
        <v>3841</v>
      </c>
      <c r="C987" s="8"/>
      <c r="D987" s="8"/>
      <c r="E987" s="8"/>
      <c r="F987" s="8"/>
      <c r="G987" s="8"/>
      <c r="H987" s="8"/>
      <c r="I987" s="8"/>
      <c r="J987" s="8"/>
      <c r="K987" s="8"/>
    </row>
    <row r="988">
      <c r="A988" s="433" t="s">
        <v>10846</v>
      </c>
    </row>
    <row r="989">
      <c r="A989" s="340" t="s">
        <v>9929</v>
      </c>
      <c r="B989" s="340" t="s">
        <v>9770</v>
      </c>
      <c r="C989" s="340" t="s">
        <v>9363</v>
      </c>
    </row>
    <row r="990">
      <c r="A990" s="75" t="s">
        <v>9930</v>
      </c>
      <c r="B990" s="75" t="s">
        <v>10847</v>
      </c>
      <c r="C990" s="256" t="s">
        <v>9365</v>
      </c>
      <c r="D990" s="256" t="s">
        <v>8952</v>
      </c>
      <c r="E990" s="379" t="s">
        <v>4702</v>
      </c>
      <c r="F990" s="256" t="s">
        <v>4703</v>
      </c>
      <c r="G990" s="379" t="s">
        <v>4320</v>
      </c>
      <c r="H990" s="379" t="s">
        <v>436</v>
      </c>
      <c r="I990" s="379" t="s">
        <v>4704</v>
      </c>
      <c r="J990" s="379" t="s">
        <v>135</v>
      </c>
      <c r="K990" s="379" t="s">
        <v>128</v>
      </c>
    </row>
    <row r="991">
      <c r="A991" s="75" t="s">
        <v>10848</v>
      </c>
      <c r="B991" s="75" t="s">
        <v>10849</v>
      </c>
      <c r="C991" s="4" t="s">
        <v>9441</v>
      </c>
      <c r="D991" s="4" t="s">
        <v>9102</v>
      </c>
      <c r="E991" s="4" t="s">
        <v>7756</v>
      </c>
      <c r="F991" s="4" t="s">
        <v>10266</v>
      </c>
      <c r="G991" s="4" t="s">
        <v>6</v>
      </c>
      <c r="H991" s="4" t="s">
        <v>5147</v>
      </c>
      <c r="I991" s="4" t="s">
        <v>10850</v>
      </c>
      <c r="J991" s="4" t="s">
        <v>10064</v>
      </c>
      <c r="K991" s="4" t="s">
        <v>10850</v>
      </c>
    </row>
    <row r="992">
      <c r="A992" s="75" t="s">
        <v>1166</v>
      </c>
      <c r="B992" s="75" t="s">
        <v>3795</v>
      </c>
      <c r="C992" s="108" t="s">
        <v>10851</v>
      </c>
    </row>
    <row r="993">
      <c r="A993" s="75" t="s">
        <v>1504</v>
      </c>
      <c r="B993" s="75" t="s">
        <v>10852</v>
      </c>
      <c r="C993" s="8"/>
      <c r="D993" s="8"/>
      <c r="E993" s="8"/>
      <c r="F993" s="8"/>
      <c r="G993" s="8"/>
      <c r="H993" s="8"/>
      <c r="I993" s="8"/>
      <c r="J993" s="8"/>
      <c r="K993" s="8"/>
    </row>
    <row r="994">
      <c r="A994" s="75" t="s">
        <v>10853</v>
      </c>
      <c r="B994" s="75" t="s">
        <v>10854</v>
      </c>
      <c r="C994" s="8"/>
      <c r="D994" s="8"/>
      <c r="E994" s="8"/>
      <c r="F994" s="8"/>
      <c r="G994" s="8"/>
      <c r="H994" s="8"/>
      <c r="I994" s="8"/>
      <c r="J994" s="8"/>
      <c r="K994" s="8"/>
    </row>
    <row r="995">
      <c r="A995" s="75" t="s">
        <v>10621</v>
      </c>
      <c r="B995" s="75" t="s">
        <v>10855</v>
      </c>
      <c r="C995" s="8"/>
      <c r="D995" s="8"/>
      <c r="E995" s="8"/>
      <c r="F995" s="8"/>
      <c r="G995" s="8"/>
      <c r="H995" s="8"/>
      <c r="I995" s="8"/>
      <c r="J995" s="8"/>
      <c r="K995" s="8"/>
    </row>
    <row r="996">
      <c r="A996" s="75" t="s">
        <v>10856</v>
      </c>
      <c r="B996" s="75" t="s">
        <v>10857</v>
      </c>
      <c r="C996" s="8"/>
      <c r="D996" s="8"/>
      <c r="E996" s="8"/>
      <c r="F996" s="8"/>
      <c r="G996" s="8"/>
      <c r="H996" s="8"/>
      <c r="I996" s="8"/>
      <c r="J996" s="8"/>
      <c r="K996" s="8"/>
    </row>
    <row r="997">
      <c r="A997" s="75" t="s">
        <v>10858</v>
      </c>
      <c r="B997" s="75" t="s">
        <v>10859</v>
      </c>
      <c r="C997" s="8"/>
      <c r="D997" s="8"/>
      <c r="E997" s="8"/>
      <c r="F997" s="8"/>
      <c r="G997" s="8"/>
      <c r="H997" s="8"/>
      <c r="I997" s="8"/>
      <c r="J997" s="8"/>
      <c r="K997" s="8"/>
    </row>
    <row r="998">
      <c r="A998" s="75" t="s">
        <v>10860</v>
      </c>
      <c r="B998" s="75" t="s">
        <v>10861</v>
      </c>
      <c r="C998" s="8"/>
      <c r="D998" s="8"/>
      <c r="E998" s="8"/>
      <c r="F998" s="8"/>
      <c r="G998" s="8"/>
      <c r="H998" s="8"/>
      <c r="I998" s="8"/>
      <c r="J998" s="8"/>
      <c r="K998" s="8"/>
    </row>
    <row r="999">
      <c r="A999" s="75" t="s">
        <v>5605</v>
      </c>
      <c r="B999" s="75" t="s">
        <v>10862</v>
      </c>
      <c r="C999" s="8"/>
      <c r="D999" s="8"/>
      <c r="E999" s="8"/>
      <c r="F999" s="8"/>
      <c r="G999" s="8"/>
      <c r="H999" s="8"/>
      <c r="I999" s="8"/>
      <c r="J999" s="8"/>
      <c r="K999" s="8"/>
    </row>
    <row r="1000">
      <c r="A1000" s="75" t="s">
        <v>10863</v>
      </c>
      <c r="B1000" s="75" t="s">
        <v>6407</v>
      </c>
      <c r="C1000" s="8"/>
      <c r="D1000" s="8"/>
      <c r="E1000" s="8"/>
      <c r="F1000" s="8"/>
      <c r="G1000" s="8"/>
      <c r="H1000" s="8"/>
      <c r="I1000" s="8"/>
      <c r="J1000" s="8"/>
      <c r="K1000" s="8"/>
    </row>
    <row r="1001">
      <c r="A1001" s="75" t="s">
        <v>8199</v>
      </c>
      <c r="B1001" s="75" t="s">
        <v>8207</v>
      </c>
      <c r="C1001" s="8"/>
      <c r="D1001" s="8"/>
      <c r="E1001" s="8"/>
      <c r="F1001" s="8"/>
      <c r="G1001" s="8"/>
      <c r="H1001" s="8"/>
      <c r="I1001" s="8"/>
      <c r="J1001" s="8"/>
      <c r="K1001" s="8"/>
    </row>
    <row r="1002">
      <c r="A1002" s="75" t="s">
        <v>10864</v>
      </c>
      <c r="B1002" s="75" t="s">
        <v>10865</v>
      </c>
      <c r="C1002" s="8"/>
      <c r="D1002" s="8"/>
      <c r="E1002" s="8"/>
      <c r="F1002" s="8"/>
      <c r="G1002" s="8"/>
      <c r="H1002" s="8"/>
      <c r="I1002" s="8"/>
      <c r="J1002" s="8"/>
      <c r="K1002" s="8"/>
    </row>
    <row r="1003">
      <c r="A1003" s="75" t="s">
        <v>5632</v>
      </c>
      <c r="B1003" s="75" t="s">
        <v>10866</v>
      </c>
    </row>
    <row r="1004">
      <c r="A1004" s="75" t="s">
        <v>10867</v>
      </c>
      <c r="B1004" s="75" t="s">
        <v>10868</v>
      </c>
    </row>
    <row r="1005">
      <c r="A1005" s="75" t="s">
        <v>10869</v>
      </c>
      <c r="B1005" s="75" t="s">
        <v>3234</v>
      </c>
    </row>
    <row r="1006">
      <c r="A1006" s="75" t="s">
        <v>10870</v>
      </c>
      <c r="B1006" s="75" t="s">
        <v>8266</v>
      </c>
    </row>
    <row r="1007">
      <c r="A1007" s="75" t="s">
        <v>10871</v>
      </c>
      <c r="B1007" s="75" t="s">
        <v>8280</v>
      </c>
    </row>
    <row r="1008">
      <c r="A1008" s="433" t="s">
        <v>10872</v>
      </c>
    </row>
    <row r="1009">
      <c r="A1009" s="340" t="s">
        <v>9530</v>
      </c>
      <c r="B1009" s="340" t="s">
        <v>9361</v>
      </c>
      <c r="C1009" s="340" t="s">
        <v>9363</v>
      </c>
    </row>
    <row r="1010">
      <c r="A1010" s="75" t="s">
        <v>10873</v>
      </c>
      <c r="B1010" s="75" t="s">
        <v>10874</v>
      </c>
      <c r="C1010" s="256" t="s">
        <v>9365</v>
      </c>
      <c r="D1010" s="256" t="s">
        <v>8952</v>
      </c>
      <c r="E1010" s="379" t="s">
        <v>4702</v>
      </c>
      <c r="F1010" s="256" t="s">
        <v>4703</v>
      </c>
      <c r="G1010" s="379" t="s">
        <v>4320</v>
      </c>
      <c r="H1010" s="379" t="s">
        <v>436</v>
      </c>
      <c r="I1010" s="379" t="s">
        <v>4704</v>
      </c>
      <c r="J1010" s="379" t="s">
        <v>135</v>
      </c>
      <c r="K1010" s="379" t="s">
        <v>128</v>
      </c>
    </row>
    <row r="1011">
      <c r="A1011" s="31" t="s">
        <v>9539</v>
      </c>
      <c r="B1011" s="31" t="s">
        <v>10875</v>
      </c>
      <c r="C1011" s="4" t="s">
        <v>9441</v>
      </c>
      <c r="D1011" s="4" t="s">
        <v>9102</v>
      </c>
      <c r="E1011" s="4" t="s">
        <v>7756</v>
      </c>
      <c r="F1011" s="4" t="s">
        <v>10778</v>
      </c>
      <c r="G1011" s="4" t="s">
        <v>17</v>
      </c>
      <c r="H1011" s="4" t="s">
        <v>204</v>
      </c>
      <c r="I1011" s="4" t="s">
        <v>10748</v>
      </c>
      <c r="J1011" s="4" t="s">
        <v>10748</v>
      </c>
      <c r="K1011" s="4" t="s">
        <v>10876</v>
      </c>
    </row>
    <row r="1012">
      <c r="A1012" s="31" t="s">
        <v>4258</v>
      </c>
      <c r="B1012" s="31" t="s">
        <v>10877</v>
      </c>
      <c r="C1012" s="108" t="s">
        <v>9982</v>
      </c>
    </row>
    <row r="1013">
      <c r="A1013" s="31" t="s">
        <v>10878</v>
      </c>
      <c r="B1013" s="31" t="s">
        <v>10879</v>
      </c>
      <c r="C1013" s="8"/>
      <c r="D1013" s="8"/>
      <c r="E1013" s="8"/>
      <c r="F1013" s="8"/>
      <c r="G1013" s="8"/>
      <c r="H1013" s="8"/>
      <c r="I1013" s="8"/>
      <c r="J1013" s="8"/>
      <c r="K1013" s="8"/>
    </row>
    <row r="1014">
      <c r="A1014" s="31" t="s">
        <v>10880</v>
      </c>
      <c r="B1014" s="31" t="s">
        <v>10881</v>
      </c>
      <c r="C1014" s="8"/>
      <c r="D1014" s="8"/>
      <c r="E1014" s="8"/>
      <c r="F1014" s="8"/>
      <c r="G1014" s="8"/>
      <c r="H1014" s="8"/>
      <c r="I1014" s="8"/>
      <c r="J1014" s="8"/>
      <c r="K1014" s="8"/>
    </row>
    <row r="1015">
      <c r="A1015" s="31" t="s">
        <v>10882</v>
      </c>
      <c r="B1015" s="31" t="s">
        <v>4977</v>
      </c>
      <c r="C1015" s="8"/>
      <c r="D1015" s="8"/>
      <c r="E1015" s="8"/>
      <c r="F1015" s="8"/>
      <c r="G1015" s="8"/>
      <c r="H1015" s="8"/>
      <c r="I1015" s="8"/>
      <c r="J1015" s="8"/>
      <c r="K1015" s="8"/>
    </row>
    <row r="1016">
      <c r="A1016" s="31" t="s">
        <v>10883</v>
      </c>
      <c r="B1016" s="31" t="s">
        <v>7263</v>
      </c>
      <c r="C1016" s="8"/>
      <c r="D1016" s="8"/>
      <c r="E1016" s="8"/>
      <c r="F1016" s="8"/>
      <c r="G1016" s="8"/>
      <c r="H1016" s="8"/>
      <c r="I1016" s="8"/>
      <c r="J1016" s="8"/>
      <c r="K1016" s="8"/>
    </row>
    <row r="1017">
      <c r="A1017" s="31" t="s">
        <v>10884</v>
      </c>
      <c r="B1017" s="31" t="s">
        <v>10885</v>
      </c>
      <c r="C1017" s="8"/>
      <c r="D1017" s="8"/>
      <c r="E1017" s="8"/>
      <c r="F1017" s="8"/>
      <c r="G1017" s="8"/>
      <c r="H1017" s="8"/>
      <c r="I1017" s="8"/>
      <c r="J1017" s="8"/>
      <c r="K1017" s="8"/>
    </row>
    <row r="1018">
      <c r="A1018" s="31" t="s">
        <v>10321</v>
      </c>
      <c r="B1018" s="31" t="s">
        <v>9989</v>
      </c>
      <c r="C1018" s="8"/>
      <c r="D1018" s="8"/>
      <c r="E1018" s="8"/>
      <c r="F1018" s="8"/>
      <c r="G1018" s="8"/>
      <c r="H1018" s="8"/>
      <c r="I1018" s="8"/>
      <c r="J1018" s="8"/>
      <c r="K1018" s="8"/>
    </row>
    <row r="1019">
      <c r="A1019" s="31" t="s">
        <v>10886</v>
      </c>
      <c r="B1019" s="31" t="s">
        <v>10887</v>
      </c>
      <c r="C1019" s="8"/>
      <c r="D1019" s="8"/>
      <c r="E1019" s="8"/>
      <c r="F1019" s="8"/>
      <c r="G1019" s="8"/>
      <c r="H1019" s="8"/>
      <c r="I1019" s="8"/>
      <c r="J1019" s="8"/>
      <c r="K1019" s="8"/>
    </row>
    <row r="1020">
      <c r="A1020" s="31" t="s">
        <v>10888</v>
      </c>
      <c r="B1020" s="31" t="s">
        <v>10889</v>
      </c>
      <c r="C1020" s="8"/>
      <c r="D1020" s="8"/>
      <c r="E1020" s="8"/>
      <c r="F1020" s="8"/>
      <c r="G1020" s="8"/>
      <c r="H1020" s="8"/>
      <c r="I1020" s="8"/>
      <c r="J1020" s="8"/>
      <c r="K1020" s="8"/>
    </row>
    <row r="1021">
      <c r="A1021" s="31" t="s">
        <v>6421</v>
      </c>
      <c r="B1021" s="31" t="s">
        <v>10890</v>
      </c>
    </row>
    <row r="1022">
      <c r="A1022" s="31" t="s">
        <v>10891</v>
      </c>
      <c r="B1022" s="31" t="s">
        <v>10892</v>
      </c>
    </row>
    <row r="1023">
      <c r="A1023" s="31" t="s">
        <v>10893</v>
      </c>
      <c r="B1023" s="31" t="s">
        <v>10894</v>
      </c>
    </row>
    <row r="1024">
      <c r="A1024" s="31" t="s">
        <v>10895</v>
      </c>
      <c r="B1024" s="31" t="s">
        <v>10896</v>
      </c>
    </row>
    <row r="1025">
      <c r="A1025" s="31" t="s">
        <v>10897</v>
      </c>
      <c r="B1025" s="31" t="s">
        <v>10898</v>
      </c>
    </row>
    <row r="1026">
      <c r="A1026" s="31" t="s">
        <v>10899</v>
      </c>
      <c r="B1026" s="31" t="s">
        <v>10900</v>
      </c>
    </row>
    <row r="1027">
      <c r="A1027" s="31" t="s">
        <v>10901</v>
      </c>
      <c r="B1027" s="31" t="s">
        <v>10902</v>
      </c>
    </row>
    <row r="1028">
      <c r="A1028" s="433" t="s">
        <v>10903</v>
      </c>
    </row>
    <row r="1029">
      <c r="A1029" s="340" t="s">
        <v>9532</v>
      </c>
      <c r="B1029" s="340" t="s">
        <v>9530</v>
      </c>
      <c r="C1029" s="340" t="s">
        <v>9363</v>
      </c>
    </row>
    <row r="1030">
      <c r="A1030" s="75" t="s">
        <v>10756</v>
      </c>
      <c r="B1030" s="75" t="s">
        <v>10873</v>
      </c>
      <c r="C1030" s="256" t="s">
        <v>9365</v>
      </c>
      <c r="D1030" s="256" t="s">
        <v>8952</v>
      </c>
      <c r="E1030" s="379" t="s">
        <v>4702</v>
      </c>
      <c r="F1030" s="256" t="s">
        <v>4703</v>
      </c>
      <c r="G1030" s="379" t="s">
        <v>4320</v>
      </c>
      <c r="H1030" s="379" t="s">
        <v>436</v>
      </c>
      <c r="I1030" s="379" t="s">
        <v>4704</v>
      </c>
      <c r="J1030" s="379" t="s">
        <v>135</v>
      </c>
      <c r="K1030" s="379" t="s">
        <v>128</v>
      </c>
    </row>
    <row r="1031">
      <c r="A1031" s="31" t="s">
        <v>10904</v>
      </c>
      <c r="B1031" s="31" t="s">
        <v>10905</v>
      </c>
      <c r="C1031" s="4" t="s">
        <v>9441</v>
      </c>
      <c r="D1031" s="4" t="s">
        <v>9109</v>
      </c>
      <c r="E1031" s="4" t="s">
        <v>7640</v>
      </c>
      <c r="F1031" s="4" t="s">
        <v>8044</v>
      </c>
      <c r="G1031" s="4" t="s">
        <v>18</v>
      </c>
      <c r="H1031" s="4" t="s">
        <v>1500</v>
      </c>
      <c r="I1031" s="4" t="s">
        <v>9597</v>
      </c>
      <c r="J1031" s="4" t="s">
        <v>10906</v>
      </c>
      <c r="K1031" s="4" t="s">
        <v>8055</v>
      </c>
    </row>
    <row r="1032">
      <c r="A1032" s="31" t="s">
        <v>10810</v>
      </c>
      <c r="B1032" s="31" t="s">
        <v>4258</v>
      </c>
      <c r="C1032" s="4" t="s">
        <v>9466</v>
      </c>
      <c r="D1032" s="4" t="s">
        <v>9109</v>
      </c>
      <c r="E1032" s="4" t="s">
        <v>7643</v>
      </c>
      <c r="F1032" s="4" t="s">
        <v>8044</v>
      </c>
      <c r="G1032" s="4" t="s">
        <v>105</v>
      </c>
      <c r="H1032" s="4" t="s">
        <v>1500</v>
      </c>
      <c r="I1032" s="4" t="s">
        <v>8055</v>
      </c>
      <c r="J1032" s="4" t="s">
        <v>8078</v>
      </c>
      <c r="K1032" s="4" t="s">
        <v>8055</v>
      </c>
    </row>
    <row r="1033">
      <c r="A1033" s="31" t="s">
        <v>10907</v>
      </c>
      <c r="B1033" s="31" t="s">
        <v>10779</v>
      </c>
      <c r="C1033" s="4" t="s">
        <v>9472</v>
      </c>
      <c r="D1033" s="4" t="s">
        <v>9109</v>
      </c>
      <c r="E1033" s="4" t="s">
        <v>7654</v>
      </c>
      <c r="F1033" s="4" t="s">
        <v>8044</v>
      </c>
      <c r="G1033" s="4" t="s">
        <v>105</v>
      </c>
      <c r="H1033" s="4" t="s">
        <v>1500</v>
      </c>
      <c r="I1033" s="4" t="s">
        <v>10735</v>
      </c>
      <c r="J1033" s="4" t="s">
        <v>8078</v>
      </c>
      <c r="K1033" s="4" t="s">
        <v>10735</v>
      </c>
    </row>
    <row r="1034">
      <c r="A1034" s="31" t="s">
        <v>10908</v>
      </c>
      <c r="B1034" s="31" t="s">
        <v>10780</v>
      </c>
      <c r="C1034" s="108" t="s">
        <v>9839</v>
      </c>
    </row>
    <row r="1035">
      <c r="A1035" s="31" t="s">
        <v>10909</v>
      </c>
      <c r="B1035" s="31" t="s">
        <v>10882</v>
      </c>
      <c r="C1035" s="8"/>
      <c r="D1035" s="8"/>
      <c r="E1035" s="8"/>
      <c r="F1035" s="8"/>
      <c r="G1035" s="8"/>
      <c r="H1035" s="8"/>
      <c r="I1035" s="8"/>
      <c r="J1035" s="8"/>
      <c r="K1035" s="8"/>
    </row>
    <row r="1036">
      <c r="A1036" s="31" t="s">
        <v>10910</v>
      </c>
      <c r="B1036" s="31" t="s">
        <v>10729</v>
      </c>
      <c r="C1036" s="8"/>
      <c r="D1036" s="8"/>
      <c r="E1036" s="8"/>
      <c r="F1036" s="8"/>
      <c r="G1036" s="8"/>
      <c r="H1036" s="8"/>
      <c r="I1036" s="8"/>
      <c r="J1036" s="8"/>
      <c r="K1036" s="8"/>
    </row>
    <row r="1037">
      <c r="A1037" s="31" t="s">
        <v>10911</v>
      </c>
      <c r="B1037" s="31" t="s">
        <v>10912</v>
      </c>
      <c r="C1037" s="8"/>
      <c r="D1037" s="8"/>
      <c r="E1037" s="8"/>
      <c r="F1037" s="8"/>
      <c r="G1037" s="8"/>
      <c r="H1037" s="8"/>
      <c r="I1037" s="8"/>
      <c r="J1037" s="8"/>
      <c r="K1037" s="8"/>
    </row>
    <row r="1038">
      <c r="A1038" s="31" t="s">
        <v>10913</v>
      </c>
      <c r="B1038" s="31" t="s">
        <v>10914</v>
      </c>
      <c r="C1038" s="8"/>
      <c r="D1038" s="8"/>
      <c r="E1038" s="8"/>
      <c r="F1038" s="8"/>
      <c r="G1038" s="8"/>
      <c r="H1038" s="8"/>
      <c r="I1038" s="8"/>
      <c r="J1038" s="8"/>
      <c r="K1038" s="8"/>
    </row>
    <row r="1039">
      <c r="A1039" s="31" t="s">
        <v>10915</v>
      </c>
      <c r="B1039" s="31" t="s">
        <v>10916</v>
      </c>
      <c r="C1039" s="8"/>
      <c r="D1039" s="8"/>
      <c r="E1039" s="8"/>
      <c r="F1039" s="8"/>
      <c r="G1039" s="8"/>
      <c r="H1039" s="8"/>
      <c r="I1039" s="8"/>
      <c r="J1039" s="8"/>
      <c r="K1039" s="8"/>
    </row>
    <row r="1040">
      <c r="A1040" s="31" t="s">
        <v>10917</v>
      </c>
      <c r="B1040" s="31" t="s">
        <v>10918</v>
      </c>
      <c r="C1040" s="8"/>
      <c r="D1040" s="8"/>
      <c r="E1040" s="8"/>
      <c r="F1040" s="8"/>
      <c r="G1040" s="8"/>
      <c r="H1040" s="8"/>
      <c r="I1040" s="8"/>
      <c r="J1040" s="8"/>
      <c r="K1040" s="8"/>
    </row>
    <row r="1041">
      <c r="A1041" s="31" t="s">
        <v>10919</v>
      </c>
      <c r="B1041" s="31" t="s">
        <v>10920</v>
      </c>
      <c r="C1041" s="8"/>
      <c r="D1041" s="8"/>
      <c r="E1041" s="8"/>
      <c r="F1041" s="8"/>
      <c r="G1041" s="8"/>
      <c r="H1041" s="8"/>
      <c r="I1041" s="8"/>
      <c r="J1041" s="8"/>
      <c r="K1041" s="8"/>
    </row>
    <row r="1042">
      <c r="A1042" s="31" t="s">
        <v>10921</v>
      </c>
      <c r="B1042" s="31" t="s">
        <v>10922</v>
      </c>
      <c r="C1042" s="8"/>
      <c r="D1042" s="8"/>
      <c r="E1042" s="8"/>
      <c r="F1042" s="8"/>
      <c r="G1042" s="8"/>
      <c r="H1042" s="8"/>
      <c r="I1042" s="8"/>
      <c r="J1042" s="8"/>
      <c r="K1042" s="8"/>
    </row>
    <row r="1043">
      <c r="A1043" s="31" t="s">
        <v>10923</v>
      </c>
      <c r="B1043" s="31" t="s">
        <v>10924</v>
      </c>
      <c r="C1043" s="8"/>
      <c r="D1043" s="8"/>
      <c r="E1043" s="8"/>
      <c r="F1043" s="8"/>
      <c r="G1043" s="8"/>
      <c r="H1043" s="8"/>
      <c r="I1043" s="8"/>
      <c r="J1043" s="8"/>
      <c r="K1043" s="8"/>
    </row>
    <row r="1044">
      <c r="A1044" s="31" t="s">
        <v>10925</v>
      </c>
      <c r="B1044" s="31" t="s">
        <v>10926</v>
      </c>
      <c r="C1044" s="8"/>
      <c r="D1044" s="8"/>
      <c r="E1044" s="8"/>
      <c r="F1044" s="8"/>
      <c r="G1044" s="8"/>
      <c r="H1044" s="8"/>
      <c r="I1044" s="8"/>
      <c r="J1044" s="8"/>
      <c r="K1044" s="8"/>
    </row>
    <row r="1045">
      <c r="A1045" s="433" t="s">
        <v>10927</v>
      </c>
    </row>
    <row r="1046">
      <c r="A1046" s="340" t="s">
        <v>10737</v>
      </c>
      <c r="B1046" s="340" t="s">
        <v>9414</v>
      </c>
      <c r="C1046" s="340" t="s">
        <v>9363</v>
      </c>
    </row>
    <row r="1047">
      <c r="A1047" s="75" t="s">
        <v>10928</v>
      </c>
      <c r="B1047" s="75" t="s">
        <v>10929</v>
      </c>
      <c r="C1047" s="256" t="s">
        <v>9365</v>
      </c>
      <c r="D1047" s="256" t="s">
        <v>8952</v>
      </c>
      <c r="E1047" s="379" t="s">
        <v>4702</v>
      </c>
      <c r="F1047" s="256" t="s">
        <v>4703</v>
      </c>
      <c r="G1047" s="379" t="s">
        <v>4320</v>
      </c>
      <c r="H1047" s="379" t="s">
        <v>436</v>
      </c>
      <c r="I1047" s="379" t="s">
        <v>4704</v>
      </c>
      <c r="J1047" s="379" t="s">
        <v>135</v>
      </c>
      <c r="K1047" s="379" t="s">
        <v>128</v>
      </c>
    </row>
    <row r="1048">
      <c r="A1048" s="31" t="s">
        <v>1265</v>
      </c>
      <c r="B1048" s="31" t="s">
        <v>10930</v>
      </c>
      <c r="C1048" s="4" t="s">
        <v>9441</v>
      </c>
      <c r="D1048" s="4" t="s">
        <v>9183</v>
      </c>
      <c r="E1048" s="4" t="s">
        <v>7640</v>
      </c>
      <c r="F1048" s="4" t="s">
        <v>10931</v>
      </c>
      <c r="G1048" s="4" t="s">
        <v>103</v>
      </c>
      <c r="H1048" s="4" t="s">
        <v>1500</v>
      </c>
      <c r="I1048" s="4" t="s">
        <v>10717</v>
      </c>
      <c r="J1048" s="4" t="s">
        <v>10717</v>
      </c>
      <c r="K1048" s="4" t="s">
        <v>10717</v>
      </c>
    </row>
    <row r="1049">
      <c r="A1049" s="31" t="s">
        <v>1207</v>
      </c>
      <c r="B1049" s="31" t="s">
        <v>1901</v>
      </c>
      <c r="C1049" s="4" t="s">
        <v>9466</v>
      </c>
      <c r="D1049" s="4" t="s">
        <v>9183</v>
      </c>
      <c r="E1049" s="4" t="s">
        <v>7643</v>
      </c>
      <c r="F1049" s="4" t="s">
        <v>10931</v>
      </c>
      <c r="G1049" s="4" t="s">
        <v>104</v>
      </c>
      <c r="H1049" s="4" t="s">
        <v>1500</v>
      </c>
      <c r="I1049" s="4" t="s">
        <v>10932</v>
      </c>
      <c r="J1049" s="4" t="s">
        <v>10933</v>
      </c>
      <c r="K1049" s="4" t="s">
        <v>10932</v>
      </c>
    </row>
    <row r="1050">
      <c r="A1050" s="31" t="s">
        <v>10934</v>
      </c>
      <c r="B1050" s="31" t="s">
        <v>10935</v>
      </c>
      <c r="C1050" s="4" t="s">
        <v>9472</v>
      </c>
      <c r="D1050" s="4" t="s">
        <v>9183</v>
      </c>
      <c r="E1050" s="4" t="s">
        <v>7654</v>
      </c>
      <c r="F1050" s="4" t="s">
        <v>10931</v>
      </c>
      <c r="G1050" s="4" t="s">
        <v>103</v>
      </c>
      <c r="H1050" s="4" t="s">
        <v>10936</v>
      </c>
      <c r="I1050" s="4" t="s">
        <v>10724</v>
      </c>
      <c r="J1050" s="4" t="s">
        <v>10724</v>
      </c>
      <c r="K1050" s="4" t="s">
        <v>10724</v>
      </c>
    </row>
    <row r="1051">
      <c r="A1051" s="31" t="s">
        <v>10937</v>
      </c>
      <c r="B1051" s="31" t="s">
        <v>398</v>
      </c>
      <c r="C1051" s="108" t="s">
        <v>9778</v>
      </c>
    </row>
    <row r="1052">
      <c r="A1052" s="31" t="s">
        <v>10938</v>
      </c>
      <c r="B1052" s="31" t="s">
        <v>10939</v>
      </c>
      <c r="C1052" s="8"/>
      <c r="D1052" s="8"/>
      <c r="E1052" s="8"/>
      <c r="F1052" s="8"/>
      <c r="G1052" s="8"/>
      <c r="H1052" s="8"/>
      <c r="I1052" s="8"/>
      <c r="J1052" s="8"/>
      <c r="K1052" s="8"/>
    </row>
    <row r="1053">
      <c r="A1053" s="31" t="s">
        <v>10940</v>
      </c>
      <c r="B1053" s="31" t="s">
        <v>10941</v>
      </c>
      <c r="C1053" s="8"/>
      <c r="D1053" s="8"/>
      <c r="E1053" s="8"/>
      <c r="F1053" s="8"/>
      <c r="G1053" s="8"/>
      <c r="H1053" s="8"/>
      <c r="I1053" s="8"/>
      <c r="J1053" s="8"/>
      <c r="K1053" s="8"/>
    </row>
    <row r="1054">
      <c r="A1054" s="31" t="s">
        <v>10942</v>
      </c>
      <c r="B1054" s="31" t="s">
        <v>10943</v>
      </c>
      <c r="C1054" s="8"/>
      <c r="D1054" s="8"/>
      <c r="E1054" s="8"/>
      <c r="F1054" s="8"/>
      <c r="G1054" s="8"/>
      <c r="H1054" s="8"/>
      <c r="I1054" s="8"/>
      <c r="J1054" s="8"/>
      <c r="K1054" s="8"/>
    </row>
    <row r="1055">
      <c r="A1055" s="31" t="s">
        <v>10944</v>
      </c>
      <c r="B1055" s="31" t="s">
        <v>10774</v>
      </c>
    </row>
    <row r="1056">
      <c r="A1056" s="31" t="s">
        <v>10945</v>
      </c>
      <c r="B1056" s="31" t="s">
        <v>10946</v>
      </c>
    </row>
    <row r="1057">
      <c r="A1057" s="433" t="s">
        <v>10947</v>
      </c>
    </row>
    <row r="1058">
      <c r="A1058" s="340" t="s">
        <v>9531</v>
      </c>
      <c r="B1058" s="340" t="s">
        <v>9361</v>
      </c>
      <c r="C1058" s="340" t="s">
        <v>9363</v>
      </c>
    </row>
    <row r="1059">
      <c r="A1059" s="75" t="s">
        <v>10948</v>
      </c>
      <c r="B1059" s="75" t="s">
        <v>10949</v>
      </c>
      <c r="C1059" s="256" t="s">
        <v>9365</v>
      </c>
      <c r="D1059" s="256" t="s">
        <v>8952</v>
      </c>
      <c r="E1059" s="379" t="s">
        <v>4702</v>
      </c>
      <c r="F1059" s="256" t="s">
        <v>4703</v>
      </c>
      <c r="G1059" s="379" t="s">
        <v>4320</v>
      </c>
      <c r="H1059" s="379" t="s">
        <v>436</v>
      </c>
      <c r="I1059" s="379" t="s">
        <v>4704</v>
      </c>
      <c r="J1059" s="379" t="s">
        <v>135</v>
      </c>
      <c r="K1059" s="379" t="s">
        <v>128</v>
      </c>
    </row>
    <row r="1060">
      <c r="A1060" s="31" t="s">
        <v>10950</v>
      </c>
      <c r="B1060" s="31" t="s">
        <v>10740</v>
      </c>
      <c r="C1060" s="4" t="s">
        <v>9441</v>
      </c>
      <c r="D1060" s="4" t="s">
        <v>9181</v>
      </c>
      <c r="E1060" s="4" t="s">
        <v>7640</v>
      </c>
      <c r="F1060" s="4" t="s">
        <v>35</v>
      </c>
      <c r="G1060" s="4" t="s">
        <v>17</v>
      </c>
      <c r="H1060" s="4" t="s">
        <v>10951</v>
      </c>
      <c r="I1060" s="4" t="s">
        <v>10743</v>
      </c>
      <c r="J1060" s="4" t="s">
        <v>10743</v>
      </c>
      <c r="K1060" s="4" t="s">
        <v>7899</v>
      </c>
    </row>
    <row r="1061">
      <c r="A1061" s="31" t="s">
        <v>10952</v>
      </c>
      <c r="B1061" s="31" t="s">
        <v>10745</v>
      </c>
      <c r="C1061" s="4" t="s">
        <v>9466</v>
      </c>
      <c r="D1061" s="4" t="s">
        <v>9181</v>
      </c>
      <c r="E1061" s="4" t="s">
        <v>7643</v>
      </c>
      <c r="F1061" s="4" t="s">
        <v>35</v>
      </c>
      <c r="G1061" s="4" t="s">
        <v>17</v>
      </c>
      <c r="H1061" s="4" t="s">
        <v>7811</v>
      </c>
      <c r="I1061" s="4" t="s">
        <v>10743</v>
      </c>
      <c r="J1061" s="4" t="s">
        <v>10743</v>
      </c>
      <c r="K1061" s="4" t="s">
        <v>10742</v>
      </c>
    </row>
    <row r="1062">
      <c r="A1062" s="31" t="s">
        <v>10953</v>
      </c>
      <c r="B1062" s="31" t="s">
        <v>10747</v>
      </c>
      <c r="C1062" s="4" t="s">
        <v>9472</v>
      </c>
      <c r="D1062" s="4" t="s">
        <v>9181</v>
      </c>
      <c r="E1062" s="4" t="s">
        <v>7654</v>
      </c>
      <c r="F1062" s="4" t="s">
        <v>35</v>
      </c>
      <c r="G1062" s="4" t="s">
        <v>17</v>
      </c>
      <c r="H1062" s="4" t="s">
        <v>10951</v>
      </c>
      <c r="I1062" s="4" t="s">
        <v>9981</v>
      </c>
      <c r="J1062" s="4" t="s">
        <v>10748</v>
      </c>
      <c r="K1062" s="4" t="s">
        <v>9981</v>
      </c>
    </row>
    <row r="1063">
      <c r="A1063" s="31" t="s">
        <v>10145</v>
      </c>
      <c r="B1063" s="31" t="s">
        <v>10954</v>
      </c>
      <c r="C1063" s="4" t="s">
        <v>9712</v>
      </c>
      <c r="D1063" s="4" t="s">
        <v>9181</v>
      </c>
      <c r="E1063" s="4" t="s">
        <v>7659</v>
      </c>
      <c r="F1063" s="4" t="s">
        <v>35</v>
      </c>
      <c r="G1063" s="4" t="s">
        <v>19</v>
      </c>
      <c r="H1063" s="4" t="s">
        <v>158</v>
      </c>
      <c r="I1063" s="4" t="s">
        <v>8064</v>
      </c>
      <c r="J1063" s="4" t="s">
        <v>8064</v>
      </c>
      <c r="K1063" s="4" t="s">
        <v>10955</v>
      </c>
    </row>
    <row r="1064">
      <c r="A1064" s="31" t="s">
        <v>10956</v>
      </c>
      <c r="B1064" s="31" t="s">
        <v>10957</v>
      </c>
      <c r="C1064" s="4" t="s">
        <v>9716</v>
      </c>
      <c r="D1064" s="4" t="s">
        <v>9181</v>
      </c>
      <c r="E1064" s="4" t="s">
        <v>7666</v>
      </c>
      <c r="F1064" s="4" t="s">
        <v>35</v>
      </c>
      <c r="G1064" s="4" t="s">
        <v>17</v>
      </c>
      <c r="H1064" s="4" t="s">
        <v>10958</v>
      </c>
      <c r="I1064" s="4" t="s">
        <v>10743</v>
      </c>
      <c r="J1064" s="4" t="s">
        <v>9653</v>
      </c>
      <c r="K1064" s="4" t="s">
        <v>9981</v>
      </c>
    </row>
    <row r="1065">
      <c r="A1065" s="31" t="s">
        <v>10959</v>
      </c>
      <c r="B1065" s="31" t="s">
        <v>10753</v>
      </c>
      <c r="C1065" s="108" t="s">
        <v>9982</v>
      </c>
    </row>
    <row r="1066">
      <c r="A1066" s="31" t="s">
        <v>10960</v>
      </c>
      <c r="C1066" s="8"/>
      <c r="D1066" s="8"/>
      <c r="E1066" s="8"/>
      <c r="F1066" s="8"/>
      <c r="G1066" s="8"/>
      <c r="H1066" s="8"/>
      <c r="I1066" s="8"/>
      <c r="J1066" s="8"/>
      <c r="K1066" s="8"/>
    </row>
    <row r="1067">
      <c r="A1067" s="433" t="s">
        <v>10961</v>
      </c>
    </row>
    <row r="1068">
      <c r="A1068" s="340" t="s">
        <v>9770</v>
      </c>
      <c r="B1068" s="340" t="s">
        <v>9532</v>
      </c>
      <c r="C1068" s="340" t="s">
        <v>9363</v>
      </c>
    </row>
    <row r="1069">
      <c r="A1069" s="75" t="s">
        <v>10847</v>
      </c>
      <c r="B1069" s="75" t="s">
        <v>10756</v>
      </c>
      <c r="C1069" s="256" t="s">
        <v>9365</v>
      </c>
      <c r="D1069" s="256" t="s">
        <v>8952</v>
      </c>
      <c r="E1069" s="379" t="s">
        <v>4702</v>
      </c>
      <c r="F1069" s="256" t="s">
        <v>4703</v>
      </c>
      <c r="G1069" s="379" t="s">
        <v>4320</v>
      </c>
      <c r="H1069" s="379" t="s">
        <v>436</v>
      </c>
      <c r="I1069" s="379" t="s">
        <v>4704</v>
      </c>
      <c r="J1069" s="379" t="s">
        <v>135</v>
      </c>
      <c r="K1069" s="379" t="s">
        <v>128</v>
      </c>
    </row>
    <row r="1070">
      <c r="A1070" s="31" t="s">
        <v>10962</v>
      </c>
      <c r="B1070" s="31" t="s">
        <v>10904</v>
      </c>
      <c r="C1070" s="4" t="s">
        <v>9441</v>
      </c>
      <c r="D1070" s="4" t="s">
        <v>9102</v>
      </c>
      <c r="E1070" s="4" t="s">
        <v>7659</v>
      </c>
      <c r="F1070" s="4" t="s">
        <v>9774</v>
      </c>
      <c r="G1070" s="4" t="s">
        <v>16</v>
      </c>
      <c r="H1070" s="4" t="s">
        <v>6288</v>
      </c>
      <c r="I1070" s="4" t="s">
        <v>7781</v>
      </c>
      <c r="J1070" s="4" t="s">
        <v>10963</v>
      </c>
      <c r="K1070" s="4" t="s">
        <v>7781</v>
      </c>
    </row>
    <row r="1071">
      <c r="A1071" s="31" t="s">
        <v>3795</v>
      </c>
      <c r="B1071" s="31" t="s">
        <v>10810</v>
      </c>
      <c r="C1071" s="108" t="s">
        <v>9778</v>
      </c>
    </row>
    <row r="1072">
      <c r="A1072" s="31" t="s">
        <v>10852</v>
      </c>
      <c r="B1072" s="31" t="s">
        <v>10907</v>
      </c>
      <c r="C1072" s="8"/>
      <c r="D1072" s="8"/>
      <c r="E1072" s="8"/>
      <c r="F1072" s="8"/>
      <c r="G1072" s="8"/>
      <c r="H1072" s="8"/>
      <c r="I1072" s="8"/>
      <c r="J1072" s="8"/>
      <c r="K1072" s="8"/>
    </row>
    <row r="1073">
      <c r="A1073" s="31" t="s">
        <v>10854</v>
      </c>
      <c r="B1073" s="31" t="s">
        <v>10908</v>
      </c>
      <c r="C1073" s="8"/>
      <c r="D1073" s="8"/>
      <c r="E1073" s="8"/>
      <c r="F1073" s="8"/>
      <c r="G1073" s="8"/>
      <c r="H1073" s="8"/>
      <c r="I1073" s="8"/>
      <c r="J1073" s="8"/>
      <c r="K1073" s="8"/>
    </row>
    <row r="1074">
      <c r="A1074" s="31" t="s">
        <v>10964</v>
      </c>
      <c r="B1074" s="31" t="s">
        <v>10909</v>
      </c>
    </row>
    <row r="1075">
      <c r="A1075" s="31" t="s">
        <v>10857</v>
      </c>
      <c r="B1075" s="31" t="s">
        <v>10910</v>
      </c>
    </row>
    <row r="1076">
      <c r="A1076" s="31" t="s">
        <v>10859</v>
      </c>
      <c r="B1076" s="31" t="s">
        <v>10965</v>
      </c>
    </row>
    <row r="1077">
      <c r="A1077" s="31" t="s">
        <v>10861</v>
      </c>
      <c r="B1077" s="31" t="s">
        <v>10966</v>
      </c>
    </row>
    <row r="1078">
      <c r="A1078" s="31" t="s">
        <v>10862</v>
      </c>
      <c r="B1078" s="31" t="s">
        <v>10967</v>
      </c>
    </row>
    <row r="1079">
      <c r="A1079" s="31" t="s">
        <v>6407</v>
      </c>
      <c r="B1079" s="31" t="s">
        <v>10968</v>
      </c>
    </row>
    <row r="1080">
      <c r="A1080" s="31" t="s">
        <v>8207</v>
      </c>
      <c r="B1080" s="31" t="s">
        <v>10969</v>
      </c>
    </row>
    <row r="1081">
      <c r="A1081" s="31" t="s">
        <v>10865</v>
      </c>
      <c r="B1081" s="31" t="s">
        <v>10970</v>
      </c>
    </row>
    <row r="1082">
      <c r="A1082" s="31" t="s">
        <v>10866</v>
      </c>
      <c r="B1082" s="31" t="s">
        <v>10971</v>
      </c>
    </row>
    <row r="1083">
      <c r="A1083" s="31" t="s">
        <v>10868</v>
      </c>
      <c r="B1083" s="31" t="s">
        <v>10972</v>
      </c>
    </row>
    <row r="1084">
      <c r="A1084" s="31" t="s">
        <v>3234</v>
      </c>
      <c r="B1084" s="31" t="s">
        <v>10973</v>
      </c>
    </row>
    <row r="1085">
      <c r="A1085" s="31" t="s">
        <v>8266</v>
      </c>
      <c r="B1085" s="31" t="s">
        <v>10974</v>
      </c>
    </row>
    <row r="1086">
      <c r="A1086" s="31" t="s">
        <v>8280</v>
      </c>
      <c r="B1086" s="31" t="s">
        <v>10975</v>
      </c>
    </row>
    <row r="1087">
      <c r="A1087" s="433" t="s">
        <v>10976</v>
      </c>
    </row>
    <row r="1088">
      <c r="A1088" s="340" t="s">
        <v>9414</v>
      </c>
      <c r="B1088" s="340" t="s">
        <v>9802</v>
      </c>
      <c r="C1088" s="340" t="s">
        <v>9363</v>
      </c>
    </row>
    <row r="1089">
      <c r="A1089" s="75" t="s">
        <v>10929</v>
      </c>
      <c r="B1089" s="75" t="s">
        <v>10777</v>
      </c>
      <c r="C1089" s="256" t="s">
        <v>9365</v>
      </c>
      <c r="D1089" s="256" t="s">
        <v>8952</v>
      </c>
      <c r="E1089" s="379" t="s">
        <v>4702</v>
      </c>
      <c r="F1089" s="256" t="s">
        <v>4703</v>
      </c>
      <c r="G1089" s="379" t="s">
        <v>4320</v>
      </c>
      <c r="H1089" s="379" t="s">
        <v>436</v>
      </c>
      <c r="I1089" s="379" t="s">
        <v>4704</v>
      </c>
      <c r="J1089" s="379" t="s">
        <v>135</v>
      </c>
      <c r="K1089" s="379" t="s">
        <v>128</v>
      </c>
    </row>
    <row r="1090">
      <c r="A1090" s="31" t="s">
        <v>9496</v>
      </c>
      <c r="B1090" s="31" t="s">
        <v>478</v>
      </c>
      <c r="C1090" s="4" t="s">
        <v>9441</v>
      </c>
      <c r="D1090" s="4" t="s">
        <v>9109</v>
      </c>
      <c r="E1090" s="4" t="s">
        <v>10977</v>
      </c>
      <c r="F1090" s="4" t="s">
        <v>1871</v>
      </c>
      <c r="G1090" s="4" t="s">
        <v>4</v>
      </c>
      <c r="H1090" s="4" t="s">
        <v>181</v>
      </c>
      <c r="I1090" s="4" t="s">
        <v>7903</v>
      </c>
      <c r="J1090" s="4" t="s">
        <v>7903</v>
      </c>
      <c r="K1090" s="4" t="s">
        <v>10978</v>
      </c>
    </row>
    <row r="1091">
      <c r="A1091" s="31" t="s">
        <v>10979</v>
      </c>
      <c r="B1091" s="31" t="s">
        <v>711</v>
      </c>
      <c r="C1091" s="108" t="s">
        <v>10980</v>
      </c>
    </row>
    <row r="1092">
      <c r="A1092" s="31" t="s">
        <v>9419</v>
      </c>
      <c r="B1092" s="31" t="s">
        <v>10981</v>
      </c>
    </row>
    <row r="1093">
      <c r="A1093" s="31" t="s">
        <v>10982</v>
      </c>
      <c r="B1093" s="31" t="s">
        <v>4971</v>
      </c>
    </row>
    <row r="1094">
      <c r="A1094" s="31" t="s">
        <v>10983</v>
      </c>
      <c r="B1094" s="31" t="s">
        <v>10984</v>
      </c>
    </row>
    <row r="1095">
      <c r="A1095" s="31" t="s">
        <v>10985</v>
      </c>
      <c r="B1095" s="31" t="s">
        <v>10986</v>
      </c>
    </row>
    <row r="1096">
      <c r="A1096" s="31" t="s">
        <v>10987</v>
      </c>
      <c r="B1096" s="31" t="s">
        <v>10784</v>
      </c>
    </row>
    <row r="1097">
      <c r="A1097" s="31" t="s">
        <v>10988</v>
      </c>
      <c r="B1097" s="31" t="s">
        <v>10989</v>
      </c>
    </row>
    <row r="1098">
      <c r="A1098" s="31" t="s">
        <v>7979</v>
      </c>
      <c r="B1098" s="31" t="s">
        <v>681</v>
      </c>
    </row>
    <row r="1099">
      <c r="A1099" s="31" t="s">
        <v>10990</v>
      </c>
      <c r="B1099" s="31" t="s">
        <v>10991</v>
      </c>
    </row>
    <row r="1100">
      <c r="A1100" s="31" t="s">
        <v>10992</v>
      </c>
      <c r="B1100" s="31" t="s">
        <v>10993</v>
      </c>
    </row>
    <row r="1101">
      <c r="A1101" s="31" t="s">
        <v>10994</v>
      </c>
      <c r="B1101" s="31" t="s">
        <v>10995</v>
      </c>
    </row>
    <row r="1102">
      <c r="A1102" s="31" t="s">
        <v>10996</v>
      </c>
      <c r="B1102" s="31" t="s">
        <v>10997</v>
      </c>
    </row>
    <row r="1103">
      <c r="A1103" s="31" t="s">
        <v>10998</v>
      </c>
      <c r="B1103" s="31" t="s">
        <v>10999</v>
      </c>
    </row>
    <row r="1104">
      <c r="A1104" s="433" t="s">
        <v>11000</v>
      </c>
    </row>
    <row r="1105">
      <c r="A1105" s="340" t="s">
        <v>9770</v>
      </c>
      <c r="B1105" s="340" t="s">
        <v>9532</v>
      </c>
      <c r="C1105" s="340" t="s">
        <v>9363</v>
      </c>
    </row>
    <row r="1106">
      <c r="A1106" s="75" t="s">
        <v>10847</v>
      </c>
      <c r="B1106" s="75" t="s">
        <v>10756</v>
      </c>
      <c r="C1106" s="256" t="s">
        <v>9365</v>
      </c>
      <c r="D1106" s="256" t="s">
        <v>8952</v>
      </c>
      <c r="E1106" s="379" t="s">
        <v>4702</v>
      </c>
      <c r="F1106" s="256" t="s">
        <v>4703</v>
      </c>
      <c r="G1106" s="379" t="s">
        <v>4320</v>
      </c>
      <c r="H1106" s="379" t="s">
        <v>436</v>
      </c>
      <c r="I1106" s="379" t="s">
        <v>4704</v>
      </c>
      <c r="J1106" s="379" t="s">
        <v>135</v>
      </c>
      <c r="K1106" s="379" t="s">
        <v>128</v>
      </c>
    </row>
    <row r="1107">
      <c r="A1107" s="31" t="s">
        <v>10962</v>
      </c>
      <c r="B1107" s="31" t="s">
        <v>10904</v>
      </c>
      <c r="C1107" s="4" t="s">
        <v>9441</v>
      </c>
      <c r="D1107" s="4" t="s">
        <v>9102</v>
      </c>
      <c r="E1107" s="4" t="s">
        <v>7666</v>
      </c>
      <c r="F1107" s="4" t="s">
        <v>9774</v>
      </c>
      <c r="G1107" s="4" t="s">
        <v>16</v>
      </c>
      <c r="H1107" s="4" t="s">
        <v>1500</v>
      </c>
      <c r="I1107" s="4" t="s">
        <v>7816</v>
      </c>
      <c r="J1107" s="4" t="s">
        <v>7816</v>
      </c>
      <c r="K1107" s="4" t="s">
        <v>7816</v>
      </c>
    </row>
    <row r="1108">
      <c r="A1108" s="31" t="s">
        <v>3795</v>
      </c>
      <c r="B1108" s="31" t="s">
        <v>10810</v>
      </c>
      <c r="C1108" s="108" t="s">
        <v>9778</v>
      </c>
    </row>
    <row r="1109">
      <c r="A1109" s="31" t="s">
        <v>10852</v>
      </c>
      <c r="B1109" s="31" t="s">
        <v>10907</v>
      </c>
      <c r="C1109" s="8"/>
      <c r="D1109" s="8"/>
      <c r="E1109" s="8"/>
      <c r="F1109" s="8"/>
      <c r="G1109" s="8"/>
      <c r="H1109" s="8"/>
      <c r="I1109" s="8"/>
      <c r="J1109" s="8"/>
      <c r="K1109" s="8"/>
    </row>
    <row r="1110">
      <c r="A1110" s="31" t="s">
        <v>10854</v>
      </c>
      <c r="B1110" s="31" t="s">
        <v>10908</v>
      </c>
      <c r="C1110" s="8"/>
      <c r="D1110" s="8"/>
      <c r="E1110" s="8"/>
      <c r="F1110" s="8"/>
      <c r="G1110" s="8"/>
      <c r="H1110" s="8"/>
      <c r="I1110" s="8"/>
      <c r="J1110" s="8"/>
      <c r="K1110" s="8"/>
    </row>
    <row r="1111">
      <c r="A1111" s="31" t="s">
        <v>10964</v>
      </c>
      <c r="B1111" s="31" t="s">
        <v>10909</v>
      </c>
      <c r="C1111" s="8"/>
      <c r="D1111" s="8"/>
      <c r="E1111" s="8"/>
      <c r="F1111" s="8"/>
      <c r="G1111" s="8"/>
      <c r="H1111" s="8"/>
      <c r="I1111" s="8"/>
      <c r="J1111" s="8"/>
      <c r="K1111" s="8"/>
    </row>
    <row r="1112">
      <c r="A1112" s="31" t="s">
        <v>10857</v>
      </c>
      <c r="B1112" s="31" t="s">
        <v>10910</v>
      </c>
      <c r="C1112" s="8"/>
      <c r="D1112" s="8"/>
      <c r="E1112" s="8"/>
      <c r="F1112" s="8"/>
      <c r="G1112" s="8"/>
      <c r="H1112" s="8"/>
      <c r="I1112" s="8"/>
      <c r="J1112" s="8"/>
      <c r="K1112" s="8"/>
    </row>
    <row r="1113">
      <c r="A1113" s="31" t="s">
        <v>10859</v>
      </c>
      <c r="B1113" s="31" t="s">
        <v>10965</v>
      </c>
      <c r="C1113" s="8"/>
      <c r="D1113" s="8"/>
      <c r="E1113" s="8"/>
      <c r="F1113" s="8"/>
      <c r="G1113" s="8"/>
      <c r="H1113" s="8"/>
      <c r="I1113" s="8"/>
      <c r="J1113" s="8"/>
      <c r="K1113" s="8"/>
    </row>
    <row r="1114">
      <c r="A1114" s="31" t="s">
        <v>10861</v>
      </c>
      <c r="B1114" s="31" t="s">
        <v>10966</v>
      </c>
      <c r="C1114" s="8"/>
      <c r="D1114" s="8"/>
      <c r="E1114" s="8"/>
      <c r="F1114" s="8"/>
      <c r="G1114" s="8"/>
      <c r="H1114" s="8"/>
      <c r="I1114" s="8"/>
      <c r="J1114" s="8"/>
      <c r="K1114" s="8"/>
    </row>
    <row r="1115">
      <c r="A1115" s="31" t="s">
        <v>10862</v>
      </c>
      <c r="B1115" s="31" t="s">
        <v>10967</v>
      </c>
      <c r="C1115" s="8"/>
      <c r="D1115" s="8"/>
      <c r="E1115" s="8"/>
      <c r="F1115" s="8"/>
      <c r="G1115" s="8"/>
      <c r="H1115" s="8"/>
      <c r="I1115" s="8"/>
      <c r="J1115" s="8"/>
      <c r="K1115" s="8"/>
    </row>
    <row r="1116">
      <c r="A1116" s="31" t="s">
        <v>6407</v>
      </c>
      <c r="B1116" s="31" t="s">
        <v>10968</v>
      </c>
      <c r="C1116" s="8"/>
      <c r="D1116" s="8"/>
      <c r="E1116" s="8"/>
      <c r="F1116" s="8"/>
      <c r="G1116" s="8"/>
      <c r="H1116" s="8"/>
      <c r="I1116" s="8"/>
      <c r="J1116" s="8"/>
      <c r="K1116" s="8"/>
    </row>
    <row r="1117">
      <c r="A1117" s="31" t="s">
        <v>8207</v>
      </c>
      <c r="B1117" s="31" t="s">
        <v>10969</v>
      </c>
      <c r="C1117" s="8"/>
      <c r="D1117" s="8"/>
      <c r="E1117" s="8"/>
      <c r="F1117" s="8"/>
      <c r="G1117" s="8"/>
      <c r="H1117" s="8"/>
      <c r="I1117" s="8"/>
      <c r="J1117" s="8"/>
      <c r="K1117" s="8"/>
    </row>
    <row r="1118">
      <c r="A1118" s="31" t="s">
        <v>10865</v>
      </c>
      <c r="B1118" s="31" t="s">
        <v>10970</v>
      </c>
    </row>
    <row r="1119">
      <c r="A1119" s="31" t="s">
        <v>10866</v>
      </c>
      <c r="B1119" s="31" t="s">
        <v>10971</v>
      </c>
    </row>
    <row r="1120">
      <c r="A1120" s="31" t="s">
        <v>10868</v>
      </c>
      <c r="B1120" s="31" t="s">
        <v>10972</v>
      </c>
    </row>
    <row r="1121">
      <c r="A1121" s="31" t="s">
        <v>3234</v>
      </c>
      <c r="B1121" s="31" t="s">
        <v>10973</v>
      </c>
    </row>
    <row r="1122">
      <c r="A1122" s="31" t="s">
        <v>8266</v>
      </c>
      <c r="B1122" s="31" t="s">
        <v>10974</v>
      </c>
    </row>
    <row r="1123">
      <c r="A1123" s="31" t="s">
        <v>8280</v>
      </c>
      <c r="B1123" s="31" t="s">
        <v>10975</v>
      </c>
    </row>
    <row r="1124">
      <c r="A1124" s="433" t="s">
        <v>11001</v>
      </c>
    </row>
    <row r="1125">
      <c r="A1125" s="340" t="s">
        <v>9361</v>
      </c>
      <c r="B1125" s="340" t="s">
        <v>9530</v>
      </c>
      <c r="C1125" s="340" t="s">
        <v>9363</v>
      </c>
    </row>
    <row r="1126">
      <c r="A1126" s="75" t="s">
        <v>11002</v>
      </c>
      <c r="B1126" s="75" t="s">
        <v>10715</v>
      </c>
      <c r="C1126" s="256" t="s">
        <v>9365</v>
      </c>
      <c r="D1126" s="256" t="s">
        <v>8952</v>
      </c>
      <c r="E1126" s="379" t="s">
        <v>4702</v>
      </c>
      <c r="F1126" s="256" t="s">
        <v>4703</v>
      </c>
      <c r="G1126" s="379" t="s">
        <v>4320</v>
      </c>
      <c r="H1126" s="379" t="s">
        <v>436</v>
      </c>
      <c r="I1126" s="379" t="s">
        <v>4704</v>
      </c>
      <c r="J1126" s="379" t="s">
        <v>135</v>
      </c>
      <c r="K1126" s="379" t="s">
        <v>128</v>
      </c>
    </row>
    <row r="1127">
      <c r="A1127" s="31" t="s">
        <v>11003</v>
      </c>
      <c r="B1127" s="31" t="s">
        <v>9539</v>
      </c>
      <c r="C1127" s="4" t="s">
        <v>9441</v>
      </c>
      <c r="D1127" s="4" t="s">
        <v>9109</v>
      </c>
      <c r="E1127" s="4" t="s">
        <v>7666</v>
      </c>
      <c r="F1127" s="4" t="s">
        <v>4834</v>
      </c>
      <c r="G1127" s="4" t="s">
        <v>17</v>
      </c>
      <c r="H1127" s="4" t="s">
        <v>11004</v>
      </c>
      <c r="I1127" s="4" t="s">
        <v>10814</v>
      </c>
      <c r="J1127" s="4" t="s">
        <v>10814</v>
      </c>
      <c r="K1127" s="4" t="s">
        <v>9544</v>
      </c>
    </row>
    <row r="1128">
      <c r="A1128" s="31" t="s">
        <v>11005</v>
      </c>
      <c r="B1128" s="31" t="s">
        <v>4258</v>
      </c>
      <c r="C1128" s="108" t="s">
        <v>9982</v>
      </c>
    </row>
    <row r="1129">
      <c r="A1129" s="31" t="s">
        <v>9677</v>
      </c>
      <c r="B1129" s="31" t="s">
        <v>11006</v>
      </c>
      <c r="C1129" s="8"/>
      <c r="D1129" s="8"/>
      <c r="E1129" s="8"/>
      <c r="F1129" s="8"/>
      <c r="G1129" s="8"/>
      <c r="H1129" s="8"/>
      <c r="I1129" s="8"/>
      <c r="J1129" s="8"/>
      <c r="K1129" s="8"/>
    </row>
    <row r="1130">
      <c r="A1130" s="31" t="s">
        <v>11007</v>
      </c>
      <c r="B1130" s="31" t="s">
        <v>11008</v>
      </c>
      <c r="C1130" s="8"/>
      <c r="D1130" s="8"/>
      <c r="E1130" s="8"/>
      <c r="F1130" s="8"/>
      <c r="G1130" s="8"/>
      <c r="H1130" s="8"/>
      <c r="I1130" s="8"/>
      <c r="J1130" s="8"/>
      <c r="K1130" s="8"/>
    </row>
    <row r="1131">
      <c r="A1131" s="31" t="s">
        <v>10839</v>
      </c>
      <c r="B1131" s="31" t="s">
        <v>11009</v>
      </c>
      <c r="C1131" s="8"/>
      <c r="D1131" s="8"/>
      <c r="E1131" s="8"/>
      <c r="F1131" s="8"/>
      <c r="G1131" s="8"/>
      <c r="H1131" s="8"/>
      <c r="I1131" s="8"/>
      <c r="J1131" s="8"/>
      <c r="K1131" s="8"/>
    </row>
    <row r="1132">
      <c r="A1132" s="31" t="s">
        <v>11010</v>
      </c>
      <c r="B1132" s="31" t="s">
        <v>11011</v>
      </c>
      <c r="C1132" s="8"/>
      <c r="D1132" s="8"/>
      <c r="E1132" s="8"/>
      <c r="F1132" s="8"/>
      <c r="G1132" s="8"/>
      <c r="H1132" s="8"/>
      <c r="I1132" s="8"/>
      <c r="J1132" s="8"/>
      <c r="K1132" s="8"/>
    </row>
    <row r="1133">
      <c r="A1133" s="31" t="s">
        <v>10686</v>
      </c>
      <c r="B1133" s="31" t="s">
        <v>11012</v>
      </c>
      <c r="C1133" s="8"/>
      <c r="D1133" s="8"/>
      <c r="E1133" s="8"/>
      <c r="F1133" s="8"/>
      <c r="G1133" s="8"/>
      <c r="H1133" s="8"/>
      <c r="I1133" s="8"/>
      <c r="J1133" s="8"/>
      <c r="K1133" s="8"/>
    </row>
    <row r="1134">
      <c r="A1134" s="31" t="s">
        <v>11013</v>
      </c>
      <c r="B1134" s="31" t="s">
        <v>10379</v>
      </c>
      <c r="C1134" s="8"/>
      <c r="D1134" s="8"/>
      <c r="E1134" s="8"/>
      <c r="F1134" s="8"/>
      <c r="G1134" s="8"/>
      <c r="H1134" s="8"/>
      <c r="I1134" s="8"/>
      <c r="J1134" s="8"/>
      <c r="K1134" s="8"/>
    </row>
    <row r="1135">
      <c r="A1135" s="31" t="s">
        <v>11014</v>
      </c>
      <c r="B1135" s="31" t="s">
        <v>4285</v>
      </c>
    </row>
    <row r="1136">
      <c r="A1136" s="31" t="s">
        <v>5000</v>
      </c>
      <c r="B1136" s="31" t="s">
        <v>11015</v>
      </c>
    </row>
    <row r="1137">
      <c r="A1137" s="31" t="s">
        <v>11016</v>
      </c>
      <c r="B1137" s="31" t="s">
        <v>11017</v>
      </c>
    </row>
    <row r="1138">
      <c r="A1138" s="31" t="s">
        <v>11018</v>
      </c>
      <c r="B1138" s="31" t="s">
        <v>4293</v>
      </c>
    </row>
    <row r="1139">
      <c r="B1139" s="31" t="s">
        <v>11019</v>
      </c>
    </row>
    <row r="1140">
      <c r="A1140" s="433" t="s">
        <v>11020</v>
      </c>
    </row>
    <row r="1141">
      <c r="A1141" s="340" t="s">
        <v>9802</v>
      </c>
      <c r="B1141" s="340" t="s">
        <v>9531</v>
      </c>
      <c r="C1141" s="340" t="s">
        <v>9363</v>
      </c>
    </row>
    <row r="1142">
      <c r="A1142" s="31" t="s">
        <v>10777</v>
      </c>
      <c r="B1142" s="75" t="s">
        <v>11021</v>
      </c>
      <c r="C1142" s="256" t="s">
        <v>9365</v>
      </c>
      <c r="D1142" s="256" t="s">
        <v>8952</v>
      </c>
      <c r="E1142" s="379" t="s">
        <v>4702</v>
      </c>
      <c r="F1142" s="256" t="s">
        <v>4703</v>
      </c>
      <c r="G1142" s="379" t="s">
        <v>4320</v>
      </c>
      <c r="H1142" s="379" t="s">
        <v>436</v>
      </c>
      <c r="I1142" s="379" t="s">
        <v>4704</v>
      </c>
      <c r="J1142" s="379" t="s">
        <v>135</v>
      </c>
      <c r="K1142" s="379" t="s">
        <v>128</v>
      </c>
    </row>
    <row r="1143">
      <c r="A1143" s="31" t="s">
        <v>11022</v>
      </c>
      <c r="B1143" s="31" t="s">
        <v>11023</v>
      </c>
      <c r="C1143" s="4" t="s">
        <v>9441</v>
      </c>
      <c r="D1143" s="4" t="s">
        <v>9102</v>
      </c>
      <c r="E1143" s="4" t="s">
        <v>7673</v>
      </c>
      <c r="F1143" s="4" t="s">
        <v>5452</v>
      </c>
      <c r="G1143" s="4" t="s">
        <v>19</v>
      </c>
      <c r="H1143" s="4" t="s">
        <v>6288</v>
      </c>
      <c r="I1143" s="4" t="s">
        <v>9565</v>
      </c>
      <c r="J1143" s="4" t="s">
        <v>9565</v>
      </c>
      <c r="K1143" s="4" t="s">
        <v>7909</v>
      </c>
    </row>
    <row r="1144">
      <c r="A1144" s="31" t="s">
        <v>961</v>
      </c>
      <c r="B1144" s="31" t="s">
        <v>11024</v>
      </c>
      <c r="C1144" s="108" t="s">
        <v>9655</v>
      </c>
    </row>
    <row r="1145">
      <c r="A1145" s="31" t="s">
        <v>636</v>
      </c>
      <c r="B1145" s="31" t="s">
        <v>11025</v>
      </c>
      <c r="C1145" s="8"/>
      <c r="D1145" s="8"/>
      <c r="E1145" s="8"/>
      <c r="F1145" s="8"/>
      <c r="G1145" s="8"/>
      <c r="H1145" s="8"/>
      <c r="I1145" s="8"/>
      <c r="J1145" s="8"/>
      <c r="K1145" s="8"/>
    </row>
    <row r="1146">
      <c r="A1146" s="31" t="s">
        <v>827</v>
      </c>
      <c r="B1146" s="31" t="s">
        <v>11026</v>
      </c>
      <c r="C1146" s="8"/>
      <c r="D1146" s="8"/>
      <c r="E1146" s="8"/>
      <c r="F1146" s="8"/>
      <c r="G1146" s="8"/>
      <c r="H1146" s="8"/>
      <c r="I1146" s="8"/>
      <c r="J1146" s="8"/>
      <c r="K1146" s="8"/>
    </row>
    <row r="1147">
      <c r="A1147" s="31" t="s">
        <v>11027</v>
      </c>
      <c r="B1147" s="31" t="s">
        <v>11028</v>
      </c>
      <c r="C1147" s="8"/>
      <c r="D1147" s="8"/>
      <c r="E1147" s="8"/>
      <c r="F1147" s="8"/>
      <c r="G1147" s="8"/>
      <c r="H1147" s="8"/>
      <c r="I1147" s="8"/>
      <c r="J1147" s="8"/>
      <c r="K1147" s="8"/>
    </row>
    <row r="1148">
      <c r="A1148" s="31" t="s">
        <v>11029</v>
      </c>
      <c r="B1148" s="31" t="s">
        <v>11030</v>
      </c>
      <c r="C1148" s="8"/>
      <c r="D1148" s="8"/>
      <c r="E1148" s="8"/>
      <c r="F1148" s="8"/>
      <c r="G1148" s="8"/>
      <c r="H1148" s="8"/>
      <c r="I1148" s="8"/>
      <c r="J1148" s="8"/>
      <c r="K1148" s="8"/>
    </row>
    <row r="1149">
      <c r="A1149" s="31" t="s">
        <v>10511</v>
      </c>
      <c r="B1149" s="31" t="s">
        <v>11031</v>
      </c>
      <c r="C1149" s="8"/>
      <c r="D1149" s="8"/>
      <c r="E1149" s="8"/>
      <c r="F1149" s="8"/>
      <c r="G1149" s="8"/>
      <c r="H1149" s="8"/>
      <c r="I1149" s="8"/>
      <c r="J1149" s="8"/>
      <c r="K1149" s="8"/>
    </row>
    <row r="1150">
      <c r="A1150" s="31" t="s">
        <v>11032</v>
      </c>
      <c r="B1150" s="31" t="s">
        <v>11033</v>
      </c>
    </row>
    <row r="1151">
      <c r="A1151" s="31" t="s">
        <v>11034</v>
      </c>
      <c r="B1151" s="31" t="s">
        <v>10704</v>
      </c>
    </row>
    <row r="1152">
      <c r="A1152" s="31" t="s">
        <v>10991</v>
      </c>
      <c r="B1152" s="31" t="s">
        <v>11035</v>
      </c>
    </row>
    <row r="1153">
      <c r="A1153" s="31" t="s">
        <v>9823</v>
      </c>
      <c r="B1153" s="31" t="s">
        <v>11036</v>
      </c>
    </row>
    <row r="1154">
      <c r="A1154" s="31" t="s">
        <v>11037</v>
      </c>
      <c r="B1154" s="31" t="s">
        <v>11038</v>
      </c>
    </row>
    <row r="1155">
      <c r="A1155" s="31" t="s">
        <v>11039</v>
      </c>
      <c r="B1155" s="31" t="s">
        <v>11040</v>
      </c>
    </row>
    <row r="1156">
      <c r="A1156" s="31" t="s">
        <v>11041</v>
      </c>
      <c r="B1156" s="31" t="s">
        <v>9667</v>
      </c>
    </row>
    <row r="1157">
      <c r="A1157" s="31" t="s">
        <v>11042</v>
      </c>
      <c r="B1157" s="31" t="s">
        <v>11043</v>
      </c>
    </row>
    <row r="1158">
      <c r="A1158" s="31" t="s">
        <v>11044</v>
      </c>
      <c r="B1158" s="31" t="s">
        <v>11045</v>
      </c>
    </row>
    <row r="1159">
      <c r="A1159" s="31" t="s">
        <v>11046</v>
      </c>
    </row>
    <row r="1160">
      <c r="A1160" s="433" t="s">
        <v>11047</v>
      </c>
    </row>
    <row r="1161">
      <c r="A1161" s="340" t="s">
        <v>9361</v>
      </c>
      <c r="B1161" s="340" t="s">
        <v>10015</v>
      </c>
      <c r="C1161" s="340" t="s">
        <v>9363</v>
      </c>
    </row>
    <row r="1162">
      <c r="A1162" s="31" t="s">
        <v>10805</v>
      </c>
      <c r="B1162" s="31" t="s">
        <v>11048</v>
      </c>
      <c r="C1162" s="256" t="s">
        <v>9365</v>
      </c>
      <c r="D1162" s="256" t="s">
        <v>8952</v>
      </c>
      <c r="E1162" s="379" t="s">
        <v>4702</v>
      </c>
      <c r="F1162" s="256" t="s">
        <v>4703</v>
      </c>
      <c r="G1162" s="379" t="s">
        <v>4320</v>
      </c>
      <c r="H1162" s="379" t="s">
        <v>436</v>
      </c>
      <c r="I1162" s="379" t="s">
        <v>4704</v>
      </c>
      <c r="J1162" s="379" t="s">
        <v>135</v>
      </c>
      <c r="K1162" s="379" t="s">
        <v>128</v>
      </c>
    </row>
    <row r="1163">
      <c r="A1163" s="31" t="s">
        <v>11049</v>
      </c>
      <c r="B1163" s="31" t="s">
        <v>11050</v>
      </c>
      <c r="C1163" s="4" t="s">
        <v>9441</v>
      </c>
      <c r="D1163" s="4" t="s">
        <v>9102</v>
      </c>
      <c r="E1163" s="4" t="s">
        <v>7673</v>
      </c>
      <c r="F1163" s="4" t="s">
        <v>5439</v>
      </c>
      <c r="G1163" s="4" t="s">
        <v>9</v>
      </c>
      <c r="H1163" s="4" t="s">
        <v>11051</v>
      </c>
      <c r="I1163" s="4" t="s">
        <v>7857</v>
      </c>
      <c r="J1163" s="4" t="s">
        <v>7857</v>
      </c>
      <c r="K1163" s="4" t="s">
        <v>11052</v>
      </c>
    </row>
    <row r="1164">
      <c r="A1164" s="31" t="s">
        <v>11053</v>
      </c>
      <c r="B1164" s="31" t="s">
        <v>11054</v>
      </c>
      <c r="C1164" s="108" t="s">
        <v>10026</v>
      </c>
    </row>
    <row r="1165">
      <c r="A1165" s="31" t="s">
        <v>9370</v>
      </c>
      <c r="B1165" s="31" t="s">
        <v>11055</v>
      </c>
      <c r="C1165" s="64"/>
      <c r="D1165" s="64"/>
      <c r="E1165" s="64"/>
      <c r="F1165" s="64"/>
      <c r="G1165" s="64"/>
      <c r="H1165" s="64"/>
      <c r="I1165" s="64"/>
      <c r="J1165" s="64"/>
      <c r="K1165" s="64"/>
    </row>
    <row r="1166">
      <c r="A1166" s="31" t="s">
        <v>11056</v>
      </c>
      <c r="B1166" s="31" t="s">
        <v>11057</v>
      </c>
      <c r="C1166" s="99"/>
      <c r="D1166" s="99"/>
      <c r="E1166" s="99"/>
      <c r="F1166" s="99"/>
      <c r="G1166" s="99"/>
      <c r="H1166" s="99"/>
      <c r="I1166" s="99"/>
      <c r="J1166" s="99"/>
      <c r="K1166" s="99"/>
    </row>
    <row r="1167">
      <c r="A1167" s="31" t="s">
        <v>10817</v>
      </c>
      <c r="B1167" s="31" t="s">
        <v>11058</v>
      </c>
      <c r="E1167" s="45"/>
    </row>
    <row r="1168">
      <c r="A1168" s="31" t="s">
        <v>10841</v>
      </c>
      <c r="B1168" s="31" t="s">
        <v>11059</v>
      </c>
      <c r="C1168" s="45"/>
      <c r="E1168" s="45"/>
    </row>
    <row r="1169">
      <c r="A1169" s="31" t="s">
        <v>9741</v>
      </c>
      <c r="B1169" s="31" t="s">
        <v>11060</v>
      </c>
      <c r="C1169" s="4"/>
    </row>
    <row r="1170">
      <c r="A1170" s="31" t="s">
        <v>11061</v>
      </c>
      <c r="B1170" s="31" t="s">
        <v>5285</v>
      </c>
      <c r="C1170" s="4"/>
    </row>
    <row r="1171">
      <c r="A1171" s="31" t="s">
        <v>5291</v>
      </c>
      <c r="B1171" s="31" t="s">
        <v>11062</v>
      </c>
      <c r="C1171" s="4"/>
    </row>
    <row r="1172">
      <c r="A1172" s="31" t="s">
        <v>11063</v>
      </c>
      <c r="B1172" s="31" t="s">
        <v>11064</v>
      </c>
      <c r="C1172" s="4"/>
    </row>
    <row r="1173">
      <c r="A1173" s="31" t="s">
        <v>11065</v>
      </c>
      <c r="B1173" s="31" t="s">
        <v>11066</v>
      </c>
    </row>
    <row r="1174">
      <c r="A1174" s="31" t="s">
        <v>10892</v>
      </c>
      <c r="B1174" s="31" t="s">
        <v>11067</v>
      </c>
      <c r="C1174" s="45"/>
    </row>
    <row r="1175">
      <c r="A1175" s="31" t="s">
        <v>11068</v>
      </c>
      <c r="B1175" s="31" t="s">
        <v>11069</v>
      </c>
      <c r="C1175" s="45"/>
    </row>
    <row r="1176">
      <c r="B1176" s="31" t="s">
        <v>11070</v>
      </c>
    </row>
    <row r="1177">
      <c r="B1177" s="31" t="s">
        <v>8247</v>
      </c>
    </row>
    <row r="1178">
      <c r="B1178" s="31" t="s">
        <v>11071</v>
      </c>
      <c r="C1178" s="45"/>
    </row>
    <row r="1179">
      <c r="B1179" s="31" t="s">
        <v>11072</v>
      </c>
    </row>
    <row r="1180">
      <c r="A1180" s="433" t="s">
        <v>11073</v>
      </c>
    </row>
    <row r="1181">
      <c r="A1181" s="340" t="s">
        <v>9770</v>
      </c>
      <c r="B1181" s="340" t="s">
        <v>9887</v>
      </c>
      <c r="C1181" s="340" t="s">
        <v>9363</v>
      </c>
    </row>
    <row r="1182">
      <c r="A1182" s="31" t="s">
        <v>11074</v>
      </c>
      <c r="B1182" s="31" t="s">
        <v>11075</v>
      </c>
      <c r="C1182" s="256" t="s">
        <v>9365</v>
      </c>
      <c r="D1182" s="256" t="s">
        <v>8952</v>
      </c>
      <c r="E1182" s="379" t="s">
        <v>4702</v>
      </c>
      <c r="F1182" s="256" t="s">
        <v>4703</v>
      </c>
      <c r="G1182" s="379" t="s">
        <v>4320</v>
      </c>
      <c r="H1182" s="379" t="s">
        <v>436</v>
      </c>
      <c r="I1182" s="379" t="s">
        <v>4704</v>
      </c>
      <c r="J1182" s="379" t="s">
        <v>135</v>
      </c>
      <c r="K1182" s="379" t="s">
        <v>128</v>
      </c>
    </row>
    <row r="1183">
      <c r="A1183" s="31" t="s">
        <v>11076</v>
      </c>
      <c r="B1183" s="31" t="s">
        <v>11077</v>
      </c>
      <c r="C1183" s="4" t="s">
        <v>9441</v>
      </c>
      <c r="D1183" s="4" t="s">
        <v>9102</v>
      </c>
      <c r="E1183" s="4" t="s">
        <v>7673</v>
      </c>
      <c r="F1183" s="4" t="s">
        <v>5461</v>
      </c>
      <c r="G1183" s="4" t="s">
        <v>16</v>
      </c>
      <c r="H1183" s="4" t="s">
        <v>8399</v>
      </c>
      <c r="I1183" s="4" t="s">
        <v>7823</v>
      </c>
      <c r="J1183" s="4" t="s">
        <v>11078</v>
      </c>
      <c r="K1183" s="4" t="s">
        <v>7823</v>
      </c>
    </row>
    <row r="1184">
      <c r="A1184" s="31" t="s">
        <v>3795</v>
      </c>
      <c r="B1184" s="31" t="s">
        <v>1707</v>
      </c>
      <c r="C1184" s="108" t="s">
        <v>9778</v>
      </c>
    </row>
    <row r="1185">
      <c r="A1185" s="31" t="s">
        <v>10852</v>
      </c>
      <c r="B1185" s="31" t="s">
        <v>11079</v>
      </c>
      <c r="C1185" s="8"/>
      <c r="D1185" s="8"/>
      <c r="E1185" s="8"/>
      <c r="F1185" s="26"/>
      <c r="G1185" s="50"/>
      <c r="H1185" s="8"/>
      <c r="I1185" s="8"/>
      <c r="J1185" s="8"/>
      <c r="K1185" s="8"/>
    </row>
    <row r="1186">
      <c r="A1186" s="31" t="s">
        <v>10854</v>
      </c>
      <c r="B1186" s="31" t="s">
        <v>6348</v>
      </c>
      <c r="C1186" s="8"/>
      <c r="D1186" s="8"/>
      <c r="E1186" s="50"/>
      <c r="F1186" s="50"/>
      <c r="G1186" s="64"/>
      <c r="H1186" s="8"/>
      <c r="I1186" s="8"/>
      <c r="J1186" s="8"/>
      <c r="K1186" s="8"/>
    </row>
    <row r="1187">
      <c r="A1187" s="31" t="s">
        <v>10964</v>
      </c>
      <c r="B1187" s="31" t="s">
        <v>11080</v>
      </c>
      <c r="C1187" s="8"/>
      <c r="D1187" s="8"/>
      <c r="E1187" s="33"/>
      <c r="F1187" s="33"/>
      <c r="G1187" s="50"/>
      <c r="H1187" s="8"/>
      <c r="I1187" s="8"/>
      <c r="J1187" s="8"/>
      <c r="K1187" s="8"/>
    </row>
    <row r="1188">
      <c r="A1188" s="31" t="s">
        <v>10857</v>
      </c>
      <c r="B1188" s="31" t="s">
        <v>11081</v>
      </c>
      <c r="C1188" s="8"/>
      <c r="D1188" s="8"/>
      <c r="E1188" s="50"/>
      <c r="F1188" s="50"/>
      <c r="G1188" s="8"/>
      <c r="H1188" s="8"/>
      <c r="I1188" s="8"/>
      <c r="J1188" s="8"/>
      <c r="K1188" s="8"/>
    </row>
    <row r="1189">
      <c r="A1189" s="31" t="s">
        <v>10859</v>
      </c>
      <c r="B1189" s="31" t="s">
        <v>11082</v>
      </c>
      <c r="C1189" s="8"/>
      <c r="D1189" s="8"/>
      <c r="E1189" s="8"/>
      <c r="F1189" s="8"/>
      <c r="G1189" s="8"/>
      <c r="H1189" s="8"/>
      <c r="I1189" s="8"/>
      <c r="J1189" s="8"/>
      <c r="K1189" s="8"/>
    </row>
    <row r="1190">
      <c r="A1190" s="31" t="s">
        <v>10861</v>
      </c>
      <c r="B1190" s="31" t="s">
        <v>11083</v>
      </c>
      <c r="C1190" s="8"/>
      <c r="D1190" s="8"/>
      <c r="E1190" s="8"/>
      <c r="F1190" s="8"/>
      <c r="G1190" s="8"/>
      <c r="H1190" s="8"/>
      <c r="I1190" s="8"/>
      <c r="J1190" s="8"/>
      <c r="K1190" s="8"/>
    </row>
    <row r="1191">
      <c r="A1191" s="31" t="s">
        <v>10862</v>
      </c>
      <c r="B1191" s="31" t="s">
        <v>11084</v>
      </c>
      <c r="E1191" s="198"/>
    </row>
    <row r="1192">
      <c r="A1192" s="31" t="s">
        <v>6407</v>
      </c>
      <c r="B1192" s="31" t="s">
        <v>11085</v>
      </c>
      <c r="E1192" s="198"/>
    </row>
    <row r="1193">
      <c r="A1193" s="31" t="s">
        <v>8207</v>
      </c>
      <c r="B1193" s="31" t="s">
        <v>11086</v>
      </c>
    </row>
    <row r="1194">
      <c r="A1194" s="31" t="s">
        <v>10865</v>
      </c>
      <c r="B1194" s="31" t="s">
        <v>11087</v>
      </c>
      <c r="J1194" s="50"/>
      <c r="K1194" s="50"/>
      <c r="L1194" s="50"/>
      <c r="M1194" s="50"/>
    </row>
    <row r="1195">
      <c r="A1195" s="31" t="s">
        <v>10866</v>
      </c>
      <c r="B1195" s="31" t="s">
        <v>9967</v>
      </c>
      <c r="J1195" s="33"/>
      <c r="K1195" s="33"/>
      <c r="L1195" s="64"/>
      <c r="M1195" s="64"/>
    </row>
    <row r="1196">
      <c r="A1196" s="31" t="s">
        <v>10868</v>
      </c>
      <c r="B1196" s="31" t="s">
        <v>11088</v>
      </c>
      <c r="J1196" s="50"/>
      <c r="K1196" s="50"/>
      <c r="L1196" s="50"/>
      <c r="M1196" s="50"/>
    </row>
    <row r="1197">
      <c r="A1197" s="31" t="s">
        <v>3234</v>
      </c>
      <c r="B1197" s="31" t="s">
        <v>8245</v>
      </c>
    </row>
    <row r="1198">
      <c r="A1198" s="31" t="s">
        <v>8266</v>
      </c>
      <c r="B1198" s="31" t="s">
        <v>8258</v>
      </c>
    </row>
    <row r="1199">
      <c r="A1199" s="31" t="s">
        <v>8280</v>
      </c>
      <c r="B1199" s="31" t="s">
        <v>11089</v>
      </c>
    </row>
    <row r="1200">
      <c r="A1200" s="433" t="s">
        <v>11090</v>
      </c>
    </row>
    <row r="1201">
      <c r="A1201" s="340" t="s">
        <v>11091</v>
      </c>
      <c r="B1201" s="340" t="s">
        <v>9929</v>
      </c>
      <c r="C1201" s="340" t="s">
        <v>9363</v>
      </c>
    </row>
    <row r="1202">
      <c r="A1202" s="31" t="s">
        <v>11092</v>
      </c>
      <c r="B1202" s="31" t="s">
        <v>7885</v>
      </c>
      <c r="C1202" s="256" t="s">
        <v>9365</v>
      </c>
      <c r="D1202" s="256" t="s">
        <v>8952</v>
      </c>
      <c r="E1202" s="379" t="s">
        <v>4702</v>
      </c>
      <c r="F1202" s="256" t="s">
        <v>4703</v>
      </c>
      <c r="G1202" s="379" t="s">
        <v>4320</v>
      </c>
      <c r="H1202" s="379" t="s">
        <v>436</v>
      </c>
      <c r="I1202" s="379" t="s">
        <v>4704</v>
      </c>
      <c r="J1202" s="379" t="s">
        <v>135</v>
      </c>
      <c r="K1202" s="379" t="s">
        <v>128</v>
      </c>
    </row>
    <row r="1203">
      <c r="A1203" s="31" t="s">
        <v>11093</v>
      </c>
      <c r="B1203" s="31" t="s">
        <v>11094</v>
      </c>
      <c r="C1203" s="4" t="s">
        <v>9441</v>
      </c>
      <c r="D1203" s="4" t="s">
        <v>9102</v>
      </c>
      <c r="E1203" s="4" t="s">
        <v>7673</v>
      </c>
      <c r="F1203" s="4" t="s">
        <v>5426</v>
      </c>
      <c r="G1203" s="4" t="s">
        <v>6</v>
      </c>
      <c r="H1203" s="4" t="s">
        <v>268</v>
      </c>
      <c r="I1203" s="4" t="s">
        <v>11095</v>
      </c>
      <c r="J1203" s="4" t="s">
        <v>11095</v>
      </c>
      <c r="K1203" s="4" t="s">
        <v>11096</v>
      </c>
      <c r="L1203" s="8"/>
    </row>
    <row r="1204">
      <c r="A1204" s="31" t="s">
        <v>11097</v>
      </c>
      <c r="B1204" s="31" t="s">
        <v>1166</v>
      </c>
      <c r="C1204" s="108" t="s">
        <v>10851</v>
      </c>
      <c r="L1204" s="8"/>
    </row>
    <row r="1205">
      <c r="A1205" s="31" t="s">
        <v>1996</v>
      </c>
      <c r="B1205" s="31" t="s">
        <v>1504</v>
      </c>
      <c r="C1205" s="8"/>
      <c r="D1205" s="8"/>
      <c r="E1205" s="8"/>
      <c r="F1205" s="8"/>
      <c r="G1205" s="8"/>
      <c r="H1205" s="8"/>
      <c r="I1205" s="8"/>
      <c r="J1205" s="8"/>
      <c r="K1205" s="8"/>
      <c r="L1205" s="8"/>
    </row>
    <row r="1206">
      <c r="A1206" s="31" t="s">
        <v>11098</v>
      </c>
      <c r="B1206" s="31" t="s">
        <v>10853</v>
      </c>
      <c r="C1206" s="4"/>
      <c r="D1206" s="103"/>
      <c r="E1206" s="103"/>
      <c r="F1206" s="103"/>
      <c r="G1206" s="103"/>
      <c r="H1206" s="103"/>
      <c r="I1206" s="103"/>
      <c r="J1206" s="103"/>
      <c r="K1206" s="103"/>
      <c r="L1206" s="103"/>
      <c r="M1206" s="103"/>
    </row>
    <row r="1207">
      <c r="A1207" s="31" t="s">
        <v>11099</v>
      </c>
      <c r="B1207" s="31" t="s">
        <v>10621</v>
      </c>
      <c r="C1207" s="4"/>
      <c r="D1207" s="64"/>
      <c r="E1207" s="64"/>
      <c r="F1207" s="64"/>
      <c r="G1207" s="64"/>
      <c r="H1207" s="64"/>
      <c r="I1207" s="64"/>
      <c r="J1207" s="64"/>
      <c r="K1207" s="64"/>
      <c r="L1207" s="64"/>
      <c r="M1207" s="64"/>
    </row>
    <row r="1208">
      <c r="A1208" s="31" t="s">
        <v>5956</v>
      </c>
      <c r="B1208" s="31" t="s">
        <v>10623</v>
      </c>
      <c r="C1208" s="4"/>
      <c r="D1208" s="99"/>
      <c r="E1208" s="103"/>
      <c r="F1208" s="99"/>
      <c r="G1208" s="99"/>
      <c r="H1208" s="103"/>
      <c r="I1208" s="103"/>
      <c r="J1208" s="99"/>
      <c r="K1208" s="99"/>
      <c r="L1208" s="103"/>
      <c r="M1208" s="99"/>
    </row>
    <row r="1209">
      <c r="A1209" s="31" t="s">
        <v>11100</v>
      </c>
      <c r="B1209" s="31" t="s">
        <v>10858</v>
      </c>
      <c r="C1209" s="4"/>
    </row>
    <row r="1210">
      <c r="A1210" s="31" t="s">
        <v>6887</v>
      </c>
      <c r="B1210" s="31" t="s">
        <v>4867</v>
      </c>
    </row>
    <row r="1211">
      <c r="A1211" s="31" t="s">
        <v>11101</v>
      </c>
      <c r="B1211" s="31" t="s">
        <v>11102</v>
      </c>
    </row>
    <row r="1212">
      <c r="A1212" s="31" t="s">
        <v>11103</v>
      </c>
      <c r="B1212" s="31" t="s">
        <v>11104</v>
      </c>
    </row>
    <row r="1213">
      <c r="A1213" s="31" t="s">
        <v>11105</v>
      </c>
      <c r="B1213" s="31" t="s">
        <v>11106</v>
      </c>
    </row>
    <row r="1214">
      <c r="A1214" s="31" t="s">
        <v>11107</v>
      </c>
      <c r="B1214" s="31" t="s">
        <v>11108</v>
      </c>
    </row>
    <row r="1215">
      <c r="A1215" s="31" t="s">
        <v>11109</v>
      </c>
      <c r="B1215" s="31" t="s">
        <v>5632</v>
      </c>
    </row>
    <row r="1216">
      <c r="B1216" s="31" t="s">
        <v>11110</v>
      </c>
    </row>
    <row r="1217">
      <c r="B1217" s="31" t="s">
        <v>10869</v>
      </c>
    </row>
    <row r="1218">
      <c r="B1218" s="31" t="s">
        <v>11111</v>
      </c>
    </row>
    <row r="1220">
      <c r="A1220" s="433" t="s">
        <v>11112</v>
      </c>
    </row>
    <row r="1221">
      <c r="A1221" s="340" t="s">
        <v>9928</v>
      </c>
      <c r="B1221" s="340" t="s">
        <v>9532</v>
      </c>
      <c r="C1221" s="340" t="s">
        <v>9363</v>
      </c>
    </row>
    <row r="1222">
      <c r="A1222" s="31" t="s">
        <v>11113</v>
      </c>
      <c r="B1222" s="31" t="s">
        <v>10756</v>
      </c>
      <c r="C1222" s="256" t="s">
        <v>9365</v>
      </c>
      <c r="D1222" s="256" t="s">
        <v>8952</v>
      </c>
      <c r="E1222" s="379" t="s">
        <v>4702</v>
      </c>
      <c r="F1222" s="256" t="s">
        <v>4703</v>
      </c>
      <c r="G1222" s="379" t="s">
        <v>4320</v>
      </c>
      <c r="H1222" s="379" t="s">
        <v>436</v>
      </c>
      <c r="I1222" s="379" t="s">
        <v>4704</v>
      </c>
      <c r="J1222" s="379" t="s">
        <v>135</v>
      </c>
      <c r="K1222" s="379" t="s">
        <v>128</v>
      </c>
    </row>
    <row r="1223">
      <c r="A1223" s="31" t="s">
        <v>11114</v>
      </c>
      <c r="B1223" s="31" t="s">
        <v>3896</v>
      </c>
      <c r="C1223" s="4" t="s">
        <v>9441</v>
      </c>
      <c r="D1223" s="4" t="s">
        <v>9102</v>
      </c>
      <c r="E1223" s="4" t="s">
        <v>7673</v>
      </c>
      <c r="F1223" s="4" t="s">
        <v>8354</v>
      </c>
      <c r="G1223" s="4" t="s">
        <v>105</v>
      </c>
      <c r="H1223" s="4" t="s">
        <v>1500</v>
      </c>
      <c r="I1223" s="4" t="s">
        <v>10735</v>
      </c>
      <c r="J1223" s="4" t="s">
        <v>10735</v>
      </c>
      <c r="K1223" s="4" t="s">
        <v>10735</v>
      </c>
      <c r="L1223" s="8"/>
    </row>
    <row r="1224">
      <c r="A1224" s="31" t="s">
        <v>11115</v>
      </c>
      <c r="B1224" s="31" t="s">
        <v>10810</v>
      </c>
      <c r="C1224" s="37" t="s">
        <v>9466</v>
      </c>
      <c r="D1224" s="37" t="s">
        <v>9102</v>
      </c>
      <c r="E1224" s="37" t="s">
        <v>7683</v>
      </c>
      <c r="F1224" s="37" t="s">
        <v>8354</v>
      </c>
      <c r="G1224" s="37" t="s">
        <v>105</v>
      </c>
      <c r="H1224" s="37" t="s">
        <v>1500</v>
      </c>
      <c r="I1224" s="37" t="s">
        <v>11116</v>
      </c>
      <c r="J1224" s="37" t="s">
        <v>7810</v>
      </c>
      <c r="K1224" s="37" t="s">
        <v>11116</v>
      </c>
      <c r="L1224" s="8"/>
    </row>
    <row r="1225">
      <c r="A1225" s="31" t="s">
        <v>11117</v>
      </c>
      <c r="B1225" s="31" t="s">
        <v>10907</v>
      </c>
      <c r="C1225" s="4" t="s">
        <v>9472</v>
      </c>
      <c r="D1225" s="4" t="s">
        <v>9102</v>
      </c>
      <c r="E1225" s="4" t="s">
        <v>9216</v>
      </c>
      <c r="F1225" s="4" t="s">
        <v>5426</v>
      </c>
      <c r="G1225" s="4" t="s">
        <v>105</v>
      </c>
      <c r="H1225" s="4" t="s">
        <v>204</v>
      </c>
      <c r="I1225" s="4" t="s">
        <v>8055</v>
      </c>
      <c r="J1225" s="4" t="s">
        <v>8055</v>
      </c>
      <c r="K1225" s="4" t="s">
        <v>11118</v>
      </c>
      <c r="L1225" s="8"/>
    </row>
    <row r="1226">
      <c r="A1226" s="31" t="s">
        <v>11119</v>
      </c>
      <c r="B1226" s="31" t="s">
        <v>10908</v>
      </c>
      <c r="C1226" s="108" t="s">
        <v>9839</v>
      </c>
      <c r="L1226" s="8"/>
    </row>
    <row r="1227">
      <c r="A1227" s="31" t="s">
        <v>1243</v>
      </c>
      <c r="B1227" s="31" t="s">
        <v>10909</v>
      </c>
      <c r="C1227" s="8"/>
      <c r="D1227" s="8"/>
      <c r="E1227" s="8"/>
      <c r="F1227" s="8"/>
      <c r="G1227" s="8"/>
      <c r="H1227" s="8"/>
      <c r="I1227" s="8"/>
      <c r="J1227" s="8"/>
      <c r="K1227" s="8"/>
      <c r="L1227" s="8"/>
    </row>
    <row r="1228">
      <c r="A1228" s="31" t="s">
        <v>7269</v>
      </c>
      <c r="B1228" s="31" t="s">
        <v>10910</v>
      </c>
      <c r="C1228" s="8"/>
      <c r="D1228" s="8"/>
      <c r="E1228" s="8"/>
      <c r="F1228" s="8"/>
      <c r="G1228" s="8"/>
      <c r="H1228" s="8"/>
      <c r="I1228" s="8"/>
      <c r="J1228" s="8"/>
      <c r="K1228" s="8"/>
      <c r="L1228" s="8"/>
    </row>
    <row r="1229">
      <c r="A1229" s="31" t="s">
        <v>8161</v>
      </c>
      <c r="B1229" s="31" t="s">
        <v>10965</v>
      </c>
      <c r="C1229" s="8"/>
      <c r="D1229" s="8"/>
      <c r="E1229" s="8"/>
      <c r="F1229" s="8"/>
      <c r="G1229" s="8"/>
      <c r="H1229" s="8"/>
      <c r="I1229" s="8"/>
      <c r="J1229" s="8"/>
      <c r="K1229" s="8"/>
      <c r="L1229" s="8"/>
    </row>
    <row r="1230">
      <c r="A1230" s="31" t="s">
        <v>11120</v>
      </c>
      <c r="B1230" s="31" t="s">
        <v>10966</v>
      </c>
      <c r="C1230" s="8"/>
      <c r="D1230" s="8"/>
      <c r="E1230" s="8"/>
      <c r="F1230" s="8"/>
      <c r="G1230" s="8"/>
      <c r="H1230" s="8"/>
      <c r="I1230" s="8"/>
      <c r="J1230" s="8"/>
      <c r="K1230" s="8"/>
      <c r="L1230" s="8"/>
    </row>
    <row r="1231">
      <c r="A1231" s="31" t="s">
        <v>11121</v>
      </c>
      <c r="B1231" s="31" t="s">
        <v>11122</v>
      </c>
      <c r="C1231" s="8"/>
      <c r="D1231" s="8"/>
      <c r="E1231" s="8"/>
      <c r="F1231" s="8"/>
      <c r="G1231" s="8"/>
      <c r="H1231" s="8"/>
      <c r="I1231" s="8"/>
      <c r="J1231" s="8"/>
      <c r="K1231" s="8"/>
      <c r="L1231" s="8"/>
    </row>
    <row r="1232">
      <c r="A1232" s="31" t="s">
        <v>11123</v>
      </c>
      <c r="B1232" s="31" t="s">
        <v>11124</v>
      </c>
      <c r="C1232" s="8"/>
      <c r="D1232" s="8"/>
      <c r="E1232" s="8"/>
      <c r="F1232" s="8"/>
      <c r="G1232" s="8"/>
      <c r="H1232" s="8"/>
      <c r="I1232" s="8"/>
      <c r="J1232" s="8"/>
      <c r="K1232" s="8"/>
      <c r="L1232" s="8"/>
    </row>
    <row r="1233">
      <c r="A1233" s="31" t="s">
        <v>11125</v>
      </c>
      <c r="B1233" s="31" t="s">
        <v>11126</v>
      </c>
      <c r="C1233" s="8"/>
      <c r="D1233" s="8"/>
      <c r="E1233" s="8"/>
      <c r="F1233" s="8"/>
      <c r="G1233" s="8"/>
      <c r="H1233" s="8"/>
      <c r="I1233" s="8"/>
      <c r="J1233" s="8"/>
      <c r="K1233" s="8"/>
      <c r="L1233" s="8"/>
    </row>
    <row r="1234">
      <c r="A1234" s="31" t="s">
        <v>11127</v>
      </c>
      <c r="B1234" s="31" t="s">
        <v>11128</v>
      </c>
      <c r="C1234" s="8"/>
      <c r="D1234" s="8"/>
      <c r="E1234" s="8"/>
      <c r="F1234" s="8"/>
      <c r="G1234" s="8"/>
      <c r="H1234" s="8"/>
      <c r="I1234" s="8"/>
      <c r="J1234" s="8"/>
      <c r="K1234" s="8"/>
      <c r="L1234" s="8"/>
    </row>
    <row r="1235">
      <c r="A1235" s="31" t="s">
        <v>11129</v>
      </c>
      <c r="B1235" s="31" t="s">
        <v>11130</v>
      </c>
      <c r="C1235" s="8"/>
      <c r="D1235" s="8"/>
      <c r="E1235" s="8"/>
      <c r="F1235" s="8"/>
      <c r="G1235" s="8"/>
      <c r="H1235" s="8"/>
      <c r="I1235" s="8"/>
      <c r="J1235" s="8"/>
      <c r="K1235" s="8"/>
      <c r="L1235" s="8"/>
    </row>
    <row r="1236">
      <c r="A1236" s="31" t="s">
        <v>11131</v>
      </c>
      <c r="B1236" s="31" t="s">
        <v>11132</v>
      </c>
      <c r="C1236" s="8"/>
      <c r="D1236" s="8"/>
      <c r="E1236" s="8"/>
      <c r="F1236" s="8"/>
      <c r="G1236" s="8"/>
      <c r="H1236" s="8"/>
      <c r="I1236" s="8"/>
      <c r="J1236" s="8"/>
      <c r="K1236" s="8"/>
      <c r="L1236" s="8"/>
    </row>
    <row r="1237">
      <c r="A1237" s="31" t="s">
        <v>11133</v>
      </c>
      <c r="B1237" s="31" t="s">
        <v>11134</v>
      </c>
      <c r="C1237" s="8"/>
      <c r="D1237" s="8"/>
      <c r="E1237" s="8"/>
      <c r="F1237" s="8"/>
      <c r="G1237" s="8"/>
      <c r="H1237" s="8"/>
      <c r="I1237" s="8"/>
      <c r="J1237" s="8"/>
      <c r="K1237" s="8"/>
      <c r="L1237" s="8"/>
    </row>
    <row r="1238">
      <c r="A1238" s="31" t="s">
        <v>11135</v>
      </c>
      <c r="B1238" s="31" t="s">
        <v>11136</v>
      </c>
    </row>
    <row r="1239">
      <c r="A1239" s="31" t="s">
        <v>11137</v>
      </c>
      <c r="B1239" s="31" t="s">
        <v>10975</v>
      </c>
    </row>
    <row r="1240">
      <c r="A1240" s="433" t="s">
        <v>11138</v>
      </c>
    </row>
    <row r="1241">
      <c r="A1241" s="340" t="s">
        <v>11139</v>
      </c>
      <c r="B1241" s="340" t="s">
        <v>9532</v>
      </c>
      <c r="C1241" s="340" t="s">
        <v>9363</v>
      </c>
    </row>
    <row r="1242">
      <c r="A1242" s="31" t="s">
        <v>11140</v>
      </c>
      <c r="B1242" s="31" t="s">
        <v>10756</v>
      </c>
      <c r="C1242" s="256" t="s">
        <v>9365</v>
      </c>
      <c r="D1242" s="256" t="s">
        <v>8952</v>
      </c>
      <c r="E1242" s="379" t="s">
        <v>4702</v>
      </c>
      <c r="F1242" s="256" t="s">
        <v>4703</v>
      </c>
      <c r="G1242" s="379" t="s">
        <v>4320</v>
      </c>
      <c r="H1242" s="379" t="s">
        <v>436</v>
      </c>
      <c r="I1242" s="379" t="s">
        <v>4704</v>
      </c>
      <c r="J1242" s="379" t="s">
        <v>135</v>
      </c>
      <c r="K1242" s="379" t="s">
        <v>128</v>
      </c>
    </row>
    <row r="1243">
      <c r="A1243" s="31" t="s">
        <v>11141</v>
      </c>
      <c r="B1243" s="31" t="s">
        <v>3896</v>
      </c>
      <c r="C1243" s="4" t="s">
        <v>9441</v>
      </c>
      <c r="D1243" s="4" t="s">
        <v>9102</v>
      </c>
      <c r="E1243" s="4" t="s">
        <v>7680</v>
      </c>
      <c r="F1243" s="4" t="s">
        <v>5426</v>
      </c>
      <c r="G1243" s="4" t="s">
        <v>15</v>
      </c>
      <c r="H1243" s="4" t="s">
        <v>11051</v>
      </c>
      <c r="I1243" s="4" t="s">
        <v>11142</v>
      </c>
      <c r="J1243" s="4" t="s">
        <v>11143</v>
      </c>
      <c r="K1243" s="4" t="s">
        <v>11142</v>
      </c>
    </row>
    <row r="1244">
      <c r="A1244" s="31" t="s">
        <v>5546</v>
      </c>
      <c r="B1244" s="31" t="s">
        <v>10810</v>
      </c>
      <c r="C1244" s="108" t="s">
        <v>11144</v>
      </c>
    </row>
    <row r="1245">
      <c r="A1245" s="31" t="s">
        <v>11145</v>
      </c>
      <c r="B1245" s="31" t="s">
        <v>10907</v>
      </c>
      <c r="C1245" s="8"/>
      <c r="D1245" s="8"/>
      <c r="E1245" s="8"/>
      <c r="F1245" s="8"/>
      <c r="G1245" s="8"/>
      <c r="H1245" s="8"/>
      <c r="I1245" s="8"/>
      <c r="J1245" s="8"/>
      <c r="K1245" s="8"/>
    </row>
    <row r="1246">
      <c r="A1246" s="31" t="s">
        <v>11146</v>
      </c>
      <c r="B1246" s="31" t="s">
        <v>10908</v>
      </c>
      <c r="C1246" s="8"/>
      <c r="D1246" s="8"/>
      <c r="E1246" s="8"/>
      <c r="F1246" s="8"/>
      <c r="G1246" s="8"/>
      <c r="H1246" s="8"/>
      <c r="I1246" s="8"/>
      <c r="J1246" s="8"/>
      <c r="K1246" s="8"/>
    </row>
    <row r="1247">
      <c r="A1247" s="31" t="s">
        <v>11147</v>
      </c>
      <c r="B1247" s="31" t="s">
        <v>10909</v>
      </c>
      <c r="C1247" s="8"/>
      <c r="D1247" s="8"/>
      <c r="E1247" s="8"/>
      <c r="F1247" s="8"/>
      <c r="G1247" s="8"/>
      <c r="H1247" s="8"/>
      <c r="I1247" s="8"/>
      <c r="J1247" s="8"/>
      <c r="K1247" s="8"/>
    </row>
    <row r="1248">
      <c r="A1248" s="31" t="s">
        <v>11148</v>
      </c>
      <c r="B1248" s="31" t="s">
        <v>10910</v>
      </c>
      <c r="C1248" s="8"/>
      <c r="D1248" s="8"/>
      <c r="E1248" s="8"/>
      <c r="F1248" s="8"/>
      <c r="G1248" s="8"/>
      <c r="H1248" s="8"/>
      <c r="I1248" s="8"/>
      <c r="J1248" s="8"/>
      <c r="K1248" s="8"/>
    </row>
    <row r="1249">
      <c r="A1249" s="31" t="s">
        <v>4987</v>
      </c>
      <c r="B1249" s="31" t="s">
        <v>10965</v>
      </c>
      <c r="C1249" s="8"/>
      <c r="D1249" s="8"/>
      <c r="E1249" s="8"/>
      <c r="F1249" s="8"/>
      <c r="G1249" s="8"/>
      <c r="H1249" s="8"/>
      <c r="I1249" s="8"/>
      <c r="J1249" s="8"/>
      <c r="K1249" s="8"/>
    </row>
    <row r="1250">
      <c r="A1250" s="31" t="s">
        <v>11149</v>
      </c>
      <c r="B1250" s="31" t="s">
        <v>10966</v>
      </c>
    </row>
    <row r="1251">
      <c r="A1251" s="31" t="s">
        <v>11150</v>
      </c>
      <c r="B1251" s="31" t="s">
        <v>11122</v>
      </c>
    </row>
    <row r="1252">
      <c r="A1252" s="31" t="s">
        <v>8194</v>
      </c>
      <c r="B1252" s="31" t="s">
        <v>11124</v>
      </c>
    </row>
    <row r="1253">
      <c r="A1253" s="31" t="s">
        <v>11151</v>
      </c>
      <c r="B1253" s="31" t="s">
        <v>11126</v>
      </c>
    </row>
    <row r="1254">
      <c r="A1254" s="31" t="s">
        <v>11152</v>
      </c>
      <c r="B1254" s="31" t="s">
        <v>11128</v>
      </c>
    </row>
    <row r="1255">
      <c r="A1255" s="31" t="s">
        <v>3666</v>
      </c>
      <c r="B1255" s="31" t="s">
        <v>11130</v>
      </c>
    </row>
    <row r="1256">
      <c r="A1256" s="31" t="s">
        <v>11153</v>
      </c>
      <c r="B1256" s="31" t="s">
        <v>11132</v>
      </c>
    </row>
    <row r="1257">
      <c r="A1257" s="31" t="s">
        <v>3670</v>
      </c>
      <c r="B1257" s="31" t="s">
        <v>11134</v>
      </c>
    </row>
    <row r="1258">
      <c r="A1258" s="31" t="s">
        <v>11154</v>
      </c>
      <c r="B1258" s="31" t="s">
        <v>11136</v>
      </c>
    </row>
    <row r="1259">
      <c r="A1259" s="31" t="s">
        <v>8279</v>
      </c>
      <c r="B1259" s="31" t="s">
        <v>10975</v>
      </c>
    </row>
    <row r="1260">
      <c r="A1260" s="433" t="s">
        <v>11155</v>
      </c>
    </row>
    <row r="1261">
      <c r="A1261" s="340" t="s">
        <v>9928</v>
      </c>
      <c r="B1261" s="340" t="s">
        <v>9437</v>
      </c>
      <c r="C1261" s="340" t="s">
        <v>9363</v>
      </c>
    </row>
    <row r="1262">
      <c r="A1262" s="31" t="s">
        <v>11156</v>
      </c>
      <c r="B1262" s="31" t="s">
        <v>11157</v>
      </c>
      <c r="C1262" s="256" t="s">
        <v>9365</v>
      </c>
      <c r="D1262" s="256" t="s">
        <v>8952</v>
      </c>
      <c r="E1262" s="379" t="s">
        <v>4702</v>
      </c>
      <c r="F1262" s="256" t="s">
        <v>4703</v>
      </c>
      <c r="G1262" s="379" t="s">
        <v>4320</v>
      </c>
      <c r="H1262" s="379" t="s">
        <v>436</v>
      </c>
      <c r="I1262" s="379" t="s">
        <v>4704</v>
      </c>
      <c r="J1262" s="379" t="s">
        <v>135</v>
      </c>
      <c r="K1262" s="379" t="s">
        <v>128</v>
      </c>
    </row>
    <row r="1263">
      <c r="A1263" s="31" t="s">
        <v>11158</v>
      </c>
      <c r="B1263" s="31" t="s">
        <v>11159</v>
      </c>
      <c r="C1263" s="4" t="s">
        <v>9441</v>
      </c>
      <c r="D1263" s="4" t="s">
        <v>9102</v>
      </c>
      <c r="E1263" s="4" t="s">
        <v>7680</v>
      </c>
      <c r="F1263" s="4" t="s">
        <v>5432</v>
      </c>
      <c r="G1263" s="4" t="s">
        <v>8</v>
      </c>
      <c r="H1263" s="4" t="s">
        <v>8361</v>
      </c>
      <c r="I1263" s="4" t="s">
        <v>11160</v>
      </c>
      <c r="J1263" s="4" t="s">
        <v>7782</v>
      </c>
      <c r="K1263" s="4" t="s">
        <v>8329</v>
      </c>
      <c r="L1263" s="8"/>
    </row>
    <row r="1264">
      <c r="A1264" s="31" t="s">
        <v>11115</v>
      </c>
      <c r="B1264" s="31" t="s">
        <v>9446</v>
      </c>
      <c r="C1264" s="108" t="s">
        <v>9448</v>
      </c>
      <c r="L1264" s="8"/>
    </row>
    <row r="1265">
      <c r="A1265" s="31" t="s">
        <v>11117</v>
      </c>
      <c r="B1265" s="31" t="s">
        <v>10486</v>
      </c>
      <c r="C1265" s="8"/>
      <c r="D1265" s="8"/>
      <c r="E1265" s="8"/>
      <c r="F1265" s="8"/>
      <c r="G1265" s="8"/>
      <c r="H1265" s="8"/>
      <c r="I1265" s="8"/>
      <c r="J1265" s="8"/>
      <c r="K1265" s="8"/>
      <c r="L1265" s="8"/>
    </row>
    <row r="1266">
      <c r="A1266" s="31" t="s">
        <v>11119</v>
      </c>
      <c r="B1266" s="31" t="s">
        <v>11161</v>
      </c>
      <c r="C1266" s="8"/>
      <c r="D1266" s="8"/>
      <c r="E1266" s="8"/>
      <c r="F1266" s="8"/>
      <c r="G1266" s="8"/>
      <c r="H1266" s="8"/>
      <c r="I1266" s="8"/>
      <c r="J1266" s="8"/>
      <c r="K1266" s="8"/>
      <c r="L1266" s="8"/>
    </row>
    <row r="1267">
      <c r="A1267" s="31" t="s">
        <v>1243</v>
      </c>
      <c r="B1267" s="31" t="s">
        <v>10939</v>
      </c>
      <c r="C1267" s="8"/>
      <c r="D1267" s="8"/>
      <c r="E1267" s="8"/>
      <c r="F1267" s="8"/>
      <c r="G1267" s="8"/>
      <c r="H1267" s="8"/>
      <c r="I1267" s="8"/>
      <c r="J1267" s="8"/>
      <c r="K1267" s="8"/>
      <c r="L1267" s="8"/>
    </row>
    <row r="1268">
      <c r="A1268" s="31" t="s">
        <v>7269</v>
      </c>
      <c r="B1268" s="31" t="s">
        <v>11162</v>
      </c>
      <c r="C1268" s="8"/>
      <c r="D1268" s="8"/>
      <c r="E1268" s="8"/>
      <c r="F1268" s="8"/>
      <c r="G1268" s="8"/>
      <c r="H1268" s="8"/>
      <c r="I1268" s="8"/>
      <c r="J1268" s="8"/>
      <c r="K1268" s="8"/>
      <c r="L1268" s="8"/>
    </row>
    <row r="1269">
      <c r="A1269" s="31" t="s">
        <v>8161</v>
      </c>
      <c r="B1269" s="31" t="s">
        <v>10859</v>
      </c>
      <c r="C1269" s="8"/>
      <c r="D1269" s="8"/>
      <c r="E1269" s="8"/>
      <c r="F1269" s="8"/>
      <c r="G1269" s="8"/>
      <c r="H1269" s="8"/>
      <c r="I1269" s="8"/>
      <c r="J1269" s="8"/>
      <c r="K1269" s="8"/>
      <c r="L1269" s="8"/>
    </row>
    <row r="1270">
      <c r="A1270" s="31" t="s">
        <v>11120</v>
      </c>
      <c r="B1270" s="31" t="s">
        <v>11163</v>
      </c>
      <c r="C1270" s="8"/>
      <c r="D1270" s="8"/>
      <c r="E1270" s="8"/>
      <c r="F1270" s="8"/>
      <c r="G1270" s="8"/>
      <c r="H1270" s="8"/>
      <c r="I1270" s="8"/>
      <c r="J1270" s="8"/>
      <c r="K1270" s="8"/>
      <c r="L1270" s="8"/>
    </row>
    <row r="1271">
      <c r="A1271" s="31" t="s">
        <v>11121</v>
      </c>
      <c r="B1271" s="31" t="s">
        <v>11164</v>
      </c>
      <c r="C1271" s="8"/>
      <c r="D1271" s="8"/>
      <c r="E1271" s="8"/>
      <c r="F1271" s="8"/>
      <c r="G1271" s="8"/>
      <c r="H1271" s="8"/>
      <c r="I1271" s="8"/>
      <c r="J1271" s="8"/>
      <c r="K1271" s="8"/>
      <c r="L1271" s="8"/>
    </row>
    <row r="1272">
      <c r="A1272" s="31" t="s">
        <v>11123</v>
      </c>
      <c r="B1272" s="31" t="s">
        <v>11165</v>
      </c>
    </row>
    <row r="1273">
      <c r="A1273" s="31" t="s">
        <v>11125</v>
      </c>
      <c r="B1273" s="31" t="s">
        <v>11166</v>
      </c>
    </row>
    <row r="1274">
      <c r="A1274" s="31" t="s">
        <v>11127</v>
      </c>
      <c r="B1274" s="31" t="s">
        <v>11167</v>
      </c>
    </row>
    <row r="1275">
      <c r="A1275" s="31" t="s">
        <v>11168</v>
      </c>
      <c r="B1275" s="31" t="s">
        <v>11169</v>
      </c>
    </row>
    <row r="1276">
      <c r="A1276" s="31" t="s">
        <v>11170</v>
      </c>
      <c r="B1276" s="31" t="s">
        <v>11171</v>
      </c>
    </row>
    <row r="1277">
      <c r="B1277" s="31" t="s">
        <v>11172</v>
      </c>
    </row>
    <row r="1280">
      <c r="A1280" s="433" t="s">
        <v>11173</v>
      </c>
    </row>
    <row r="1281">
      <c r="A1281" s="340" t="s">
        <v>9887</v>
      </c>
      <c r="B1281" s="340" t="s">
        <v>9770</v>
      </c>
      <c r="C1281" s="340" t="s">
        <v>9363</v>
      </c>
    </row>
    <row r="1282">
      <c r="A1282" s="31" t="s">
        <v>11075</v>
      </c>
      <c r="B1282" s="31" t="s">
        <v>11074</v>
      </c>
      <c r="C1282" s="256" t="s">
        <v>9365</v>
      </c>
      <c r="D1282" s="256" t="s">
        <v>8952</v>
      </c>
      <c r="E1282" s="379" t="s">
        <v>4702</v>
      </c>
      <c r="F1282" s="256" t="s">
        <v>4703</v>
      </c>
      <c r="G1282" s="379" t="s">
        <v>4320</v>
      </c>
      <c r="H1282" s="379" t="s">
        <v>436</v>
      </c>
      <c r="I1282" s="379" t="s">
        <v>4704</v>
      </c>
      <c r="J1282" s="379" t="s">
        <v>135</v>
      </c>
      <c r="K1282" s="379" t="s">
        <v>128</v>
      </c>
    </row>
    <row r="1283">
      <c r="A1283" s="31" t="s">
        <v>11077</v>
      </c>
      <c r="B1283" s="31" t="s">
        <v>11076</v>
      </c>
      <c r="C1283" s="4" t="s">
        <v>9441</v>
      </c>
      <c r="D1283" s="4" t="s">
        <v>9102</v>
      </c>
      <c r="E1283" s="4" t="s">
        <v>7680</v>
      </c>
      <c r="F1283" s="4" t="s">
        <v>5461</v>
      </c>
      <c r="G1283" s="4" t="s">
        <v>16</v>
      </c>
      <c r="H1283" s="4" t="s">
        <v>11174</v>
      </c>
      <c r="I1283" s="4" t="s">
        <v>7816</v>
      </c>
      <c r="J1283" s="4" t="s">
        <v>7787</v>
      </c>
      <c r="K1283" s="4" t="s">
        <v>11175</v>
      </c>
      <c r="L1283" s="8"/>
      <c r="M1283" s="8"/>
    </row>
    <row r="1284">
      <c r="A1284" s="31" t="s">
        <v>1707</v>
      </c>
      <c r="B1284" s="31" t="s">
        <v>3795</v>
      </c>
      <c r="C1284" s="108" t="s">
        <v>9778</v>
      </c>
      <c r="L1284" s="8"/>
      <c r="M1284" s="8"/>
    </row>
    <row r="1285">
      <c r="A1285" s="31" t="s">
        <v>11079</v>
      </c>
      <c r="B1285" s="31" t="s">
        <v>10852</v>
      </c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</row>
    <row r="1286">
      <c r="A1286" s="31" t="s">
        <v>6348</v>
      </c>
      <c r="B1286" s="31" t="s">
        <v>10854</v>
      </c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</row>
    <row r="1287">
      <c r="A1287" s="31" t="s">
        <v>11080</v>
      </c>
      <c r="B1287" s="31" t="s">
        <v>10964</v>
      </c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</row>
    <row r="1288">
      <c r="A1288" s="31" t="s">
        <v>11081</v>
      </c>
      <c r="B1288" s="31" t="s">
        <v>10857</v>
      </c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</row>
    <row r="1289">
      <c r="A1289" s="31" t="s">
        <v>11082</v>
      </c>
      <c r="B1289" s="31" t="s">
        <v>10859</v>
      </c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</row>
    <row r="1290">
      <c r="A1290" s="31" t="s">
        <v>11083</v>
      </c>
      <c r="B1290" s="31" t="s">
        <v>10861</v>
      </c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</row>
    <row r="1291">
      <c r="A1291" s="31" t="s">
        <v>11084</v>
      </c>
      <c r="B1291" s="31" t="s">
        <v>10862</v>
      </c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</row>
    <row r="1292">
      <c r="A1292" s="31" t="s">
        <v>11085</v>
      </c>
      <c r="B1292" s="31" t="s">
        <v>6407</v>
      </c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</row>
    <row r="1293">
      <c r="A1293" s="31" t="s">
        <v>11086</v>
      </c>
      <c r="B1293" s="31" t="s">
        <v>8207</v>
      </c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</row>
    <row r="1294">
      <c r="A1294" s="31" t="s">
        <v>11087</v>
      </c>
      <c r="B1294" s="31" t="s">
        <v>10865</v>
      </c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</row>
    <row r="1295">
      <c r="A1295" s="31" t="s">
        <v>9967</v>
      </c>
      <c r="B1295" s="31" t="s">
        <v>10866</v>
      </c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</row>
    <row r="1296">
      <c r="A1296" s="31" t="s">
        <v>11088</v>
      </c>
      <c r="B1296" s="31" t="s">
        <v>10868</v>
      </c>
    </row>
    <row r="1297">
      <c r="A1297" s="31" t="s">
        <v>8245</v>
      </c>
      <c r="B1297" s="31" t="s">
        <v>3234</v>
      </c>
    </row>
    <row r="1298">
      <c r="A1298" s="31" t="s">
        <v>8258</v>
      </c>
      <c r="B1298" s="31" t="s">
        <v>8266</v>
      </c>
    </row>
    <row r="1299">
      <c r="A1299" s="31" t="s">
        <v>11089</v>
      </c>
      <c r="B1299" s="31" t="s">
        <v>8280</v>
      </c>
    </row>
    <row r="1300">
      <c r="A1300" s="433" t="s">
        <v>11176</v>
      </c>
    </row>
    <row r="1301">
      <c r="A1301" s="340" t="s">
        <v>9802</v>
      </c>
      <c r="B1301" s="340" t="s">
        <v>9361</v>
      </c>
      <c r="C1301" s="340" t="s">
        <v>9363</v>
      </c>
    </row>
    <row r="1302">
      <c r="A1302" s="31" t="s">
        <v>10777</v>
      </c>
      <c r="B1302" s="31" t="s">
        <v>10805</v>
      </c>
      <c r="C1302" s="256" t="s">
        <v>9365</v>
      </c>
      <c r="D1302" s="256" t="s">
        <v>8952</v>
      </c>
      <c r="E1302" s="379" t="s">
        <v>4702</v>
      </c>
      <c r="F1302" s="256" t="s">
        <v>4703</v>
      </c>
      <c r="G1302" s="379" t="s">
        <v>4320</v>
      </c>
      <c r="H1302" s="379" t="s">
        <v>436</v>
      </c>
      <c r="I1302" s="379" t="s">
        <v>4704</v>
      </c>
      <c r="J1302" s="379" t="s">
        <v>135</v>
      </c>
      <c r="K1302" s="379" t="s">
        <v>128</v>
      </c>
    </row>
    <row r="1303">
      <c r="A1303" s="31" t="s">
        <v>11177</v>
      </c>
      <c r="B1303" s="31" t="s">
        <v>11049</v>
      </c>
      <c r="C1303" s="4" t="s">
        <v>9441</v>
      </c>
      <c r="D1303" s="4" t="s">
        <v>9102</v>
      </c>
      <c r="E1303" s="4" t="s">
        <v>7680</v>
      </c>
      <c r="F1303" s="4" t="s">
        <v>5439</v>
      </c>
      <c r="G1303" s="4" t="s">
        <v>17</v>
      </c>
      <c r="H1303" s="4" t="s">
        <v>1500</v>
      </c>
      <c r="I1303" s="4" t="s">
        <v>10814</v>
      </c>
      <c r="J1303" s="4" t="s">
        <v>9977</v>
      </c>
      <c r="K1303" s="4" t="s">
        <v>10814</v>
      </c>
      <c r="L1303" s="8"/>
    </row>
    <row r="1304">
      <c r="A1304" s="31" t="s">
        <v>961</v>
      </c>
      <c r="B1304" s="31" t="s">
        <v>11053</v>
      </c>
      <c r="C1304" s="108" t="s">
        <v>9982</v>
      </c>
      <c r="L1304" s="8"/>
    </row>
    <row r="1305">
      <c r="A1305" s="31" t="s">
        <v>636</v>
      </c>
      <c r="B1305" s="31" t="s">
        <v>9370</v>
      </c>
      <c r="C1305" s="8"/>
      <c r="D1305" s="8"/>
      <c r="E1305" s="8"/>
      <c r="F1305" s="8"/>
      <c r="G1305" s="8"/>
      <c r="H1305" s="8"/>
      <c r="I1305" s="8"/>
      <c r="J1305" s="8"/>
      <c r="K1305" s="8"/>
      <c r="L1305" s="8"/>
    </row>
    <row r="1306">
      <c r="A1306" s="31" t="s">
        <v>827</v>
      </c>
      <c r="B1306" s="31" t="s">
        <v>11056</v>
      </c>
      <c r="C1306" s="8"/>
      <c r="D1306" s="8"/>
      <c r="E1306" s="8"/>
      <c r="F1306" s="8"/>
      <c r="G1306" s="8"/>
      <c r="H1306" s="8"/>
      <c r="I1306" s="8"/>
      <c r="J1306" s="8"/>
      <c r="K1306" s="8"/>
      <c r="L1306" s="8"/>
    </row>
    <row r="1307">
      <c r="A1307" s="31" t="s">
        <v>5942</v>
      </c>
      <c r="B1307" s="31" t="s">
        <v>10817</v>
      </c>
      <c r="C1307" s="26"/>
      <c r="D1307" s="8"/>
      <c r="E1307" s="8"/>
      <c r="F1307" s="8"/>
      <c r="G1307" s="8"/>
      <c r="H1307" s="8"/>
      <c r="I1307" s="8"/>
      <c r="J1307" s="8"/>
      <c r="K1307" s="8"/>
      <c r="L1307" s="8"/>
    </row>
    <row r="1308">
      <c r="A1308" s="31" t="s">
        <v>11029</v>
      </c>
      <c r="B1308" s="31" t="s">
        <v>10841</v>
      </c>
      <c r="C1308" s="26"/>
      <c r="D1308" s="8"/>
      <c r="E1308" s="8"/>
      <c r="F1308" s="8"/>
      <c r="G1308" s="8"/>
      <c r="H1308" s="8"/>
      <c r="I1308" s="8"/>
      <c r="J1308" s="8"/>
      <c r="K1308" s="8"/>
      <c r="L1308" s="8"/>
    </row>
    <row r="1309">
      <c r="A1309" s="31" t="s">
        <v>10511</v>
      </c>
      <c r="B1309" s="31" t="s">
        <v>9741</v>
      </c>
      <c r="C1309" s="8"/>
      <c r="D1309" s="8"/>
      <c r="E1309" s="8"/>
      <c r="F1309" s="8"/>
      <c r="G1309" s="8"/>
      <c r="H1309" s="8"/>
      <c r="I1309" s="8"/>
      <c r="J1309" s="8"/>
      <c r="K1309" s="8"/>
      <c r="L1309" s="8"/>
    </row>
    <row r="1310">
      <c r="A1310" s="31" t="s">
        <v>11032</v>
      </c>
      <c r="B1310" s="31" t="s">
        <v>11061</v>
      </c>
    </row>
    <row r="1311">
      <c r="A1311" s="31" t="s">
        <v>11034</v>
      </c>
      <c r="B1311" s="31" t="s">
        <v>5291</v>
      </c>
    </row>
    <row r="1312">
      <c r="A1312" s="31" t="s">
        <v>10991</v>
      </c>
      <c r="B1312" s="31" t="s">
        <v>11063</v>
      </c>
    </row>
    <row r="1313">
      <c r="A1313" s="31" t="s">
        <v>9823</v>
      </c>
      <c r="B1313" s="31" t="s">
        <v>11065</v>
      </c>
    </row>
    <row r="1314">
      <c r="A1314" s="31" t="s">
        <v>11037</v>
      </c>
      <c r="B1314" s="31" t="s">
        <v>10892</v>
      </c>
    </row>
    <row r="1315">
      <c r="A1315" s="31" t="s">
        <v>11039</v>
      </c>
      <c r="B1315" s="31" t="s">
        <v>11068</v>
      </c>
    </row>
    <row r="1316">
      <c r="A1316" s="31" t="s">
        <v>11041</v>
      </c>
    </row>
    <row r="1317">
      <c r="A1317" s="31" t="s">
        <v>11042</v>
      </c>
    </row>
    <row r="1318">
      <c r="A1318" s="31" t="s">
        <v>11178</v>
      </c>
    </row>
    <row r="1320">
      <c r="A1320" s="433" t="s">
        <v>11179</v>
      </c>
    </row>
    <row r="1321">
      <c r="A1321" s="340" t="s">
        <v>9929</v>
      </c>
      <c r="B1321" s="340" t="s">
        <v>10737</v>
      </c>
      <c r="C1321" s="340" t="s">
        <v>9363</v>
      </c>
    </row>
    <row r="1322">
      <c r="A1322" s="31" t="s">
        <v>7885</v>
      </c>
      <c r="B1322" s="31" t="s">
        <v>11180</v>
      </c>
      <c r="C1322" s="256" t="s">
        <v>9365</v>
      </c>
      <c r="D1322" s="256" t="s">
        <v>8952</v>
      </c>
      <c r="E1322" s="379" t="s">
        <v>4702</v>
      </c>
      <c r="F1322" s="256" t="s">
        <v>4703</v>
      </c>
      <c r="G1322" s="379" t="s">
        <v>4320</v>
      </c>
      <c r="H1322" s="379" t="s">
        <v>436</v>
      </c>
      <c r="I1322" s="379" t="s">
        <v>4704</v>
      </c>
      <c r="J1322" s="379" t="s">
        <v>135</v>
      </c>
      <c r="K1322" s="379" t="s">
        <v>128</v>
      </c>
    </row>
    <row r="1323">
      <c r="A1323" s="31" t="s">
        <v>11094</v>
      </c>
      <c r="B1323" s="31" t="s">
        <v>11181</v>
      </c>
      <c r="C1323" s="4" t="s">
        <v>9441</v>
      </c>
      <c r="D1323" s="4" t="s">
        <v>9102</v>
      </c>
      <c r="E1323" s="4" t="s">
        <v>7680</v>
      </c>
      <c r="F1323" s="4" t="s">
        <v>5452</v>
      </c>
      <c r="G1323" s="4" t="s">
        <v>6</v>
      </c>
      <c r="H1323" s="4" t="s">
        <v>6765</v>
      </c>
      <c r="I1323" s="4" t="s">
        <v>10083</v>
      </c>
      <c r="J1323" s="4" t="s">
        <v>10083</v>
      </c>
      <c r="K1323" s="4" t="s">
        <v>11182</v>
      </c>
    </row>
    <row r="1324">
      <c r="A1324" s="31" t="s">
        <v>1166</v>
      </c>
      <c r="B1324" s="31" t="s">
        <v>11183</v>
      </c>
      <c r="C1324" s="108" t="s">
        <v>10851</v>
      </c>
    </row>
    <row r="1325">
      <c r="A1325" s="31" t="s">
        <v>1504</v>
      </c>
      <c r="B1325" s="31" t="s">
        <v>10934</v>
      </c>
      <c r="C1325" s="26"/>
      <c r="D1325" s="8"/>
      <c r="E1325" s="8"/>
      <c r="F1325" s="8"/>
      <c r="G1325" s="8"/>
      <c r="H1325" s="8"/>
      <c r="I1325" s="8"/>
      <c r="J1325" s="8"/>
      <c r="K1325" s="8"/>
    </row>
    <row r="1326">
      <c r="A1326" s="31" t="s">
        <v>10853</v>
      </c>
      <c r="B1326" s="31" t="s">
        <v>10854</v>
      </c>
      <c r="C1326" s="26"/>
      <c r="D1326" s="8"/>
      <c r="E1326" s="8"/>
      <c r="F1326" s="8"/>
      <c r="G1326" s="8"/>
      <c r="H1326" s="8"/>
      <c r="I1326" s="8"/>
      <c r="J1326" s="8"/>
      <c r="K1326" s="8"/>
    </row>
    <row r="1327">
      <c r="A1327" s="31" t="s">
        <v>10621</v>
      </c>
      <c r="B1327" s="31" t="s">
        <v>11184</v>
      </c>
      <c r="C1327" s="8"/>
      <c r="D1327" s="8"/>
      <c r="E1327" s="8"/>
      <c r="F1327" s="8"/>
      <c r="G1327" s="8"/>
      <c r="H1327" s="8"/>
      <c r="I1327" s="8"/>
      <c r="J1327" s="8"/>
      <c r="K1327" s="8"/>
    </row>
    <row r="1328">
      <c r="A1328" s="31" t="s">
        <v>10623</v>
      </c>
      <c r="B1328" s="31" t="s">
        <v>11185</v>
      </c>
      <c r="C1328" s="8"/>
      <c r="D1328" s="8"/>
      <c r="E1328" s="8"/>
      <c r="F1328" s="8"/>
      <c r="G1328" s="8"/>
      <c r="H1328" s="8"/>
      <c r="I1328" s="8"/>
      <c r="J1328" s="8"/>
      <c r="K1328" s="8"/>
    </row>
    <row r="1329">
      <c r="A1329" s="31" t="s">
        <v>10858</v>
      </c>
      <c r="B1329" s="31" t="s">
        <v>11186</v>
      </c>
      <c r="C1329" s="8"/>
      <c r="D1329" s="8"/>
      <c r="E1329" s="8"/>
      <c r="F1329" s="8"/>
      <c r="G1329" s="8"/>
      <c r="H1329" s="8"/>
      <c r="I1329" s="8"/>
      <c r="J1329" s="8"/>
      <c r="K1329" s="8"/>
    </row>
    <row r="1330">
      <c r="A1330" s="31" t="s">
        <v>4867</v>
      </c>
      <c r="B1330" s="31" t="s">
        <v>10127</v>
      </c>
      <c r="C1330" s="8"/>
      <c r="D1330" s="8"/>
      <c r="E1330" s="8"/>
      <c r="F1330" s="8"/>
      <c r="G1330" s="8"/>
      <c r="H1330" s="8"/>
      <c r="I1330" s="8"/>
      <c r="J1330" s="8"/>
      <c r="K1330" s="8"/>
    </row>
    <row r="1331">
      <c r="A1331" s="31" t="s">
        <v>11102</v>
      </c>
      <c r="B1331" s="31" t="s">
        <v>11187</v>
      </c>
      <c r="C1331" s="8"/>
      <c r="D1331" s="8"/>
      <c r="E1331" s="8"/>
      <c r="F1331" s="8"/>
      <c r="G1331" s="8"/>
      <c r="H1331" s="8"/>
      <c r="I1331" s="8"/>
      <c r="J1331" s="8"/>
      <c r="K1331" s="8"/>
    </row>
    <row r="1332">
      <c r="A1332" s="31" t="s">
        <v>11104</v>
      </c>
      <c r="B1332" s="31" t="s">
        <v>11188</v>
      </c>
    </row>
    <row r="1333">
      <c r="A1333" s="31" t="s">
        <v>11106</v>
      </c>
      <c r="B1333" s="31" t="s">
        <v>11189</v>
      </c>
    </row>
    <row r="1334">
      <c r="A1334" s="31" t="s">
        <v>11108</v>
      </c>
      <c r="B1334" s="31" t="s">
        <v>11190</v>
      </c>
    </row>
    <row r="1335">
      <c r="A1335" s="31" t="s">
        <v>5632</v>
      </c>
      <c r="B1335" s="31" t="s">
        <v>11191</v>
      </c>
    </row>
    <row r="1336">
      <c r="A1336" s="31" t="s">
        <v>11110</v>
      </c>
      <c r="B1336" s="31" t="s">
        <v>8007</v>
      </c>
    </row>
    <row r="1337">
      <c r="A1337" s="31" t="s">
        <v>10869</v>
      </c>
      <c r="B1337" s="31" t="s">
        <v>11192</v>
      </c>
    </row>
    <row r="1338">
      <c r="A1338" s="31" t="s">
        <v>11111</v>
      </c>
      <c r="B1338" s="31" t="s">
        <v>11193</v>
      </c>
    </row>
    <row r="1339">
      <c r="B1339" s="31" t="s">
        <v>11194</v>
      </c>
    </row>
    <row r="1340">
      <c r="A1340" s="433" t="s">
        <v>11195</v>
      </c>
    </row>
    <row r="1341">
      <c r="A1341" s="340" t="s">
        <v>9414</v>
      </c>
      <c r="B1341" s="340" t="s">
        <v>9530</v>
      </c>
      <c r="C1341" s="340" t="s">
        <v>9363</v>
      </c>
    </row>
    <row r="1342">
      <c r="A1342" s="31" t="s">
        <v>9416</v>
      </c>
      <c r="B1342" s="31" t="s">
        <v>11196</v>
      </c>
      <c r="C1342" s="256" t="s">
        <v>9365</v>
      </c>
      <c r="D1342" s="256" t="s">
        <v>8952</v>
      </c>
      <c r="E1342" s="379" t="s">
        <v>4702</v>
      </c>
      <c r="F1342" s="256" t="s">
        <v>4703</v>
      </c>
      <c r="G1342" s="379" t="s">
        <v>4320</v>
      </c>
      <c r="H1342" s="379" t="s">
        <v>436</v>
      </c>
      <c r="I1342" s="379" t="s">
        <v>4704</v>
      </c>
      <c r="J1342" s="379" t="s">
        <v>135</v>
      </c>
      <c r="K1342" s="379" t="s">
        <v>128</v>
      </c>
    </row>
    <row r="1343">
      <c r="A1343" s="31" t="s">
        <v>11197</v>
      </c>
      <c r="B1343" s="31" t="s">
        <v>9539</v>
      </c>
      <c r="C1343" s="4" t="s">
        <v>9441</v>
      </c>
      <c r="D1343" s="4" t="s">
        <v>9109</v>
      </c>
      <c r="E1343" s="4" t="s">
        <v>7680</v>
      </c>
      <c r="F1343" s="4" t="s">
        <v>1871</v>
      </c>
      <c r="G1343" s="4" t="s">
        <v>103</v>
      </c>
      <c r="H1343" s="4" t="s">
        <v>7811</v>
      </c>
      <c r="I1343" s="4" t="s">
        <v>11198</v>
      </c>
      <c r="J1343" s="4" t="s">
        <v>11198</v>
      </c>
      <c r="K1343" s="4" t="s">
        <v>9543</v>
      </c>
    </row>
    <row r="1344">
      <c r="A1344" s="31" t="s">
        <v>10979</v>
      </c>
      <c r="B1344" s="31" t="s">
        <v>4258</v>
      </c>
      <c r="C1344" s="108" t="s">
        <v>9694</v>
      </c>
    </row>
    <row r="1345">
      <c r="A1345" s="31" t="s">
        <v>11199</v>
      </c>
      <c r="B1345" s="31" t="s">
        <v>11200</v>
      </c>
      <c r="C1345" s="8"/>
      <c r="D1345" s="8"/>
      <c r="E1345" s="8"/>
      <c r="F1345" s="8"/>
      <c r="G1345" s="8"/>
      <c r="H1345" s="8"/>
      <c r="I1345" s="8"/>
      <c r="J1345" s="8"/>
      <c r="K1345" s="8"/>
    </row>
    <row r="1346">
      <c r="A1346" s="31" t="s">
        <v>11201</v>
      </c>
      <c r="B1346" s="31" t="s">
        <v>11008</v>
      </c>
      <c r="C1346" s="8"/>
      <c r="D1346" s="8"/>
      <c r="E1346" s="8"/>
      <c r="F1346" s="8"/>
      <c r="G1346" s="8"/>
      <c r="H1346" s="8"/>
      <c r="I1346" s="8"/>
      <c r="J1346" s="8"/>
      <c r="K1346" s="8"/>
    </row>
    <row r="1347">
      <c r="A1347" s="31" t="s">
        <v>10939</v>
      </c>
      <c r="B1347" s="31" t="s">
        <v>11202</v>
      </c>
      <c r="C1347" s="8"/>
      <c r="D1347" s="8"/>
      <c r="E1347" s="8"/>
      <c r="F1347" s="8"/>
      <c r="G1347" s="8"/>
      <c r="H1347" s="8"/>
      <c r="I1347" s="8"/>
      <c r="J1347" s="8"/>
      <c r="K1347" s="8"/>
    </row>
    <row r="1348">
      <c r="A1348" s="31" t="s">
        <v>11203</v>
      </c>
      <c r="B1348" s="31" t="s">
        <v>11204</v>
      </c>
      <c r="C1348" s="8"/>
      <c r="D1348" s="8"/>
      <c r="E1348" s="8"/>
      <c r="F1348" s="8"/>
      <c r="G1348" s="8"/>
      <c r="H1348" s="8"/>
      <c r="I1348" s="8"/>
      <c r="J1348" s="8"/>
      <c r="K1348" s="8"/>
    </row>
    <row r="1349">
      <c r="A1349" s="31" t="s">
        <v>11205</v>
      </c>
      <c r="B1349" s="31" t="s">
        <v>11206</v>
      </c>
      <c r="C1349" s="8"/>
      <c r="D1349" s="8"/>
      <c r="E1349" s="8"/>
      <c r="F1349" s="8"/>
      <c r="G1349" s="8"/>
      <c r="H1349" s="8"/>
      <c r="I1349" s="8"/>
      <c r="J1349" s="8"/>
      <c r="K1349" s="8"/>
    </row>
    <row r="1350">
      <c r="A1350" s="31" t="s">
        <v>11207</v>
      </c>
      <c r="B1350" s="31" t="s">
        <v>10379</v>
      </c>
      <c r="C1350" s="8"/>
      <c r="D1350" s="8"/>
      <c r="E1350" s="8"/>
      <c r="F1350" s="8"/>
      <c r="G1350" s="8"/>
      <c r="H1350" s="8"/>
      <c r="I1350" s="8"/>
      <c r="J1350" s="8"/>
      <c r="K1350" s="8"/>
    </row>
    <row r="1351">
      <c r="A1351" s="31" t="s">
        <v>11208</v>
      </c>
      <c r="B1351" s="31" t="s">
        <v>4285</v>
      </c>
    </row>
    <row r="1352">
      <c r="A1352" s="31" t="s">
        <v>9618</v>
      </c>
      <c r="B1352" s="31" t="s">
        <v>11209</v>
      </c>
    </row>
    <row r="1353">
      <c r="A1353" s="31" t="s">
        <v>11210</v>
      </c>
      <c r="B1353" s="31" t="s">
        <v>11211</v>
      </c>
    </row>
    <row r="1354">
      <c r="A1354" s="31" t="s">
        <v>11212</v>
      </c>
      <c r="B1354" s="31" t="s">
        <v>11213</v>
      </c>
    </row>
    <row r="1355">
      <c r="A1355" s="31" t="s">
        <v>11214</v>
      </c>
      <c r="B1355" s="31" t="s">
        <v>11215</v>
      </c>
    </row>
    <row r="1356">
      <c r="A1356" s="31" t="s">
        <v>8004</v>
      </c>
      <c r="B1356" s="31" t="s">
        <v>4296</v>
      </c>
    </row>
    <row r="1357">
      <c r="A1357" s="433" t="s">
        <v>11216</v>
      </c>
    </row>
    <row r="1358">
      <c r="A1358" s="340" t="s">
        <v>11091</v>
      </c>
      <c r="B1358" s="340" t="s">
        <v>9531</v>
      </c>
      <c r="C1358" s="340" t="s">
        <v>9363</v>
      </c>
    </row>
    <row r="1359">
      <c r="A1359" s="31" t="s">
        <v>11092</v>
      </c>
      <c r="B1359" s="75" t="s">
        <v>11021</v>
      </c>
      <c r="C1359" s="256" t="s">
        <v>9365</v>
      </c>
      <c r="D1359" s="256" t="s">
        <v>8952</v>
      </c>
      <c r="E1359" s="379" t="s">
        <v>4702</v>
      </c>
      <c r="F1359" s="256" t="s">
        <v>4703</v>
      </c>
      <c r="G1359" s="379" t="s">
        <v>4320</v>
      </c>
      <c r="H1359" s="379" t="s">
        <v>436</v>
      </c>
      <c r="I1359" s="379" t="s">
        <v>4704</v>
      </c>
      <c r="J1359" s="379" t="s">
        <v>135</v>
      </c>
      <c r="K1359" s="379" t="s">
        <v>128</v>
      </c>
    </row>
    <row r="1360">
      <c r="A1360" s="31" t="s">
        <v>11093</v>
      </c>
      <c r="B1360" s="31" t="s">
        <v>11023</v>
      </c>
      <c r="C1360" s="4" t="s">
        <v>9441</v>
      </c>
      <c r="D1360" s="4" t="s">
        <v>9102</v>
      </c>
      <c r="E1360" s="4" t="s">
        <v>7680</v>
      </c>
      <c r="F1360" s="4" t="s">
        <v>8354</v>
      </c>
      <c r="G1360" s="4" t="s">
        <v>19</v>
      </c>
      <c r="H1360" s="4" t="s">
        <v>169</v>
      </c>
      <c r="I1360" s="4" t="s">
        <v>9653</v>
      </c>
      <c r="J1360" s="4" t="s">
        <v>8340</v>
      </c>
      <c r="K1360" s="4" t="s">
        <v>11217</v>
      </c>
    </row>
    <row r="1361">
      <c r="A1361" s="31" t="s">
        <v>11097</v>
      </c>
      <c r="B1361" s="31" t="s">
        <v>11024</v>
      </c>
      <c r="C1361" s="108" t="s">
        <v>9655</v>
      </c>
    </row>
    <row r="1362">
      <c r="A1362" s="31" t="s">
        <v>1996</v>
      </c>
      <c r="B1362" s="31" t="s">
        <v>11025</v>
      </c>
      <c r="C1362" s="8"/>
      <c r="D1362" s="8"/>
      <c r="E1362" s="8"/>
      <c r="F1362" s="8"/>
      <c r="G1362" s="8"/>
      <c r="H1362" s="8"/>
      <c r="I1362" s="8"/>
      <c r="J1362" s="8"/>
      <c r="K1362" s="8"/>
    </row>
    <row r="1363">
      <c r="A1363" s="31" t="s">
        <v>11098</v>
      </c>
      <c r="B1363" s="31" t="s">
        <v>11026</v>
      </c>
      <c r="C1363" s="8"/>
      <c r="D1363" s="8"/>
      <c r="E1363" s="8"/>
      <c r="F1363" s="8"/>
      <c r="G1363" s="8"/>
      <c r="H1363" s="8"/>
      <c r="I1363" s="8"/>
      <c r="J1363" s="8"/>
      <c r="K1363" s="8"/>
    </row>
    <row r="1364">
      <c r="A1364" s="31" t="s">
        <v>11099</v>
      </c>
      <c r="B1364" s="31" t="s">
        <v>11028</v>
      </c>
      <c r="C1364" s="8"/>
      <c r="D1364" s="8"/>
      <c r="E1364" s="8"/>
      <c r="F1364" s="8"/>
      <c r="G1364" s="8"/>
      <c r="H1364" s="8"/>
      <c r="I1364" s="8"/>
      <c r="J1364" s="8"/>
      <c r="K1364" s="8"/>
    </row>
    <row r="1365">
      <c r="A1365" s="31" t="s">
        <v>5956</v>
      </c>
      <c r="B1365" s="31" t="s">
        <v>11030</v>
      </c>
      <c r="C1365" s="8"/>
      <c r="D1365" s="8"/>
      <c r="E1365" s="8"/>
      <c r="F1365" s="8"/>
      <c r="G1365" s="8"/>
      <c r="H1365" s="8"/>
      <c r="I1365" s="8"/>
      <c r="J1365" s="8"/>
      <c r="K1365" s="8"/>
    </row>
    <row r="1366">
      <c r="A1366" s="31" t="s">
        <v>11100</v>
      </c>
      <c r="B1366" s="31" t="s">
        <v>11031</v>
      </c>
      <c r="C1366" s="8"/>
      <c r="D1366" s="8"/>
      <c r="E1366" s="8"/>
      <c r="F1366" s="8"/>
      <c r="G1366" s="8"/>
      <c r="H1366" s="8"/>
      <c r="I1366" s="8"/>
      <c r="J1366" s="8"/>
      <c r="K1366" s="8"/>
    </row>
    <row r="1367">
      <c r="A1367" s="31" t="s">
        <v>6887</v>
      </c>
      <c r="B1367" s="31" t="s">
        <v>11033</v>
      </c>
    </row>
    <row r="1368">
      <c r="A1368" s="31" t="s">
        <v>11101</v>
      </c>
      <c r="B1368" s="31" t="s">
        <v>10704</v>
      </c>
    </row>
    <row r="1369">
      <c r="A1369" s="31" t="s">
        <v>11103</v>
      </c>
      <c r="B1369" s="31" t="s">
        <v>11035</v>
      </c>
    </row>
    <row r="1370">
      <c r="A1370" s="31" t="s">
        <v>11105</v>
      </c>
      <c r="B1370" s="31" t="s">
        <v>11036</v>
      </c>
    </row>
    <row r="1371">
      <c r="A1371" s="31" t="s">
        <v>11107</v>
      </c>
      <c r="B1371" s="31" t="s">
        <v>11038</v>
      </c>
    </row>
    <row r="1372">
      <c r="A1372" s="31" t="s">
        <v>11109</v>
      </c>
      <c r="B1372" s="31" t="s">
        <v>11040</v>
      </c>
    </row>
    <row r="1373">
      <c r="B1373" s="31" t="s">
        <v>9667</v>
      </c>
    </row>
    <row r="1374">
      <c r="B1374" s="31" t="s">
        <v>11043</v>
      </c>
    </row>
    <row r="1375">
      <c r="B1375" s="31" t="s">
        <v>11045</v>
      </c>
    </row>
    <row r="1377">
      <c r="A1377" s="433" t="s">
        <v>11218</v>
      </c>
    </row>
    <row r="1378">
      <c r="A1378" s="340" t="s">
        <v>9929</v>
      </c>
      <c r="B1378" s="340" t="s">
        <v>9887</v>
      </c>
      <c r="C1378" s="340" t="s">
        <v>9363</v>
      </c>
    </row>
    <row r="1379">
      <c r="A1379" s="31" t="s">
        <v>11219</v>
      </c>
      <c r="B1379" s="31" t="s">
        <v>11220</v>
      </c>
      <c r="C1379" s="256" t="s">
        <v>9365</v>
      </c>
      <c r="D1379" s="256" t="s">
        <v>8952</v>
      </c>
      <c r="E1379" s="379" t="s">
        <v>4702</v>
      </c>
      <c r="F1379" s="256" t="s">
        <v>4703</v>
      </c>
      <c r="G1379" s="379" t="s">
        <v>4320</v>
      </c>
      <c r="H1379" s="379" t="s">
        <v>436</v>
      </c>
      <c r="I1379" s="379" t="s">
        <v>4704</v>
      </c>
      <c r="J1379" s="379" t="s">
        <v>135</v>
      </c>
      <c r="K1379" s="379" t="s">
        <v>128</v>
      </c>
    </row>
    <row r="1380">
      <c r="A1380" s="31" t="s">
        <v>11221</v>
      </c>
      <c r="B1380" s="31" t="s">
        <v>11222</v>
      </c>
      <c r="C1380" s="4" t="s">
        <v>9441</v>
      </c>
      <c r="D1380" s="4" t="s">
        <v>9102</v>
      </c>
      <c r="E1380" s="4" t="s">
        <v>7683</v>
      </c>
      <c r="F1380" s="4" t="s">
        <v>5475</v>
      </c>
      <c r="G1380" s="4" t="s">
        <v>6</v>
      </c>
      <c r="H1380" s="4" t="s">
        <v>11051</v>
      </c>
      <c r="I1380" s="4" t="s">
        <v>7861</v>
      </c>
      <c r="J1380" s="4" t="s">
        <v>11223</v>
      </c>
      <c r="K1380" s="4" t="s">
        <v>11224</v>
      </c>
    </row>
    <row r="1381">
      <c r="A1381" s="31" t="s">
        <v>1166</v>
      </c>
      <c r="B1381" s="31" t="s">
        <v>1692</v>
      </c>
      <c r="C1381" s="108" t="s">
        <v>10851</v>
      </c>
    </row>
    <row r="1382">
      <c r="A1382" s="31" t="s">
        <v>1504</v>
      </c>
      <c r="B1382" s="31" t="s">
        <v>5556</v>
      </c>
      <c r="C1382" s="8"/>
      <c r="D1382" s="8"/>
      <c r="E1382" s="8"/>
      <c r="F1382" s="8"/>
      <c r="G1382" s="8"/>
      <c r="H1382" s="8"/>
      <c r="I1382" s="8"/>
      <c r="J1382" s="8"/>
      <c r="K1382" s="8"/>
    </row>
    <row r="1383">
      <c r="A1383" s="31" t="s">
        <v>10853</v>
      </c>
      <c r="B1383" s="31" t="s">
        <v>5212</v>
      </c>
      <c r="C1383" s="8"/>
      <c r="D1383" s="8"/>
      <c r="E1383" s="8"/>
      <c r="F1383" s="8"/>
      <c r="G1383" s="8"/>
      <c r="H1383" s="8"/>
      <c r="I1383" s="8"/>
      <c r="J1383" s="8"/>
      <c r="K1383" s="8"/>
    </row>
    <row r="1384">
      <c r="A1384" s="31" t="s">
        <v>10621</v>
      </c>
      <c r="B1384" s="31" t="s">
        <v>11225</v>
      </c>
      <c r="C1384" s="8"/>
      <c r="D1384" s="8"/>
      <c r="E1384" s="8"/>
      <c r="F1384" s="8"/>
      <c r="G1384" s="8"/>
      <c r="H1384" s="8"/>
      <c r="I1384" s="8"/>
      <c r="J1384" s="8"/>
      <c r="K1384" s="8"/>
    </row>
    <row r="1385">
      <c r="A1385" s="31" t="s">
        <v>11226</v>
      </c>
      <c r="B1385" s="31" t="s">
        <v>5581</v>
      </c>
      <c r="C1385" s="8"/>
      <c r="D1385" s="8"/>
      <c r="E1385" s="8"/>
      <c r="F1385" s="8"/>
      <c r="G1385" s="8"/>
      <c r="H1385" s="8"/>
      <c r="I1385" s="8"/>
      <c r="J1385" s="8"/>
      <c r="K1385" s="8"/>
    </row>
    <row r="1386">
      <c r="A1386" s="31" t="s">
        <v>10858</v>
      </c>
      <c r="B1386" s="31" t="s">
        <v>11227</v>
      </c>
      <c r="C1386" s="8"/>
      <c r="D1386" s="8"/>
      <c r="E1386" s="8"/>
      <c r="F1386" s="8"/>
      <c r="G1386" s="8"/>
      <c r="H1386" s="8"/>
      <c r="I1386" s="8"/>
      <c r="J1386" s="8"/>
      <c r="K1386" s="8"/>
    </row>
    <row r="1387">
      <c r="A1387" s="31" t="s">
        <v>4867</v>
      </c>
      <c r="B1387" s="31" t="s">
        <v>11228</v>
      </c>
      <c r="C1387" s="8"/>
      <c r="D1387" s="8"/>
      <c r="E1387" s="8"/>
      <c r="F1387" s="8"/>
      <c r="G1387" s="8"/>
      <c r="H1387" s="8"/>
      <c r="I1387" s="8"/>
      <c r="J1387" s="8"/>
      <c r="K1387" s="8"/>
    </row>
    <row r="1388">
      <c r="A1388" s="31" t="s">
        <v>11102</v>
      </c>
      <c r="B1388" s="31" t="s">
        <v>5975</v>
      </c>
      <c r="C1388" s="8"/>
      <c r="D1388" s="8"/>
      <c r="E1388" s="8"/>
      <c r="F1388" s="8"/>
      <c r="G1388" s="8"/>
      <c r="H1388" s="8"/>
      <c r="I1388" s="8"/>
      <c r="J1388" s="8"/>
      <c r="K1388" s="8"/>
    </row>
    <row r="1389">
      <c r="A1389" s="31" t="s">
        <v>11104</v>
      </c>
      <c r="B1389" s="31" t="s">
        <v>11229</v>
      </c>
    </row>
    <row r="1390">
      <c r="A1390" s="31" t="s">
        <v>11106</v>
      </c>
      <c r="B1390" s="31" t="s">
        <v>11230</v>
      </c>
    </row>
    <row r="1391">
      <c r="A1391" s="31" t="s">
        <v>11108</v>
      </c>
      <c r="B1391" s="31" t="s">
        <v>7309</v>
      </c>
    </row>
    <row r="1392">
      <c r="A1392" s="31" t="s">
        <v>5632</v>
      </c>
      <c r="B1392" s="31" t="s">
        <v>11231</v>
      </c>
    </row>
    <row r="1393">
      <c r="A1393" s="31" t="s">
        <v>11110</v>
      </c>
      <c r="B1393" s="31" t="s">
        <v>11232</v>
      </c>
    </row>
    <row r="1394">
      <c r="A1394" s="31" t="s">
        <v>10869</v>
      </c>
    </row>
    <row r="1395">
      <c r="A1395" s="31" t="s">
        <v>11111</v>
      </c>
    </row>
    <row r="1396">
      <c r="A1396" s="31" t="s">
        <v>11233</v>
      </c>
    </row>
    <row r="1397">
      <c r="A1397" s="433" t="s">
        <v>11234</v>
      </c>
    </row>
    <row r="1398">
      <c r="A1398" s="340" t="s">
        <v>9770</v>
      </c>
      <c r="B1398" s="340" t="s">
        <v>11235</v>
      </c>
      <c r="C1398" s="340" t="s">
        <v>9363</v>
      </c>
    </row>
    <row r="1399">
      <c r="A1399" s="31" t="s">
        <v>11236</v>
      </c>
      <c r="B1399" s="31" t="s">
        <v>11180</v>
      </c>
      <c r="C1399" s="256" t="s">
        <v>9365</v>
      </c>
      <c r="D1399" s="256" t="s">
        <v>8952</v>
      </c>
      <c r="E1399" s="379" t="s">
        <v>4702</v>
      </c>
      <c r="F1399" s="256" t="s">
        <v>4703</v>
      </c>
      <c r="G1399" s="379" t="s">
        <v>4320</v>
      </c>
      <c r="H1399" s="379" t="s">
        <v>436</v>
      </c>
      <c r="I1399" s="379" t="s">
        <v>4704</v>
      </c>
      <c r="J1399" s="379" t="s">
        <v>135</v>
      </c>
      <c r="K1399" s="379" t="s">
        <v>128</v>
      </c>
    </row>
    <row r="1400">
      <c r="A1400" s="31" t="s">
        <v>11237</v>
      </c>
      <c r="B1400" s="31" t="s">
        <v>11181</v>
      </c>
      <c r="C1400" s="4" t="s">
        <v>9441</v>
      </c>
      <c r="D1400" s="4" t="s">
        <v>9102</v>
      </c>
      <c r="E1400" s="4" t="s">
        <v>7683</v>
      </c>
      <c r="F1400" s="4" t="s">
        <v>5461</v>
      </c>
      <c r="G1400" s="4" t="s">
        <v>16</v>
      </c>
      <c r="H1400" s="4" t="s">
        <v>8320</v>
      </c>
      <c r="I1400" s="4" t="s">
        <v>11078</v>
      </c>
      <c r="J1400" s="4" t="s">
        <v>11078</v>
      </c>
      <c r="K1400" s="4" t="s">
        <v>8779</v>
      </c>
      <c r="L1400" s="8"/>
    </row>
    <row r="1401">
      <c r="A1401" s="31" t="s">
        <v>3795</v>
      </c>
      <c r="B1401" s="31" t="s">
        <v>11183</v>
      </c>
      <c r="C1401" s="108" t="s">
        <v>9778</v>
      </c>
      <c r="L1401" s="8"/>
    </row>
    <row r="1402">
      <c r="A1402" s="31" t="s">
        <v>10852</v>
      </c>
      <c r="B1402" s="31" t="s">
        <v>10934</v>
      </c>
      <c r="C1402" s="8"/>
      <c r="D1402" s="8"/>
      <c r="E1402" s="8"/>
      <c r="F1402" s="8"/>
      <c r="G1402" s="8"/>
      <c r="H1402" s="8"/>
      <c r="I1402" s="8"/>
      <c r="J1402" s="8"/>
      <c r="K1402" s="8"/>
      <c r="L1402" s="8"/>
    </row>
    <row r="1403">
      <c r="A1403" s="31" t="s">
        <v>10854</v>
      </c>
      <c r="B1403" s="31" t="s">
        <v>10854</v>
      </c>
      <c r="C1403" s="8"/>
      <c r="D1403" s="8"/>
      <c r="E1403" s="8"/>
      <c r="F1403" s="8"/>
      <c r="G1403" s="8"/>
      <c r="H1403" s="8"/>
      <c r="I1403" s="8"/>
      <c r="J1403" s="8"/>
      <c r="K1403" s="8"/>
      <c r="L1403" s="8"/>
    </row>
    <row r="1404">
      <c r="A1404" s="31" t="s">
        <v>10964</v>
      </c>
      <c r="B1404" s="31" t="s">
        <v>11184</v>
      </c>
      <c r="C1404" s="8"/>
      <c r="D1404" s="8"/>
      <c r="E1404" s="8"/>
      <c r="F1404" s="8"/>
      <c r="G1404" s="8"/>
      <c r="H1404" s="8"/>
      <c r="I1404" s="8"/>
      <c r="J1404" s="8"/>
      <c r="K1404" s="8"/>
      <c r="L1404" s="8"/>
    </row>
    <row r="1405">
      <c r="A1405" s="31" t="s">
        <v>10857</v>
      </c>
      <c r="B1405" s="31" t="s">
        <v>11185</v>
      </c>
      <c r="C1405" s="8"/>
      <c r="D1405" s="8"/>
      <c r="E1405" s="8"/>
      <c r="F1405" s="8"/>
      <c r="G1405" s="8"/>
      <c r="H1405" s="8"/>
      <c r="I1405" s="8"/>
      <c r="J1405" s="8"/>
      <c r="K1405" s="8"/>
      <c r="L1405" s="8"/>
    </row>
    <row r="1406">
      <c r="A1406" s="31" t="s">
        <v>10859</v>
      </c>
      <c r="B1406" s="31" t="s">
        <v>11186</v>
      </c>
      <c r="C1406" s="8"/>
      <c r="D1406" s="8"/>
      <c r="E1406" s="8"/>
      <c r="F1406" s="8"/>
      <c r="G1406" s="8"/>
      <c r="H1406" s="8"/>
      <c r="I1406" s="8"/>
      <c r="J1406" s="8"/>
      <c r="K1406" s="8"/>
      <c r="L1406" s="8"/>
    </row>
    <row r="1407">
      <c r="A1407" s="31" t="s">
        <v>10861</v>
      </c>
      <c r="B1407" s="31" t="s">
        <v>10127</v>
      </c>
      <c r="C1407" s="8"/>
      <c r="D1407" s="8"/>
      <c r="E1407" s="8"/>
      <c r="F1407" s="8"/>
      <c r="G1407" s="8"/>
      <c r="H1407" s="8"/>
      <c r="I1407" s="8"/>
      <c r="J1407" s="8"/>
      <c r="K1407" s="8"/>
      <c r="L1407" s="8"/>
    </row>
    <row r="1408">
      <c r="A1408" s="31" t="s">
        <v>10862</v>
      </c>
      <c r="B1408" s="31" t="s">
        <v>11187</v>
      </c>
    </row>
    <row r="1409">
      <c r="A1409" s="31" t="s">
        <v>6407</v>
      </c>
      <c r="B1409" s="31" t="s">
        <v>11188</v>
      </c>
    </row>
    <row r="1410">
      <c r="A1410" s="31" t="s">
        <v>8207</v>
      </c>
      <c r="B1410" s="31" t="s">
        <v>11189</v>
      </c>
    </row>
    <row r="1411">
      <c r="A1411" s="31" t="s">
        <v>10865</v>
      </c>
      <c r="B1411" s="31" t="s">
        <v>11190</v>
      </c>
    </row>
    <row r="1412">
      <c r="A1412" s="31" t="s">
        <v>10866</v>
      </c>
      <c r="B1412" s="31" t="s">
        <v>11191</v>
      </c>
    </row>
    <row r="1413">
      <c r="A1413" s="31" t="s">
        <v>10868</v>
      </c>
      <c r="B1413" s="31" t="s">
        <v>8007</v>
      </c>
    </row>
    <row r="1414">
      <c r="A1414" s="31" t="s">
        <v>3234</v>
      </c>
      <c r="B1414" s="31" t="s">
        <v>11192</v>
      </c>
    </row>
    <row r="1415">
      <c r="A1415" s="31" t="s">
        <v>8266</v>
      </c>
      <c r="B1415" s="31" t="s">
        <v>11193</v>
      </c>
    </row>
    <row r="1416">
      <c r="A1416" s="31" t="s">
        <v>8280</v>
      </c>
      <c r="B1416" s="31" t="s">
        <v>11194</v>
      </c>
    </row>
    <row r="1417">
      <c r="A1417" s="433" t="s">
        <v>11238</v>
      </c>
    </row>
    <row r="1418">
      <c r="A1418" s="340" t="s">
        <v>9361</v>
      </c>
      <c r="B1418" s="340" t="s">
        <v>9802</v>
      </c>
      <c r="C1418" s="340" t="s">
        <v>9363</v>
      </c>
    </row>
    <row r="1419">
      <c r="A1419" s="31" t="s">
        <v>11239</v>
      </c>
      <c r="B1419" s="31" t="s">
        <v>11240</v>
      </c>
      <c r="C1419" s="256" t="s">
        <v>9365</v>
      </c>
      <c r="D1419" s="256" t="s">
        <v>8952</v>
      </c>
      <c r="E1419" s="379" t="s">
        <v>4702</v>
      </c>
      <c r="F1419" s="256" t="s">
        <v>4703</v>
      </c>
      <c r="G1419" s="379" t="s">
        <v>4320</v>
      </c>
      <c r="H1419" s="379" t="s">
        <v>436</v>
      </c>
      <c r="I1419" s="379" t="s">
        <v>4704</v>
      </c>
      <c r="J1419" s="379" t="s">
        <v>135</v>
      </c>
      <c r="K1419" s="379" t="s">
        <v>128</v>
      </c>
    </row>
    <row r="1420">
      <c r="A1420" s="31" t="s">
        <v>11241</v>
      </c>
      <c r="B1420" s="31" t="s">
        <v>11242</v>
      </c>
      <c r="C1420" s="4" t="s">
        <v>9441</v>
      </c>
      <c r="D1420" s="4" t="s">
        <v>9102</v>
      </c>
      <c r="E1420" s="4" t="s">
        <v>7683</v>
      </c>
      <c r="F1420" s="4" t="s">
        <v>5439</v>
      </c>
      <c r="G1420" s="4" t="s">
        <v>17</v>
      </c>
      <c r="H1420" s="4" t="s">
        <v>194</v>
      </c>
      <c r="I1420" s="4" t="s">
        <v>11243</v>
      </c>
      <c r="J1420" s="4" t="s">
        <v>11244</v>
      </c>
      <c r="K1420" s="4" t="s">
        <v>11243</v>
      </c>
    </row>
    <row r="1421">
      <c r="A1421" s="31" t="s">
        <v>11053</v>
      </c>
      <c r="B1421" s="31" t="s">
        <v>961</v>
      </c>
      <c r="C1421" s="108" t="s">
        <v>9982</v>
      </c>
    </row>
    <row r="1422">
      <c r="A1422" s="31" t="s">
        <v>9370</v>
      </c>
      <c r="B1422" s="31" t="s">
        <v>636</v>
      </c>
      <c r="C1422" s="8"/>
      <c r="D1422" s="8"/>
      <c r="E1422" s="8"/>
      <c r="F1422" s="8"/>
      <c r="G1422" s="8"/>
      <c r="H1422" s="8"/>
      <c r="I1422" s="8"/>
      <c r="J1422" s="8"/>
      <c r="K1422" s="8"/>
    </row>
    <row r="1423">
      <c r="A1423" s="31" t="s">
        <v>11056</v>
      </c>
      <c r="B1423" s="31" t="s">
        <v>6345</v>
      </c>
      <c r="C1423" s="8"/>
      <c r="D1423" s="8"/>
      <c r="E1423" s="8"/>
      <c r="F1423" s="8"/>
      <c r="G1423" s="8"/>
      <c r="H1423" s="8"/>
      <c r="I1423" s="8"/>
      <c r="J1423" s="8"/>
      <c r="K1423" s="8"/>
    </row>
    <row r="1424">
      <c r="A1424" s="31" t="s">
        <v>10817</v>
      </c>
      <c r="B1424" s="31" t="s">
        <v>5942</v>
      </c>
      <c r="C1424" s="8"/>
      <c r="D1424" s="8"/>
      <c r="E1424" s="8"/>
      <c r="F1424" s="8"/>
      <c r="G1424" s="8"/>
      <c r="H1424" s="8"/>
      <c r="I1424" s="8"/>
      <c r="J1424" s="8"/>
      <c r="K1424" s="8"/>
    </row>
    <row r="1425">
      <c r="A1425" s="31" t="s">
        <v>10841</v>
      </c>
      <c r="B1425" s="31" t="s">
        <v>11029</v>
      </c>
      <c r="C1425" s="8"/>
      <c r="D1425" s="8"/>
      <c r="E1425" s="8"/>
      <c r="F1425" s="8"/>
      <c r="G1425" s="8"/>
      <c r="H1425" s="8"/>
      <c r="I1425" s="8"/>
      <c r="J1425" s="8"/>
      <c r="K1425" s="8"/>
    </row>
    <row r="1426">
      <c r="A1426" s="31" t="s">
        <v>9741</v>
      </c>
      <c r="B1426" s="31" t="s">
        <v>10511</v>
      </c>
      <c r="C1426" s="8"/>
      <c r="D1426" s="8"/>
      <c r="E1426" s="8"/>
      <c r="F1426" s="8"/>
      <c r="G1426" s="8"/>
      <c r="H1426" s="8"/>
      <c r="I1426" s="8"/>
      <c r="J1426" s="8"/>
      <c r="K1426" s="8"/>
    </row>
    <row r="1427">
      <c r="A1427" s="31" t="s">
        <v>11061</v>
      </c>
      <c r="B1427" s="31" t="s">
        <v>11032</v>
      </c>
      <c r="C1427" s="8"/>
      <c r="D1427" s="8"/>
      <c r="E1427" s="8"/>
      <c r="F1427" s="8"/>
      <c r="G1427" s="8"/>
      <c r="H1427" s="8"/>
      <c r="I1427" s="8"/>
      <c r="J1427" s="8"/>
      <c r="K1427" s="8"/>
    </row>
    <row r="1428">
      <c r="A1428" s="31" t="s">
        <v>5291</v>
      </c>
      <c r="B1428" s="31" t="s">
        <v>11034</v>
      </c>
    </row>
    <row r="1429">
      <c r="A1429" s="31" t="s">
        <v>11063</v>
      </c>
      <c r="B1429" s="31" t="s">
        <v>10991</v>
      </c>
    </row>
    <row r="1430">
      <c r="A1430" s="31" t="s">
        <v>11065</v>
      </c>
      <c r="B1430" s="31" t="s">
        <v>9823</v>
      </c>
    </row>
    <row r="1431">
      <c r="A1431" s="31" t="s">
        <v>10892</v>
      </c>
      <c r="B1431" s="31" t="s">
        <v>11037</v>
      </c>
    </row>
    <row r="1432">
      <c r="A1432" s="31" t="s">
        <v>11068</v>
      </c>
      <c r="B1432" s="31" t="s">
        <v>11039</v>
      </c>
    </row>
    <row r="1433">
      <c r="B1433" s="31" t="s">
        <v>11041</v>
      </c>
    </row>
    <row r="1434">
      <c r="B1434" s="31" t="s">
        <v>11042</v>
      </c>
    </row>
    <row r="1437">
      <c r="A1437" s="433" t="s">
        <v>11245</v>
      </c>
    </row>
    <row r="1438">
      <c r="A1438" s="340" t="s">
        <v>11091</v>
      </c>
      <c r="B1438" s="340" t="s">
        <v>11139</v>
      </c>
      <c r="C1438" s="340" t="s">
        <v>9363</v>
      </c>
    </row>
    <row r="1439">
      <c r="A1439" s="31" t="s">
        <v>11246</v>
      </c>
      <c r="B1439" s="31" t="s">
        <v>11247</v>
      </c>
      <c r="C1439" s="256" t="s">
        <v>9365</v>
      </c>
      <c r="D1439" s="256" t="s">
        <v>8952</v>
      </c>
      <c r="E1439" s="379" t="s">
        <v>4702</v>
      </c>
      <c r="F1439" s="256" t="s">
        <v>4703</v>
      </c>
      <c r="G1439" s="379" t="s">
        <v>4320</v>
      </c>
      <c r="H1439" s="379" t="s">
        <v>436</v>
      </c>
      <c r="I1439" s="379" t="s">
        <v>4704</v>
      </c>
      <c r="J1439" s="379" t="s">
        <v>135</v>
      </c>
      <c r="K1439" s="379" t="s">
        <v>128</v>
      </c>
    </row>
    <row r="1440">
      <c r="A1440" s="31" t="s">
        <v>11248</v>
      </c>
      <c r="B1440" s="31" t="s">
        <v>11249</v>
      </c>
      <c r="C1440" s="4" t="s">
        <v>9441</v>
      </c>
      <c r="D1440" s="4" t="s">
        <v>9102</v>
      </c>
      <c r="E1440" s="4" t="s">
        <v>7683</v>
      </c>
      <c r="F1440" s="4" t="s">
        <v>5452</v>
      </c>
      <c r="G1440" s="4" t="s">
        <v>14</v>
      </c>
      <c r="H1440" s="4" t="s">
        <v>175</v>
      </c>
      <c r="I1440" s="4" t="s">
        <v>8575</v>
      </c>
      <c r="J1440" s="4" t="s">
        <v>7807</v>
      </c>
      <c r="K1440" s="4" t="s">
        <v>11250</v>
      </c>
    </row>
    <row r="1441">
      <c r="A1441" s="31" t="s">
        <v>11097</v>
      </c>
      <c r="B1441" s="31" t="s">
        <v>5546</v>
      </c>
      <c r="C1441" s="108" t="s">
        <v>11251</v>
      </c>
    </row>
    <row r="1442">
      <c r="A1442" s="31" t="s">
        <v>1996</v>
      </c>
      <c r="B1442" s="31" t="s">
        <v>11145</v>
      </c>
      <c r="C1442" s="8"/>
      <c r="D1442" s="8"/>
      <c r="E1442" s="8"/>
      <c r="F1442" s="8"/>
      <c r="G1442" s="8"/>
      <c r="H1442" s="8"/>
      <c r="I1442" s="8"/>
      <c r="J1442" s="8"/>
      <c r="K1442" s="8"/>
    </row>
    <row r="1443">
      <c r="A1443" s="31" t="s">
        <v>11098</v>
      </c>
      <c r="B1443" s="31" t="s">
        <v>11146</v>
      </c>
      <c r="C1443" s="8"/>
      <c r="D1443" s="8"/>
      <c r="E1443" s="8"/>
      <c r="F1443" s="8"/>
      <c r="G1443" s="8"/>
      <c r="H1443" s="8"/>
      <c r="I1443" s="8"/>
      <c r="J1443" s="8"/>
      <c r="K1443" s="8"/>
    </row>
    <row r="1444">
      <c r="A1444" s="31" t="s">
        <v>11099</v>
      </c>
      <c r="B1444" s="31" t="s">
        <v>11147</v>
      </c>
      <c r="C1444" s="8"/>
      <c r="D1444" s="8"/>
      <c r="E1444" s="8"/>
      <c r="F1444" s="8"/>
      <c r="G1444" s="8"/>
      <c r="H1444" s="8"/>
      <c r="I1444" s="8"/>
      <c r="J1444" s="8"/>
      <c r="K1444" s="8"/>
    </row>
    <row r="1445">
      <c r="A1445" s="31" t="s">
        <v>5956</v>
      </c>
      <c r="B1445" s="31" t="s">
        <v>11148</v>
      </c>
    </row>
    <row r="1446">
      <c r="A1446" s="31" t="s">
        <v>11100</v>
      </c>
      <c r="B1446" s="31" t="s">
        <v>4987</v>
      </c>
    </row>
    <row r="1447">
      <c r="A1447" s="31" t="s">
        <v>11252</v>
      </c>
      <c r="B1447" s="31" t="s">
        <v>11149</v>
      </c>
    </row>
    <row r="1448">
      <c r="A1448" s="31" t="s">
        <v>11101</v>
      </c>
      <c r="B1448" s="31" t="s">
        <v>11150</v>
      </c>
    </row>
    <row r="1449">
      <c r="A1449" s="31" t="s">
        <v>11103</v>
      </c>
      <c r="B1449" s="31" t="s">
        <v>8194</v>
      </c>
    </row>
    <row r="1450">
      <c r="A1450" s="31" t="s">
        <v>11105</v>
      </c>
      <c r="B1450" s="31" t="s">
        <v>11151</v>
      </c>
    </row>
    <row r="1451">
      <c r="A1451" s="31" t="s">
        <v>11253</v>
      </c>
      <c r="B1451" s="31" t="s">
        <v>11152</v>
      </c>
    </row>
    <row r="1452">
      <c r="A1452" s="31" t="s">
        <v>11254</v>
      </c>
      <c r="B1452" s="31" t="s">
        <v>3666</v>
      </c>
    </row>
    <row r="1453">
      <c r="A1453" s="31" t="s">
        <v>6009</v>
      </c>
      <c r="B1453" s="31" t="s">
        <v>11153</v>
      </c>
    </row>
    <row r="1454">
      <c r="A1454" s="31" t="s">
        <v>8252</v>
      </c>
      <c r="B1454" s="31" t="s">
        <v>3670</v>
      </c>
    </row>
    <row r="1455">
      <c r="B1455" s="31" t="s">
        <v>11154</v>
      </c>
    </row>
    <row r="1456">
      <c r="B1456" s="31" t="s">
        <v>8279</v>
      </c>
    </row>
    <row r="1457">
      <c r="A1457" s="433" t="s">
        <v>11255</v>
      </c>
    </row>
    <row r="1458">
      <c r="A1458" s="340" t="s">
        <v>10580</v>
      </c>
      <c r="B1458" s="340" t="s">
        <v>9414</v>
      </c>
      <c r="C1458" s="340" t="s">
        <v>9363</v>
      </c>
    </row>
    <row r="1459">
      <c r="A1459" s="31" t="s">
        <v>11256</v>
      </c>
      <c r="B1459" s="31" t="s">
        <v>9416</v>
      </c>
      <c r="C1459" s="256" t="s">
        <v>9365</v>
      </c>
      <c r="D1459" s="256" t="s">
        <v>8952</v>
      </c>
      <c r="E1459" s="379" t="s">
        <v>4702</v>
      </c>
      <c r="F1459" s="256" t="s">
        <v>4703</v>
      </c>
      <c r="G1459" s="379" t="s">
        <v>4320</v>
      </c>
      <c r="H1459" s="379" t="s">
        <v>436</v>
      </c>
      <c r="I1459" s="379" t="s">
        <v>4704</v>
      </c>
      <c r="J1459" s="379" t="s">
        <v>135</v>
      </c>
      <c r="K1459" s="379" t="s">
        <v>128</v>
      </c>
    </row>
    <row r="1460">
      <c r="A1460" s="31" t="s">
        <v>11257</v>
      </c>
      <c r="B1460" s="31" t="s">
        <v>11197</v>
      </c>
      <c r="C1460" s="4" t="s">
        <v>9441</v>
      </c>
      <c r="D1460" s="4" t="s">
        <v>9102</v>
      </c>
      <c r="E1460" s="4" t="s">
        <v>7683</v>
      </c>
      <c r="F1460" s="4" t="s">
        <v>5432</v>
      </c>
      <c r="G1460" s="4" t="s">
        <v>12</v>
      </c>
      <c r="H1460" s="4" t="s">
        <v>10193</v>
      </c>
      <c r="I1460" s="4" t="s">
        <v>7786</v>
      </c>
      <c r="J1460" s="4" t="s">
        <v>7786</v>
      </c>
      <c r="K1460" s="4" t="s">
        <v>11258</v>
      </c>
      <c r="L1460" s="8"/>
      <c r="M1460" s="8"/>
    </row>
    <row r="1461">
      <c r="A1461" s="31" t="s">
        <v>6328</v>
      </c>
      <c r="B1461" s="31" t="s">
        <v>9975</v>
      </c>
      <c r="C1461" s="108" t="s">
        <v>11259</v>
      </c>
      <c r="L1461" s="8"/>
      <c r="M1461" s="8"/>
    </row>
    <row r="1462">
      <c r="A1462" s="31" t="s">
        <v>5205</v>
      </c>
      <c r="B1462" s="31" t="s">
        <v>11260</v>
      </c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</row>
    <row r="1463">
      <c r="A1463" s="31" t="s">
        <v>3035</v>
      </c>
      <c r="B1463" s="31" t="s">
        <v>10982</v>
      </c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</row>
    <row r="1464">
      <c r="A1464" s="31" t="s">
        <v>11261</v>
      </c>
      <c r="B1464" s="31" t="s">
        <v>11262</v>
      </c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</row>
    <row r="1465">
      <c r="A1465" s="31" t="s">
        <v>11263</v>
      </c>
      <c r="B1465" s="31" t="s">
        <v>11264</v>
      </c>
      <c r="C1465" s="436"/>
      <c r="D1465" s="8"/>
      <c r="E1465" s="8"/>
      <c r="F1465" s="8"/>
      <c r="G1465" s="8"/>
      <c r="H1465" s="8"/>
      <c r="I1465" s="8"/>
      <c r="J1465" s="8"/>
      <c r="K1465" s="8"/>
      <c r="L1465" s="8"/>
      <c r="M1465" s="8"/>
    </row>
    <row r="1466">
      <c r="A1466" s="31" t="s">
        <v>11265</v>
      </c>
      <c r="B1466" s="31" t="s">
        <v>11266</v>
      </c>
      <c r="C1466" s="436"/>
      <c r="D1466" s="8"/>
      <c r="E1466" s="8"/>
      <c r="F1466" s="8"/>
      <c r="G1466" s="8"/>
      <c r="H1466" s="8"/>
      <c r="I1466" s="8"/>
      <c r="J1466" s="8"/>
      <c r="K1466" s="8"/>
      <c r="L1466" s="8"/>
      <c r="M1466" s="8"/>
    </row>
    <row r="1467">
      <c r="A1467" s="31" t="s">
        <v>8174</v>
      </c>
      <c r="B1467" s="31" t="s">
        <v>11267</v>
      </c>
      <c r="C1467" s="437"/>
      <c r="D1467" s="8"/>
      <c r="E1467" s="8"/>
      <c r="F1467" s="8"/>
      <c r="G1467" s="8"/>
      <c r="H1467" s="8"/>
      <c r="I1467" s="8"/>
      <c r="J1467" s="8"/>
      <c r="K1467" s="8"/>
      <c r="L1467" s="8"/>
      <c r="M1467" s="8"/>
    </row>
    <row r="1468">
      <c r="A1468" s="31" t="s">
        <v>11268</v>
      </c>
      <c r="B1468" s="31" t="s">
        <v>11269</v>
      </c>
      <c r="C1468" s="437"/>
      <c r="D1468" s="8"/>
      <c r="E1468" s="8"/>
      <c r="F1468" s="8"/>
      <c r="G1468" s="8"/>
      <c r="H1468" s="8"/>
      <c r="I1468" s="8"/>
      <c r="J1468" s="8"/>
      <c r="K1468" s="8"/>
      <c r="L1468" s="8"/>
      <c r="M1468" s="8"/>
    </row>
    <row r="1469">
      <c r="A1469" s="31" t="s">
        <v>11270</v>
      </c>
      <c r="B1469" s="31" t="s">
        <v>3349</v>
      </c>
      <c r="C1469" s="437"/>
      <c r="D1469" s="8"/>
      <c r="E1469" s="8"/>
      <c r="F1469" s="8"/>
      <c r="G1469" s="8"/>
      <c r="H1469" s="8"/>
      <c r="I1469" s="8"/>
      <c r="J1469" s="8"/>
      <c r="K1469" s="8"/>
      <c r="L1469" s="8"/>
      <c r="M1469" s="8"/>
    </row>
    <row r="1470">
      <c r="A1470" s="31" t="s">
        <v>11271</v>
      </c>
      <c r="B1470" s="31" t="s">
        <v>11272</v>
      </c>
      <c r="C1470" s="437"/>
      <c r="D1470" s="8"/>
      <c r="E1470" s="8"/>
      <c r="F1470" s="8"/>
      <c r="G1470" s="8"/>
      <c r="H1470" s="8"/>
      <c r="I1470" s="8"/>
      <c r="J1470" s="8"/>
      <c r="K1470" s="8"/>
      <c r="L1470" s="8"/>
      <c r="M1470" s="8"/>
    </row>
    <row r="1471">
      <c r="A1471" s="31" t="s">
        <v>11273</v>
      </c>
      <c r="B1471" s="31" t="s">
        <v>11274</v>
      </c>
      <c r="C1471" s="437"/>
      <c r="D1471" s="8"/>
      <c r="E1471" s="8"/>
      <c r="F1471" s="8"/>
      <c r="G1471" s="8"/>
      <c r="H1471" s="8"/>
      <c r="I1471" s="8"/>
      <c r="J1471" s="8"/>
      <c r="K1471" s="8"/>
      <c r="L1471" s="8"/>
      <c r="M1471" s="8"/>
    </row>
    <row r="1472">
      <c r="A1472" s="31" t="s">
        <v>11275</v>
      </c>
      <c r="B1472" s="31" t="s">
        <v>11276</v>
      </c>
      <c r="C1472" s="437"/>
      <c r="D1472" s="8"/>
      <c r="E1472" s="8"/>
      <c r="F1472" s="8"/>
      <c r="G1472" s="8"/>
      <c r="H1472" s="8"/>
      <c r="I1472" s="8"/>
      <c r="J1472" s="8"/>
      <c r="K1472" s="8"/>
      <c r="L1472" s="8"/>
      <c r="M1472" s="8"/>
    </row>
    <row r="1473">
      <c r="A1473" s="31" t="s">
        <v>11277</v>
      </c>
      <c r="B1473" s="31" t="s">
        <v>11278</v>
      </c>
      <c r="C1473" s="438"/>
    </row>
    <row r="1474">
      <c r="A1474" s="31" t="s">
        <v>11279</v>
      </c>
      <c r="B1474" s="31" t="s">
        <v>11280</v>
      </c>
      <c r="C1474" s="438"/>
    </row>
    <row r="1475">
      <c r="A1475" s="31" t="s">
        <v>11281</v>
      </c>
      <c r="B1475" s="31" t="s">
        <v>11282</v>
      </c>
      <c r="C1475" s="438"/>
    </row>
    <row r="1476">
      <c r="A1476" s="31" t="s">
        <v>11283</v>
      </c>
      <c r="C1476" s="438"/>
    </row>
    <row r="1477">
      <c r="A1477" s="433" t="s">
        <v>11284</v>
      </c>
    </row>
    <row r="1478">
      <c r="A1478" s="340" t="s">
        <v>10615</v>
      </c>
      <c r="B1478" s="340" t="s">
        <v>9414</v>
      </c>
      <c r="C1478" s="340" t="s">
        <v>9363</v>
      </c>
    </row>
    <row r="1479">
      <c r="A1479" s="31" t="s">
        <v>11285</v>
      </c>
      <c r="B1479" s="31" t="s">
        <v>9416</v>
      </c>
      <c r="C1479" s="256" t="s">
        <v>9365</v>
      </c>
      <c r="D1479" s="256" t="s">
        <v>8952</v>
      </c>
      <c r="E1479" s="379" t="s">
        <v>4702</v>
      </c>
      <c r="F1479" s="256" t="s">
        <v>4703</v>
      </c>
      <c r="G1479" s="379" t="s">
        <v>4320</v>
      </c>
      <c r="H1479" s="379" t="s">
        <v>436</v>
      </c>
      <c r="I1479" s="379" t="s">
        <v>4704</v>
      </c>
      <c r="J1479" s="379" t="s">
        <v>135</v>
      </c>
      <c r="K1479" s="379" t="s">
        <v>128</v>
      </c>
    </row>
    <row r="1480">
      <c r="A1480" s="31" t="s">
        <v>11286</v>
      </c>
      <c r="B1480" s="31" t="s">
        <v>11197</v>
      </c>
      <c r="C1480" s="4" t="s">
        <v>9441</v>
      </c>
      <c r="D1480" s="4" t="s">
        <v>9102</v>
      </c>
      <c r="E1480" s="4" t="s">
        <v>9216</v>
      </c>
      <c r="F1480" s="4" t="s">
        <v>8354</v>
      </c>
      <c r="G1480" s="4" t="s">
        <v>103</v>
      </c>
      <c r="H1480" s="4" t="s">
        <v>10951</v>
      </c>
      <c r="I1480" s="4" t="s">
        <v>11287</v>
      </c>
      <c r="J1480" s="4" t="s">
        <v>11287</v>
      </c>
      <c r="K1480" s="4" t="s">
        <v>11287</v>
      </c>
    </row>
    <row r="1481">
      <c r="A1481" s="31" t="s">
        <v>2656</v>
      </c>
      <c r="B1481" s="31" t="s">
        <v>9975</v>
      </c>
      <c r="C1481" s="108" t="s">
        <v>9694</v>
      </c>
    </row>
    <row r="1482">
      <c r="A1482" s="31" t="s">
        <v>11288</v>
      </c>
      <c r="B1482" s="31" t="s">
        <v>11260</v>
      </c>
      <c r="C1482" s="438"/>
    </row>
    <row r="1483">
      <c r="A1483" s="31" t="s">
        <v>4972</v>
      </c>
      <c r="B1483" s="31" t="s">
        <v>10982</v>
      </c>
      <c r="C1483" s="438"/>
    </row>
    <row r="1484">
      <c r="A1484" s="31" t="s">
        <v>11289</v>
      </c>
      <c r="B1484" s="31" t="s">
        <v>11262</v>
      </c>
      <c r="C1484" s="438"/>
    </row>
    <row r="1485">
      <c r="A1485" s="31" t="s">
        <v>6366</v>
      </c>
      <c r="B1485" s="31" t="s">
        <v>11264</v>
      </c>
      <c r="C1485" s="438"/>
    </row>
    <row r="1486">
      <c r="A1486" s="31" t="s">
        <v>6377</v>
      </c>
      <c r="B1486" s="31" t="s">
        <v>11266</v>
      </c>
      <c r="C1486" s="438"/>
    </row>
    <row r="1487">
      <c r="A1487" s="31" t="s">
        <v>11290</v>
      </c>
      <c r="B1487" s="31" t="s">
        <v>11267</v>
      </c>
      <c r="C1487" s="438"/>
    </row>
    <row r="1488">
      <c r="A1488" s="31" t="s">
        <v>11291</v>
      </c>
      <c r="B1488" s="31" t="s">
        <v>11269</v>
      </c>
      <c r="C1488" s="438"/>
    </row>
    <row r="1489">
      <c r="A1489" s="31" t="s">
        <v>11292</v>
      </c>
      <c r="B1489" s="31" t="s">
        <v>3349</v>
      </c>
      <c r="C1489" s="439"/>
    </row>
    <row r="1490">
      <c r="A1490" s="31" t="s">
        <v>11293</v>
      </c>
      <c r="B1490" s="31" t="s">
        <v>11272</v>
      </c>
      <c r="C1490" s="439"/>
    </row>
    <row r="1491">
      <c r="A1491" s="31" t="s">
        <v>11294</v>
      </c>
      <c r="B1491" s="31" t="s">
        <v>11274</v>
      </c>
      <c r="C1491" s="438"/>
    </row>
    <row r="1492">
      <c r="A1492" s="31" t="s">
        <v>11295</v>
      </c>
      <c r="B1492" s="31" t="s">
        <v>11276</v>
      </c>
    </row>
    <row r="1493">
      <c r="A1493" s="31" t="s">
        <v>11296</v>
      </c>
      <c r="B1493" s="31" t="s">
        <v>11278</v>
      </c>
    </row>
    <row r="1494">
      <c r="A1494" s="31" t="s">
        <v>11297</v>
      </c>
      <c r="B1494" s="31" t="s">
        <v>11280</v>
      </c>
    </row>
    <row r="1495">
      <c r="A1495" s="31" t="s">
        <v>11298</v>
      </c>
      <c r="B1495" s="31" t="s">
        <v>11282</v>
      </c>
    </row>
    <row r="1496">
      <c r="A1496" s="31" t="s">
        <v>11299</v>
      </c>
    </row>
    <row r="1497">
      <c r="A1497" s="433" t="s">
        <v>11300</v>
      </c>
    </row>
    <row r="1498">
      <c r="A1498" s="340" t="s">
        <v>9801</v>
      </c>
      <c r="B1498" s="340" t="s">
        <v>10580</v>
      </c>
      <c r="C1498" s="340" t="s">
        <v>9363</v>
      </c>
    </row>
    <row r="1499">
      <c r="A1499" s="31" t="s">
        <v>11301</v>
      </c>
      <c r="B1499" s="31" t="s">
        <v>11256</v>
      </c>
      <c r="C1499" s="256" t="s">
        <v>9365</v>
      </c>
      <c r="D1499" s="256" t="s">
        <v>8952</v>
      </c>
      <c r="E1499" s="379" t="s">
        <v>4702</v>
      </c>
      <c r="F1499" s="256" t="s">
        <v>4703</v>
      </c>
      <c r="G1499" s="379" t="s">
        <v>4320</v>
      </c>
      <c r="H1499" s="379" t="s">
        <v>436</v>
      </c>
      <c r="I1499" s="379" t="s">
        <v>4704</v>
      </c>
      <c r="J1499" s="379" t="s">
        <v>135</v>
      </c>
      <c r="K1499" s="379" t="s">
        <v>128</v>
      </c>
    </row>
    <row r="1500">
      <c r="A1500" s="31" t="s">
        <v>11302</v>
      </c>
      <c r="B1500" s="31" t="s">
        <v>11257</v>
      </c>
      <c r="C1500" s="4" t="s">
        <v>9441</v>
      </c>
      <c r="D1500" s="4" t="s">
        <v>9102</v>
      </c>
      <c r="E1500" s="4" t="s">
        <v>9216</v>
      </c>
      <c r="F1500" s="4" t="s">
        <v>8369</v>
      </c>
      <c r="G1500" s="4" t="s">
        <v>12</v>
      </c>
      <c r="H1500" s="4" t="s">
        <v>11303</v>
      </c>
      <c r="I1500" s="4" t="s">
        <v>11304</v>
      </c>
      <c r="J1500" s="4" t="s">
        <v>11304</v>
      </c>
      <c r="K1500" s="4" t="s">
        <v>8321</v>
      </c>
    </row>
    <row r="1501">
      <c r="A1501" s="31" t="s">
        <v>11305</v>
      </c>
      <c r="B1501" s="31" t="s">
        <v>6328</v>
      </c>
      <c r="C1501" s="108" t="s">
        <v>11259</v>
      </c>
    </row>
    <row r="1502">
      <c r="A1502" s="31" t="s">
        <v>5929</v>
      </c>
      <c r="B1502" s="31" t="s">
        <v>5205</v>
      </c>
    </row>
    <row r="1503">
      <c r="A1503" s="31" t="s">
        <v>11306</v>
      </c>
      <c r="B1503" s="31" t="s">
        <v>3035</v>
      </c>
    </row>
    <row r="1504">
      <c r="A1504" s="31" t="s">
        <v>11307</v>
      </c>
      <c r="B1504" s="31" t="s">
        <v>11261</v>
      </c>
    </row>
    <row r="1505">
      <c r="A1505" s="31" t="s">
        <v>11308</v>
      </c>
      <c r="B1505" s="31" t="s">
        <v>11263</v>
      </c>
    </row>
    <row r="1506">
      <c r="A1506" s="31" t="s">
        <v>11309</v>
      </c>
      <c r="B1506" s="31" t="s">
        <v>11265</v>
      </c>
    </row>
    <row r="1507">
      <c r="A1507" s="31" t="s">
        <v>11310</v>
      </c>
      <c r="B1507" s="31" t="s">
        <v>8174</v>
      </c>
    </row>
    <row r="1508">
      <c r="A1508" s="31" t="s">
        <v>9819</v>
      </c>
      <c r="B1508" s="31" t="s">
        <v>11268</v>
      </c>
    </row>
    <row r="1509">
      <c r="A1509" s="31" t="s">
        <v>11311</v>
      </c>
      <c r="B1509" s="31" t="s">
        <v>11270</v>
      </c>
    </row>
    <row r="1510">
      <c r="A1510" s="31" t="s">
        <v>11312</v>
      </c>
      <c r="B1510" s="31" t="s">
        <v>11271</v>
      </c>
    </row>
    <row r="1511">
      <c r="A1511" s="31" t="s">
        <v>4532</v>
      </c>
      <c r="B1511" s="31" t="s">
        <v>11273</v>
      </c>
    </row>
    <row r="1512">
      <c r="A1512" s="31" t="s">
        <v>5629</v>
      </c>
      <c r="B1512" s="31" t="s">
        <v>11275</v>
      </c>
    </row>
    <row r="1513">
      <c r="A1513" s="31" t="s">
        <v>11313</v>
      </c>
      <c r="B1513" s="31" t="s">
        <v>11277</v>
      </c>
    </row>
    <row r="1514">
      <c r="A1514" s="31" t="s">
        <v>11314</v>
      </c>
      <c r="B1514" s="31" t="s">
        <v>11279</v>
      </c>
    </row>
    <row r="1515">
      <c r="A1515" s="31" t="s">
        <v>11315</v>
      </c>
      <c r="B1515" s="31" t="s">
        <v>11281</v>
      </c>
    </row>
    <row r="1516">
      <c r="A1516" s="31" t="s">
        <v>11316</v>
      </c>
      <c r="B1516" s="31" t="s">
        <v>11317</v>
      </c>
    </row>
    <row r="1517">
      <c r="A1517" s="433" t="s">
        <v>11318</v>
      </c>
    </row>
    <row r="1518">
      <c r="A1518" s="340" t="s">
        <v>10581</v>
      </c>
      <c r="B1518" s="340" t="s">
        <v>11091</v>
      </c>
      <c r="C1518" s="340" t="s">
        <v>9363</v>
      </c>
    </row>
    <row r="1519">
      <c r="A1519" s="31" t="s">
        <v>11319</v>
      </c>
      <c r="B1519" s="31" t="s">
        <v>11246</v>
      </c>
      <c r="C1519" s="256" t="s">
        <v>9365</v>
      </c>
      <c r="D1519" s="256" t="s">
        <v>8952</v>
      </c>
      <c r="E1519" s="379" t="s">
        <v>4702</v>
      </c>
      <c r="F1519" s="256" t="s">
        <v>4703</v>
      </c>
      <c r="G1519" s="379" t="s">
        <v>4320</v>
      </c>
      <c r="H1519" s="379" t="s">
        <v>436</v>
      </c>
      <c r="I1519" s="379" t="s">
        <v>4704</v>
      </c>
      <c r="J1519" s="379" t="s">
        <v>135</v>
      </c>
      <c r="K1519" s="379" t="s">
        <v>128</v>
      </c>
    </row>
    <row r="1520">
      <c r="A1520" s="31" t="s">
        <v>11320</v>
      </c>
      <c r="B1520" s="31" t="s">
        <v>11248</v>
      </c>
      <c r="C1520" s="4" t="s">
        <v>9441</v>
      </c>
      <c r="D1520" s="4" t="s">
        <v>9102</v>
      </c>
      <c r="E1520" s="4" t="s">
        <v>9216</v>
      </c>
      <c r="F1520" s="4" t="s">
        <v>5452</v>
      </c>
      <c r="G1520" s="4" t="s">
        <v>13</v>
      </c>
      <c r="H1520" s="4" t="s">
        <v>11051</v>
      </c>
      <c r="I1520" s="4" t="s">
        <v>7856</v>
      </c>
      <c r="J1520" s="4" t="s">
        <v>11321</v>
      </c>
      <c r="K1520" s="4" t="s">
        <v>7856</v>
      </c>
    </row>
    <row r="1521">
      <c r="A1521" s="31" t="s">
        <v>5549</v>
      </c>
      <c r="B1521" s="31" t="s">
        <v>11097</v>
      </c>
      <c r="C1521" s="108" t="s">
        <v>10586</v>
      </c>
    </row>
    <row r="1522">
      <c r="A1522" s="31" t="s">
        <v>8126</v>
      </c>
      <c r="B1522" s="31" t="s">
        <v>1996</v>
      </c>
    </row>
    <row r="1523">
      <c r="A1523" s="31" t="s">
        <v>11322</v>
      </c>
      <c r="B1523" s="31" t="s">
        <v>8135</v>
      </c>
    </row>
    <row r="1524">
      <c r="A1524" s="31" t="s">
        <v>11323</v>
      </c>
      <c r="B1524" s="31" t="s">
        <v>11099</v>
      </c>
    </row>
    <row r="1525">
      <c r="A1525" s="31" t="s">
        <v>5224</v>
      </c>
      <c r="B1525" s="31" t="s">
        <v>5956</v>
      </c>
    </row>
    <row r="1526">
      <c r="A1526" s="31" t="s">
        <v>11324</v>
      </c>
      <c r="B1526" s="31" t="s">
        <v>11100</v>
      </c>
    </row>
    <row r="1527">
      <c r="A1527" s="31" t="s">
        <v>11325</v>
      </c>
      <c r="B1527" s="31" t="s">
        <v>11252</v>
      </c>
    </row>
    <row r="1528">
      <c r="A1528" s="31" t="s">
        <v>11326</v>
      </c>
      <c r="B1528" s="31" t="s">
        <v>11327</v>
      </c>
    </row>
    <row r="1529">
      <c r="A1529" s="31" t="s">
        <v>11328</v>
      </c>
      <c r="B1529" s="31" t="s">
        <v>11103</v>
      </c>
    </row>
    <row r="1530">
      <c r="A1530" s="31" t="s">
        <v>11329</v>
      </c>
      <c r="B1530" s="31" t="s">
        <v>11105</v>
      </c>
    </row>
    <row r="1531">
      <c r="A1531" s="31" t="s">
        <v>11330</v>
      </c>
      <c r="B1531" s="31" t="s">
        <v>11253</v>
      </c>
    </row>
    <row r="1532">
      <c r="A1532" s="31" t="s">
        <v>11331</v>
      </c>
      <c r="B1532" s="31" t="s">
        <v>11254</v>
      </c>
    </row>
    <row r="1533">
      <c r="A1533" s="31" t="s">
        <v>11332</v>
      </c>
      <c r="B1533" s="31" t="s">
        <v>6009</v>
      </c>
    </row>
    <row r="1534">
      <c r="A1534" s="31" t="s">
        <v>11333</v>
      </c>
      <c r="B1534" s="31" t="s">
        <v>8252</v>
      </c>
    </row>
    <row r="1535">
      <c r="A1535" s="31" t="s">
        <v>11334</v>
      </c>
      <c r="B1535" s="31" t="s">
        <v>8264</v>
      </c>
    </row>
    <row r="1536">
      <c r="A1536" s="31" t="s">
        <v>11335</v>
      </c>
      <c r="B1536" s="31" t="s">
        <v>11336</v>
      </c>
    </row>
    <row r="1537">
      <c r="A1537" s="433" t="s">
        <v>11337</v>
      </c>
    </row>
    <row r="1538">
      <c r="A1538" s="340" t="s">
        <v>9802</v>
      </c>
      <c r="B1538" s="340" t="s">
        <v>9887</v>
      </c>
      <c r="C1538" s="340" t="s">
        <v>9363</v>
      </c>
    </row>
    <row r="1539">
      <c r="A1539" s="31" t="s">
        <v>11240</v>
      </c>
      <c r="B1539" s="31" t="s">
        <v>11220</v>
      </c>
      <c r="C1539" s="256" t="s">
        <v>9365</v>
      </c>
      <c r="D1539" s="256" t="s">
        <v>8952</v>
      </c>
      <c r="E1539" s="379" t="s">
        <v>4702</v>
      </c>
      <c r="F1539" s="256" t="s">
        <v>4703</v>
      </c>
      <c r="G1539" s="379" t="s">
        <v>4320</v>
      </c>
      <c r="H1539" s="379" t="s">
        <v>436</v>
      </c>
      <c r="I1539" s="379" t="s">
        <v>4704</v>
      </c>
      <c r="J1539" s="379" t="s">
        <v>135</v>
      </c>
      <c r="K1539" s="379" t="s">
        <v>128</v>
      </c>
    </row>
    <row r="1540">
      <c r="A1540" s="31" t="s">
        <v>11242</v>
      </c>
      <c r="B1540" s="31" t="s">
        <v>11222</v>
      </c>
      <c r="C1540" s="4" t="s">
        <v>9441</v>
      </c>
      <c r="D1540" s="4" t="s">
        <v>9102</v>
      </c>
      <c r="E1540" s="4" t="s">
        <v>9216</v>
      </c>
      <c r="F1540" s="4" t="s">
        <v>5439</v>
      </c>
      <c r="G1540" s="4" t="s">
        <v>4</v>
      </c>
      <c r="H1540" s="4" t="s">
        <v>11338</v>
      </c>
      <c r="I1540" s="4" t="s">
        <v>7903</v>
      </c>
      <c r="J1540" s="4" t="s">
        <v>7921</v>
      </c>
      <c r="K1540" s="4" t="s">
        <v>7804</v>
      </c>
    </row>
    <row r="1541">
      <c r="A1541" s="31" t="s">
        <v>961</v>
      </c>
      <c r="B1541" s="31" t="s">
        <v>1692</v>
      </c>
      <c r="C1541" s="108" t="s">
        <v>10980</v>
      </c>
    </row>
    <row r="1542">
      <c r="A1542" s="31" t="s">
        <v>636</v>
      </c>
      <c r="B1542" s="31" t="s">
        <v>5556</v>
      </c>
    </row>
    <row r="1543">
      <c r="A1543" s="31" t="s">
        <v>11339</v>
      </c>
      <c r="B1543" s="31" t="s">
        <v>5212</v>
      </c>
    </row>
    <row r="1544">
      <c r="A1544" s="31" t="s">
        <v>11340</v>
      </c>
      <c r="B1544" s="31" t="s">
        <v>11225</v>
      </c>
    </row>
    <row r="1545">
      <c r="A1545" s="31" t="s">
        <v>11029</v>
      </c>
      <c r="B1545" s="31" t="s">
        <v>5581</v>
      </c>
    </row>
    <row r="1546">
      <c r="A1546" s="31" t="s">
        <v>10511</v>
      </c>
      <c r="B1546" s="31" t="s">
        <v>11227</v>
      </c>
    </row>
    <row r="1547">
      <c r="A1547" s="31" t="s">
        <v>11032</v>
      </c>
      <c r="B1547" s="31" t="s">
        <v>11228</v>
      </c>
    </row>
    <row r="1548">
      <c r="A1548" s="31" t="s">
        <v>11034</v>
      </c>
      <c r="B1548" s="31" t="s">
        <v>5975</v>
      </c>
    </row>
    <row r="1549">
      <c r="A1549" s="31" t="s">
        <v>10991</v>
      </c>
      <c r="B1549" s="31" t="s">
        <v>11229</v>
      </c>
    </row>
    <row r="1550">
      <c r="A1550" s="31" t="s">
        <v>9823</v>
      </c>
      <c r="B1550" s="31" t="s">
        <v>11230</v>
      </c>
    </row>
    <row r="1551">
      <c r="A1551" s="31" t="s">
        <v>11037</v>
      </c>
      <c r="B1551" s="31" t="s">
        <v>9965</v>
      </c>
    </row>
    <row r="1552">
      <c r="A1552" s="31" t="s">
        <v>11039</v>
      </c>
      <c r="B1552" s="31" t="s">
        <v>11341</v>
      </c>
    </row>
    <row r="1553">
      <c r="A1553" s="31" t="s">
        <v>11041</v>
      </c>
      <c r="B1553" s="31" t="s">
        <v>11342</v>
      </c>
    </row>
    <row r="1554">
      <c r="A1554" s="31" t="s">
        <v>11042</v>
      </c>
      <c r="B1554" s="31" t="s">
        <v>11343</v>
      </c>
    </row>
    <row r="1555">
      <c r="A1555" s="31" t="s">
        <v>11178</v>
      </c>
      <c r="B1555" s="31" t="s">
        <v>11344</v>
      </c>
    </row>
    <row r="1556">
      <c r="B1556" s="31" t="s">
        <v>11345</v>
      </c>
    </row>
    <row r="1557">
      <c r="A1557" s="433" t="s">
        <v>11346</v>
      </c>
    </row>
    <row r="1558">
      <c r="A1558" s="340" t="s">
        <v>9361</v>
      </c>
      <c r="B1558" s="340" t="s">
        <v>9929</v>
      </c>
      <c r="C1558" s="340" t="s">
        <v>9363</v>
      </c>
    </row>
    <row r="1559">
      <c r="A1559" s="31" t="s">
        <v>11239</v>
      </c>
      <c r="B1559" s="31" t="s">
        <v>11219</v>
      </c>
      <c r="C1559" s="256" t="s">
        <v>9365</v>
      </c>
      <c r="D1559" s="256" t="s">
        <v>8952</v>
      </c>
      <c r="E1559" s="379" t="s">
        <v>4702</v>
      </c>
      <c r="F1559" s="256" t="s">
        <v>4703</v>
      </c>
      <c r="G1559" s="379" t="s">
        <v>4320</v>
      </c>
      <c r="H1559" s="379" t="s">
        <v>436</v>
      </c>
      <c r="I1559" s="379" t="s">
        <v>4704</v>
      </c>
      <c r="J1559" s="379" t="s">
        <v>135</v>
      </c>
      <c r="K1559" s="379" t="s">
        <v>128</v>
      </c>
    </row>
    <row r="1560">
      <c r="A1560" s="31" t="s">
        <v>11241</v>
      </c>
      <c r="B1560" s="31" t="s">
        <v>11221</v>
      </c>
      <c r="C1560" s="4" t="s">
        <v>9441</v>
      </c>
      <c r="D1560" s="4" t="s">
        <v>9102</v>
      </c>
      <c r="E1560" s="4" t="s">
        <v>9216</v>
      </c>
      <c r="F1560" s="4" t="s">
        <v>5461</v>
      </c>
      <c r="G1560" s="4" t="s">
        <v>6</v>
      </c>
      <c r="H1560" s="4" t="s">
        <v>11347</v>
      </c>
      <c r="I1560" s="4" t="s">
        <v>11095</v>
      </c>
      <c r="J1560" s="4" t="s">
        <v>11095</v>
      </c>
      <c r="K1560" s="4" t="s">
        <v>10814</v>
      </c>
    </row>
    <row r="1561">
      <c r="A1561" s="31" t="s">
        <v>11053</v>
      </c>
      <c r="B1561" s="31" t="s">
        <v>1166</v>
      </c>
      <c r="C1561" s="108" t="s">
        <v>10851</v>
      </c>
    </row>
    <row r="1562">
      <c r="A1562" s="31" t="s">
        <v>9370</v>
      </c>
      <c r="B1562" s="31" t="s">
        <v>1504</v>
      </c>
    </row>
    <row r="1563">
      <c r="A1563" s="31" t="s">
        <v>11056</v>
      </c>
      <c r="B1563" s="31" t="s">
        <v>10853</v>
      </c>
    </row>
    <row r="1564">
      <c r="A1564" s="31" t="s">
        <v>7258</v>
      </c>
      <c r="B1564" s="31" t="s">
        <v>10621</v>
      </c>
    </row>
    <row r="1565">
      <c r="A1565" s="31" t="s">
        <v>10841</v>
      </c>
      <c r="B1565" s="31" t="s">
        <v>11226</v>
      </c>
    </row>
    <row r="1566">
      <c r="A1566" s="31" t="s">
        <v>9741</v>
      </c>
      <c r="B1566" s="31" t="s">
        <v>10858</v>
      </c>
    </row>
    <row r="1567">
      <c r="A1567" s="31" t="s">
        <v>11061</v>
      </c>
      <c r="B1567" s="31" t="s">
        <v>4867</v>
      </c>
    </row>
    <row r="1568">
      <c r="A1568" s="31" t="s">
        <v>5291</v>
      </c>
      <c r="B1568" s="31" t="s">
        <v>11102</v>
      </c>
    </row>
    <row r="1569">
      <c r="A1569" s="31" t="s">
        <v>11063</v>
      </c>
      <c r="B1569" s="31" t="s">
        <v>11104</v>
      </c>
    </row>
    <row r="1570">
      <c r="A1570" s="31" t="s">
        <v>11065</v>
      </c>
      <c r="B1570" s="31" t="s">
        <v>11106</v>
      </c>
    </row>
    <row r="1571">
      <c r="A1571" s="31" t="s">
        <v>11348</v>
      </c>
      <c r="B1571" s="31" t="s">
        <v>11108</v>
      </c>
    </row>
    <row r="1572">
      <c r="A1572" s="31" t="s">
        <v>4540</v>
      </c>
      <c r="B1572" s="31" t="s">
        <v>5632</v>
      </c>
    </row>
    <row r="1573">
      <c r="A1573" s="31" t="s">
        <v>11349</v>
      </c>
      <c r="B1573" s="31" t="s">
        <v>11110</v>
      </c>
    </row>
    <row r="1574">
      <c r="A1574" s="31" t="s">
        <v>11350</v>
      </c>
      <c r="B1574" s="31" t="s">
        <v>10869</v>
      </c>
    </row>
    <row r="1575">
      <c r="A1575" s="31" t="s">
        <v>11351</v>
      </c>
      <c r="B1575" s="31" t="s">
        <v>11111</v>
      </c>
    </row>
    <row r="1576">
      <c r="A1576" s="31" t="s">
        <v>8281</v>
      </c>
      <c r="B1576" s="31" t="s">
        <v>11233</v>
      </c>
    </row>
    <row r="1577">
      <c r="A1577" s="433" t="s">
        <v>11352</v>
      </c>
    </row>
    <row r="1578">
      <c r="A1578" s="340" t="s">
        <v>9770</v>
      </c>
      <c r="B1578" s="340" t="s">
        <v>9530</v>
      </c>
      <c r="C1578" s="340" t="s">
        <v>9363</v>
      </c>
    </row>
    <row r="1579">
      <c r="A1579" s="31" t="s">
        <v>11236</v>
      </c>
      <c r="B1579" s="31" t="s">
        <v>11196</v>
      </c>
      <c r="C1579" s="256" t="s">
        <v>9365</v>
      </c>
      <c r="D1579" s="256" t="s">
        <v>8952</v>
      </c>
      <c r="E1579" s="379" t="s">
        <v>4702</v>
      </c>
      <c r="F1579" s="256" t="s">
        <v>4703</v>
      </c>
      <c r="G1579" s="379" t="s">
        <v>4320</v>
      </c>
      <c r="H1579" s="379" t="s">
        <v>436</v>
      </c>
      <c r="I1579" s="379" t="s">
        <v>4704</v>
      </c>
      <c r="J1579" s="379" t="s">
        <v>135</v>
      </c>
      <c r="K1579" s="379" t="s">
        <v>128</v>
      </c>
    </row>
    <row r="1580">
      <c r="A1580" s="31" t="s">
        <v>11237</v>
      </c>
      <c r="B1580" s="31" t="s">
        <v>9539</v>
      </c>
      <c r="C1580" s="4" t="s">
        <v>9441</v>
      </c>
      <c r="D1580" s="4" t="s">
        <v>9102</v>
      </c>
      <c r="E1580" s="4" t="s">
        <v>9216</v>
      </c>
      <c r="F1580" s="4" t="s">
        <v>5432</v>
      </c>
      <c r="G1580" s="4" t="s">
        <v>18</v>
      </c>
      <c r="H1580" s="4" t="s">
        <v>144</v>
      </c>
      <c r="I1580" s="4" t="s">
        <v>9544</v>
      </c>
      <c r="J1580" s="4" t="s">
        <v>9544</v>
      </c>
      <c r="K1580" s="4" t="s">
        <v>9544</v>
      </c>
    </row>
    <row r="1581">
      <c r="A1581" s="31" t="s">
        <v>3795</v>
      </c>
      <c r="B1581" s="31" t="s">
        <v>4258</v>
      </c>
      <c r="C1581" s="108" t="s">
        <v>10319</v>
      </c>
    </row>
    <row r="1582">
      <c r="A1582" s="31" t="s">
        <v>10852</v>
      </c>
      <c r="B1582" s="31" t="s">
        <v>11200</v>
      </c>
    </row>
    <row r="1583">
      <c r="A1583" s="31" t="s">
        <v>10854</v>
      </c>
      <c r="B1583" s="31" t="s">
        <v>11008</v>
      </c>
    </row>
    <row r="1584">
      <c r="A1584" s="31" t="s">
        <v>10964</v>
      </c>
      <c r="B1584" s="31" t="s">
        <v>11202</v>
      </c>
    </row>
    <row r="1585">
      <c r="A1585" s="31" t="s">
        <v>10857</v>
      </c>
      <c r="B1585" s="31" t="s">
        <v>11204</v>
      </c>
    </row>
    <row r="1586">
      <c r="A1586" s="31" t="s">
        <v>10859</v>
      </c>
      <c r="B1586" s="31" t="s">
        <v>11206</v>
      </c>
    </row>
    <row r="1587">
      <c r="A1587" s="31" t="s">
        <v>10861</v>
      </c>
      <c r="B1587" s="31" t="s">
        <v>11353</v>
      </c>
    </row>
    <row r="1588">
      <c r="A1588" s="31" t="s">
        <v>10862</v>
      </c>
      <c r="B1588" s="31" t="s">
        <v>11354</v>
      </c>
    </row>
    <row r="1589">
      <c r="A1589" s="31" t="s">
        <v>6407</v>
      </c>
      <c r="B1589" s="31" t="s">
        <v>11355</v>
      </c>
    </row>
    <row r="1590">
      <c r="A1590" s="31" t="s">
        <v>8207</v>
      </c>
      <c r="B1590" s="31" t="s">
        <v>11356</v>
      </c>
    </row>
    <row r="1591">
      <c r="A1591" s="31" t="s">
        <v>10865</v>
      </c>
      <c r="B1591" s="31" t="s">
        <v>11357</v>
      </c>
    </row>
    <row r="1592">
      <c r="A1592" s="31" t="s">
        <v>10866</v>
      </c>
      <c r="B1592" s="31" t="s">
        <v>8000</v>
      </c>
    </row>
    <row r="1593">
      <c r="A1593" s="31" t="s">
        <v>10868</v>
      </c>
      <c r="B1593" s="31" t="s">
        <v>11358</v>
      </c>
    </row>
    <row r="1594">
      <c r="A1594" s="31" t="s">
        <v>3234</v>
      </c>
    </row>
    <row r="1595">
      <c r="A1595" s="31" t="s">
        <v>8266</v>
      </c>
    </row>
    <row r="1596">
      <c r="A1596" s="31" t="s">
        <v>8280</v>
      </c>
    </row>
    <row r="1597">
      <c r="A1597" s="433" t="s">
        <v>11359</v>
      </c>
    </row>
    <row r="1598">
      <c r="A1598" s="340" t="s">
        <v>9414</v>
      </c>
      <c r="B1598" s="340" t="s">
        <v>9532</v>
      </c>
      <c r="C1598" s="340" t="s">
        <v>9363</v>
      </c>
    </row>
    <row r="1599">
      <c r="A1599" s="31" t="s">
        <v>9416</v>
      </c>
      <c r="B1599" s="31" t="s">
        <v>10756</v>
      </c>
      <c r="C1599" s="256" t="s">
        <v>9365</v>
      </c>
      <c r="D1599" s="256" t="s">
        <v>8952</v>
      </c>
      <c r="E1599" s="379" t="s">
        <v>4702</v>
      </c>
      <c r="F1599" s="256" t="s">
        <v>4703</v>
      </c>
      <c r="G1599" s="379" t="s">
        <v>4320</v>
      </c>
      <c r="H1599" s="379" t="s">
        <v>436</v>
      </c>
      <c r="I1599" s="379" t="s">
        <v>4704</v>
      </c>
      <c r="J1599" s="379" t="s">
        <v>135</v>
      </c>
      <c r="K1599" s="379" t="s">
        <v>128</v>
      </c>
    </row>
    <row r="1600">
      <c r="A1600" s="31" t="s">
        <v>11197</v>
      </c>
      <c r="B1600" s="31" t="s">
        <v>11360</v>
      </c>
      <c r="C1600" s="4" t="s">
        <v>9441</v>
      </c>
      <c r="D1600" s="4" t="s">
        <v>9226</v>
      </c>
      <c r="E1600" s="4" t="s">
        <v>11361</v>
      </c>
      <c r="F1600" s="4" t="s">
        <v>1871</v>
      </c>
      <c r="G1600" s="4" t="s">
        <v>103</v>
      </c>
      <c r="H1600" s="4" t="s">
        <v>10951</v>
      </c>
      <c r="I1600" s="4" t="s">
        <v>11198</v>
      </c>
      <c r="J1600" s="4" t="s">
        <v>11116</v>
      </c>
      <c r="K1600" s="4" t="s">
        <v>11198</v>
      </c>
    </row>
    <row r="1601">
      <c r="A1601" s="31" t="s">
        <v>9975</v>
      </c>
      <c r="B1601" s="31" t="s">
        <v>3087</v>
      </c>
      <c r="C1601" s="4" t="s">
        <v>9466</v>
      </c>
      <c r="D1601" s="4" t="s">
        <v>9226</v>
      </c>
      <c r="E1601" s="4" t="s">
        <v>9228</v>
      </c>
      <c r="F1601" s="4" t="s">
        <v>1871</v>
      </c>
      <c r="G1601" s="4" t="s">
        <v>105</v>
      </c>
      <c r="H1601" s="4" t="s">
        <v>10951</v>
      </c>
      <c r="I1601" s="4" t="s">
        <v>11362</v>
      </c>
      <c r="J1601" s="4" t="s">
        <v>11362</v>
      </c>
      <c r="K1601" s="4" t="s">
        <v>8055</v>
      </c>
    </row>
    <row r="1602">
      <c r="A1602" s="31" t="s">
        <v>11260</v>
      </c>
      <c r="B1602" s="31" t="s">
        <v>11363</v>
      </c>
      <c r="C1602" s="4" t="s">
        <v>9472</v>
      </c>
      <c r="D1602" s="4" t="s">
        <v>9226</v>
      </c>
      <c r="E1602" s="4" t="s">
        <v>11364</v>
      </c>
      <c r="F1602" s="4" t="s">
        <v>1871</v>
      </c>
      <c r="G1602" s="4" t="s">
        <v>103</v>
      </c>
      <c r="H1602" s="4" t="s">
        <v>10951</v>
      </c>
      <c r="I1602" s="4" t="s">
        <v>11198</v>
      </c>
      <c r="J1602" s="4" t="s">
        <v>8071</v>
      </c>
      <c r="K1602" s="4" t="s">
        <v>8055</v>
      </c>
    </row>
    <row r="1603">
      <c r="A1603" s="31" t="s">
        <v>11365</v>
      </c>
      <c r="B1603" s="31" t="s">
        <v>10767</v>
      </c>
      <c r="C1603" s="108" t="s">
        <v>9694</v>
      </c>
    </row>
    <row r="1604">
      <c r="A1604" s="31" t="s">
        <v>11262</v>
      </c>
      <c r="B1604" s="31" t="s">
        <v>10556</v>
      </c>
      <c r="C1604" s="8"/>
      <c r="D1604" s="8"/>
      <c r="E1604" s="8"/>
      <c r="F1604" s="8"/>
      <c r="G1604" s="8"/>
      <c r="H1604" s="8"/>
      <c r="I1604" s="8"/>
      <c r="J1604" s="8"/>
      <c r="K1604" s="8"/>
    </row>
    <row r="1605">
      <c r="A1605" s="31" t="s">
        <v>11264</v>
      </c>
      <c r="B1605" s="31" t="s">
        <v>9584</v>
      </c>
      <c r="C1605" s="8"/>
      <c r="D1605" s="8"/>
      <c r="E1605" s="8"/>
      <c r="F1605" s="8"/>
      <c r="G1605" s="8"/>
      <c r="H1605" s="8"/>
      <c r="I1605" s="8"/>
      <c r="J1605" s="8"/>
      <c r="K1605" s="8"/>
    </row>
    <row r="1606">
      <c r="A1606" s="31" t="s">
        <v>11266</v>
      </c>
      <c r="B1606" s="31" t="s">
        <v>3890</v>
      </c>
      <c r="C1606" s="8"/>
      <c r="D1606" s="8"/>
      <c r="E1606" s="8"/>
      <c r="F1606" s="8"/>
      <c r="G1606" s="8"/>
      <c r="H1606" s="8"/>
      <c r="I1606" s="8"/>
      <c r="J1606" s="8"/>
      <c r="K1606" s="8"/>
    </row>
    <row r="1607">
      <c r="A1607" s="31" t="s">
        <v>11267</v>
      </c>
      <c r="B1607" s="31" t="s">
        <v>11366</v>
      </c>
      <c r="C1607" s="8"/>
      <c r="D1607" s="8"/>
      <c r="E1607" s="8"/>
      <c r="F1607" s="8"/>
      <c r="G1607" s="8"/>
      <c r="H1607" s="8"/>
      <c r="I1607" s="8"/>
      <c r="J1607" s="8"/>
      <c r="K1607" s="8"/>
    </row>
    <row r="1608">
      <c r="A1608" s="31" t="s">
        <v>11269</v>
      </c>
      <c r="B1608" s="31" t="s">
        <v>11367</v>
      </c>
      <c r="C1608" s="8"/>
      <c r="D1608" s="8"/>
      <c r="E1608" s="8"/>
      <c r="F1608" s="8"/>
      <c r="G1608" s="8"/>
      <c r="H1608" s="8"/>
      <c r="I1608" s="8"/>
      <c r="J1608" s="8"/>
      <c r="K1608" s="8"/>
    </row>
    <row r="1609">
      <c r="A1609" s="31" t="s">
        <v>3349</v>
      </c>
      <c r="B1609" s="31" t="s">
        <v>3900</v>
      </c>
      <c r="C1609" s="8"/>
      <c r="D1609" s="8"/>
      <c r="E1609" s="8"/>
      <c r="F1609" s="8"/>
      <c r="G1609" s="8"/>
      <c r="H1609" s="8"/>
      <c r="I1609" s="8"/>
      <c r="J1609" s="8"/>
      <c r="K1609" s="8"/>
    </row>
    <row r="1610">
      <c r="A1610" s="31" t="s">
        <v>11272</v>
      </c>
      <c r="B1610" s="31" t="s">
        <v>11368</v>
      </c>
      <c r="C1610" s="8"/>
      <c r="D1610" s="8"/>
      <c r="E1610" s="8"/>
      <c r="F1610" s="8"/>
      <c r="G1610" s="8"/>
      <c r="H1610" s="8"/>
      <c r="I1610" s="8"/>
      <c r="J1610" s="8"/>
      <c r="K1610" s="8"/>
    </row>
    <row r="1611">
      <c r="A1611" s="31" t="s">
        <v>11274</v>
      </c>
      <c r="B1611" s="31" t="s">
        <v>11128</v>
      </c>
      <c r="C1611" s="8"/>
      <c r="D1611" s="8"/>
      <c r="E1611" s="8"/>
      <c r="F1611" s="8"/>
      <c r="G1611" s="8"/>
      <c r="H1611" s="8"/>
      <c r="I1611" s="8"/>
      <c r="J1611" s="8"/>
      <c r="K1611" s="8"/>
    </row>
    <row r="1612">
      <c r="A1612" s="31" t="s">
        <v>11276</v>
      </c>
      <c r="B1612" s="31" t="s">
        <v>11369</v>
      </c>
      <c r="C1612" s="8"/>
      <c r="D1612" s="8"/>
      <c r="E1612" s="8"/>
      <c r="F1612" s="8"/>
      <c r="G1612" s="8"/>
      <c r="H1612" s="8"/>
      <c r="I1612" s="8"/>
      <c r="J1612" s="8"/>
      <c r="K1612" s="8"/>
    </row>
    <row r="1613">
      <c r="A1613" s="31" t="s">
        <v>11278</v>
      </c>
      <c r="B1613" s="31" t="s">
        <v>11132</v>
      </c>
      <c r="C1613" s="8"/>
      <c r="D1613" s="8"/>
      <c r="E1613" s="8"/>
      <c r="F1613" s="8"/>
      <c r="G1613" s="8"/>
      <c r="H1613" s="8"/>
      <c r="I1613" s="8"/>
      <c r="J1613" s="8"/>
      <c r="K1613" s="8"/>
    </row>
    <row r="1614">
      <c r="A1614" s="31" t="s">
        <v>11280</v>
      </c>
      <c r="B1614" s="31" t="s">
        <v>11370</v>
      </c>
      <c r="C1614" s="8"/>
      <c r="D1614" s="8"/>
      <c r="E1614" s="8"/>
      <c r="F1614" s="8"/>
      <c r="G1614" s="8"/>
      <c r="H1614" s="8"/>
      <c r="I1614" s="8"/>
      <c r="J1614" s="8"/>
      <c r="K1614" s="8"/>
    </row>
    <row r="1615">
      <c r="A1615" s="31" t="s">
        <v>11282</v>
      </c>
      <c r="B1615" s="31" t="s">
        <v>11371</v>
      </c>
      <c r="C1615" s="8"/>
      <c r="D1615" s="8"/>
      <c r="E1615" s="8"/>
      <c r="F1615" s="8"/>
      <c r="G1615" s="8"/>
      <c r="H1615" s="8"/>
      <c r="I1615" s="8"/>
      <c r="J1615" s="8"/>
      <c r="K1615" s="8"/>
    </row>
    <row r="1616">
      <c r="B1616" s="31" t="s">
        <v>8017</v>
      </c>
    </row>
    <row r="1617">
      <c r="A1617" s="433" t="s">
        <v>11372</v>
      </c>
    </row>
    <row r="1618">
      <c r="A1618" s="340" t="s">
        <v>9361</v>
      </c>
      <c r="B1618" s="340" t="s">
        <v>9530</v>
      </c>
      <c r="C1618" s="340" t="s">
        <v>9363</v>
      </c>
    </row>
    <row r="1619">
      <c r="A1619" s="31" t="s">
        <v>3944</v>
      </c>
      <c r="B1619" s="31" t="s">
        <v>4251</v>
      </c>
      <c r="C1619" s="256" t="s">
        <v>9365</v>
      </c>
      <c r="D1619" s="256" t="s">
        <v>8952</v>
      </c>
      <c r="E1619" s="379" t="s">
        <v>4702</v>
      </c>
      <c r="F1619" s="256" t="s">
        <v>4703</v>
      </c>
      <c r="G1619" s="379" t="s">
        <v>4320</v>
      </c>
      <c r="H1619" s="379" t="s">
        <v>436</v>
      </c>
      <c r="I1619" s="379" t="s">
        <v>4704</v>
      </c>
      <c r="J1619" s="379" t="s">
        <v>135</v>
      </c>
      <c r="K1619" s="379" t="s">
        <v>128</v>
      </c>
    </row>
    <row r="1620">
      <c r="A1620" s="31" t="s">
        <v>11373</v>
      </c>
      <c r="B1620" s="31" t="s">
        <v>4253</v>
      </c>
      <c r="C1620" s="4" t="s">
        <v>9441</v>
      </c>
      <c r="D1620" s="4" t="s">
        <v>9174</v>
      </c>
      <c r="E1620" s="4" t="s">
        <v>9228</v>
      </c>
      <c r="F1620" s="4" t="s">
        <v>4834</v>
      </c>
      <c r="G1620" s="4" t="s">
        <v>17</v>
      </c>
      <c r="H1620" s="4" t="s">
        <v>1500</v>
      </c>
      <c r="I1620" s="4" t="s">
        <v>11374</v>
      </c>
      <c r="J1620" s="4" t="s">
        <v>11375</v>
      </c>
      <c r="K1620" s="4" t="s">
        <v>8078</v>
      </c>
      <c r="L1620" s="8"/>
    </row>
    <row r="1621">
      <c r="A1621" s="31" t="s">
        <v>9852</v>
      </c>
      <c r="B1621" s="31" t="s">
        <v>4258</v>
      </c>
      <c r="C1621" s="108" t="s">
        <v>9982</v>
      </c>
      <c r="L1621" s="8"/>
    </row>
    <row r="1622">
      <c r="A1622" s="31" t="s">
        <v>11376</v>
      </c>
      <c r="B1622" s="31" t="s">
        <v>7956</v>
      </c>
      <c r="C1622" s="8"/>
      <c r="D1622" s="8"/>
      <c r="E1622" s="8"/>
      <c r="F1622" s="8"/>
      <c r="G1622" s="8"/>
      <c r="H1622" s="8"/>
      <c r="I1622" s="8"/>
      <c r="J1622" s="8"/>
      <c r="K1622" s="8"/>
      <c r="L1622" s="8"/>
    </row>
    <row r="1623">
      <c r="A1623" s="31" t="s">
        <v>11377</v>
      </c>
      <c r="B1623" s="31" t="s">
        <v>7959</v>
      </c>
      <c r="C1623" s="8"/>
      <c r="D1623" s="8"/>
      <c r="E1623" s="8"/>
      <c r="F1623" s="8"/>
      <c r="G1623" s="8"/>
      <c r="H1623" s="8"/>
      <c r="I1623" s="8"/>
      <c r="J1623" s="8"/>
      <c r="K1623" s="8"/>
      <c r="L1623" s="8"/>
    </row>
    <row r="1624">
      <c r="A1624" s="31" t="s">
        <v>11378</v>
      </c>
      <c r="B1624" s="31" t="s">
        <v>10781</v>
      </c>
      <c r="C1624" s="8"/>
      <c r="D1624" s="8"/>
      <c r="E1624" s="8"/>
      <c r="F1624" s="8"/>
      <c r="G1624" s="8"/>
      <c r="H1624" s="8"/>
      <c r="I1624" s="8"/>
      <c r="J1624" s="8"/>
      <c r="K1624" s="8"/>
      <c r="L1624" s="8"/>
    </row>
    <row r="1625">
      <c r="A1625" s="31" t="s">
        <v>11379</v>
      </c>
      <c r="B1625" s="31" t="s">
        <v>11011</v>
      </c>
      <c r="C1625" s="8"/>
      <c r="D1625" s="8"/>
      <c r="E1625" s="8"/>
      <c r="F1625" s="8"/>
      <c r="G1625" s="8"/>
      <c r="H1625" s="8"/>
      <c r="I1625" s="8"/>
      <c r="J1625" s="8"/>
      <c r="K1625" s="8"/>
      <c r="L1625" s="8"/>
    </row>
    <row r="1626">
      <c r="A1626" s="31" t="s">
        <v>11380</v>
      </c>
      <c r="B1626" s="31" t="s">
        <v>11381</v>
      </c>
      <c r="C1626" s="8"/>
      <c r="D1626" s="8"/>
      <c r="E1626" s="8"/>
      <c r="F1626" s="8"/>
      <c r="G1626" s="8"/>
      <c r="H1626" s="8"/>
      <c r="I1626" s="8"/>
      <c r="J1626" s="8"/>
      <c r="K1626" s="8"/>
      <c r="L1626" s="8"/>
    </row>
    <row r="1627">
      <c r="A1627" s="31" t="s">
        <v>6393</v>
      </c>
      <c r="B1627" s="31" t="s">
        <v>7976</v>
      </c>
      <c r="C1627" s="8"/>
      <c r="D1627" s="8"/>
      <c r="E1627" s="8"/>
      <c r="F1627" s="8"/>
      <c r="G1627" s="8"/>
      <c r="H1627" s="8"/>
      <c r="I1627" s="8"/>
      <c r="J1627" s="8"/>
      <c r="K1627" s="8"/>
      <c r="L1627" s="8"/>
    </row>
    <row r="1628">
      <c r="A1628" s="31" t="s">
        <v>11382</v>
      </c>
      <c r="B1628" s="31" t="s">
        <v>11354</v>
      </c>
      <c r="C1628" s="8"/>
      <c r="D1628" s="8"/>
      <c r="E1628" s="8"/>
      <c r="F1628" s="8"/>
      <c r="G1628" s="8"/>
      <c r="H1628" s="8"/>
      <c r="I1628" s="8"/>
      <c r="J1628" s="8"/>
      <c r="K1628" s="8"/>
      <c r="L1628" s="8"/>
    </row>
    <row r="1629">
      <c r="A1629" s="31" t="s">
        <v>11383</v>
      </c>
      <c r="B1629" s="31" t="s">
        <v>11384</v>
      </c>
      <c r="C1629" s="8"/>
      <c r="D1629" s="8"/>
      <c r="E1629" s="8"/>
      <c r="F1629" s="8"/>
      <c r="G1629" s="8"/>
      <c r="H1629" s="8"/>
      <c r="I1629" s="8"/>
      <c r="J1629" s="8"/>
      <c r="K1629" s="8"/>
      <c r="L1629" s="8"/>
    </row>
    <row r="1630">
      <c r="A1630" s="31" t="s">
        <v>11385</v>
      </c>
      <c r="B1630" s="31" t="s">
        <v>7990</v>
      </c>
    </row>
    <row r="1631">
      <c r="A1631" s="31" t="s">
        <v>11386</v>
      </c>
      <c r="B1631" s="31" t="s">
        <v>7995</v>
      </c>
    </row>
    <row r="1632">
      <c r="A1632" s="31" t="s">
        <v>11387</v>
      </c>
      <c r="B1632" s="31" t="s">
        <v>8000</v>
      </c>
    </row>
    <row r="1633">
      <c r="A1633" s="31" t="s">
        <v>11388</v>
      </c>
      <c r="B1633" s="31" t="s">
        <v>8005</v>
      </c>
    </row>
    <row r="1634">
      <c r="A1634" s="31" t="s">
        <v>11389</v>
      </c>
      <c r="B1634" s="31" t="s">
        <v>8010</v>
      </c>
    </row>
    <row r="1635">
      <c r="A1635" s="31" t="s">
        <v>11390</v>
      </c>
      <c r="B1635" s="31" t="s">
        <v>11391</v>
      </c>
    </row>
    <row r="1636">
      <c r="A1636" s="31" t="s">
        <v>10902</v>
      </c>
      <c r="B1636" s="31" t="s">
        <v>11392</v>
      </c>
    </row>
    <row r="1637">
      <c r="A1637" s="31" t="s">
        <v>11393</v>
      </c>
      <c r="B1637" s="31" t="s">
        <v>11394</v>
      </c>
    </row>
    <row r="1638">
      <c r="A1638" s="31" t="s">
        <v>11395</v>
      </c>
      <c r="B1638" s="31" t="s">
        <v>11396</v>
      </c>
    </row>
    <row r="1639">
      <c r="A1639" s="31" t="s">
        <v>11397</v>
      </c>
    </row>
    <row r="1640">
      <c r="A1640" s="31" t="s">
        <v>11398</v>
      </c>
    </row>
    <row r="1641">
      <c r="A1641" s="433" t="s">
        <v>11399</v>
      </c>
    </row>
    <row r="1642">
      <c r="A1642" s="340" t="s">
        <v>9532</v>
      </c>
      <c r="B1642" s="340" t="s">
        <v>9361</v>
      </c>
      <c r="C1642" s="340" t="s">
        <v>9363</v>
      </c>
    </row>
    <row r="1643">
      <c r="A1643" s="31" t="s">
        <v>7948</v>
      </c>
      <c r="B1643" s="31" t="s">
        <v>3944</v>
      </c>
      <c r="C1643" s="256" t="s">
        <v>9365</v>
      </c>
      <c r="D1643" s="256" t="s">
        <v>8952</v>
      </c>
      <c r="E1643" s="379" t="s">
        <v>4702</v>
      </c>
      <c r="F1643" s="256" t="s">
        <v>4703</v>
      </c>
      <c r="G1643" s="379" t="s">
        <v>4320</v>
      </c>
      <c r="H1643" s="379" t="s">
        <v>436</v>
      </c>
      <c r="I1643" s="379" t="s">
        <v>4704</v>
      </c>
      <c r="J1643" s="379" t="s">
        <v>135</v>
      </c>
      <c r="K1643" s="379" t="s">
        <v>128</v>
      </c>
    </row>
    <row r="1644">
      <c r="A1644" s="31" t="s">
        <v>852</v>
      </c>
      <c r="B1644" s="31" t="s">
        <v>3946</v>
      </c>
      <c r="C1644" s="4" t="s">
        <v>9441</v>
      </c>
      <c r="D1644" s="4" t="s">
        <v>9174</v>
      </c>
      <c r="E1644" s="4" t="s">
        <v>11400</v>
      </c>
      <c r="F1644" s="4" t="s">
        <v>8044</v>
      </c>
      <c r="G1644" s="4" t="s">
        <v>105</v>
      </c>
      <c r="H1644" s="4" t="s">
        <v>8066</v>
      </c>
      <c r="I1644" s="4" t="s">
        <v>10552</v>
      </c>
      <c r="J1644" s="4" t="s">
        <v>11401</v>
      </c>
      <c r="K1644" s="4" t="s">
        <v>8055</v>
      </c>
      <c r="L1644" s="8"/>
    </row>
    <row r="1645">
      <c r="A1645" s="31" t="s">
        <v>3871</v>
      </c>
      <c r="B1645" s="31" t="s">
        <v>9852</v>
      </c>
      <c r="C1645" s="108" t="s">
        <v>9839</v>
      </c>
      <c r="L1645" s="8"/>
    </row>
    <row r="1646">
      <c r="A1646" s="31" t="s">
        <v>3877</v>
      </c>
      <c r="B1646" s="31" t="s">
        <v>11376</v>
      </c>
      <c r="C1646" s="8"/>
      <c r="D1646" s="8"/>
      <c r="E1646" s="8"/>
      <c r="F1646" s="8"/>
      <c r="G1646" s="8"/>
      <c r="H1646" s="8"/>
      <c r="I1646" s="8"/>
      <c r="J1646" s="8"/>
      <c r="K1646" s="8"/>
      <c r="L1646" s="8"/>
    </row>
    <row r="1647">
      <c r="A1647" s="31" t="s">
        <v>1242</v>
      </c>
      <c r="B1647" s="31" t="s">
        <v>11377</v>
      </c>
      <c r="C1647" s="8"/>
      <c r="D1647" s="8"/>
      <c r="E1647" s="8"/>
      <c r="F1647" s="8"/>
      <c r="G1647" s="8"/>
      <c r="H1647" s="8"/>
      <c r="I1647" s="8"/>
      <c r="J1647" s="8"/>
      <c r="K1647" s="8"/>
      <c r="L1647" s="8"/>
    </row>
    <row r="1648">
      <c r="A1648" s="31" t="s">
        <v>3883</v>
      </c>
      <c r="B1648" s="31" t="s">
        <v>11402</v>
      </c>
      <c r="C1648" s="8"/>
      <c r="D1648" s="8"/>
      <c r="E1648" s="8"/>
      <c r="F1648" s="8"/>
      <c r="G1648" s="8"/>
      <c r="H1648" s="8"/>
      <c r="I1648" s="8"/>
      <c r="J1648" s="8"/>
      <c r="K1648" s="8"/>
      <c r="L1648" s="8"/>
    </row>
    <row r="1649">
      <c r="A1649" s="31" t="s">
        <v>3886</v>
      </c>
      <c r="B1649" s="31" t="s">
        <v>11403</v>
      </c>
      <c r="C1649" s="8"/>
      <c r="D1649" s="8"/>
      <c r="E1649" s="8"/>
      <c r="F1649" s="8"/>
      <c r="G1649" s="8"/>
      <c r="H1649" s="8"/>
      <c r="I1649" s="8"/>
      <c r="J1649" s="8"/>
      <c r="K1649" s="8"/>
      <c r="L1649" s="8"/>
    </row>
    <row r="1650">
      <c r="A1650" s="31" t="s">
        <v>3890</v>
      </c>
      <c r="B1650" s="31" t="s">
        <v>11380</v>
      </c>
      <c r="C1650" s="8"/>
      <c r="D1650" s="8"/>
      <c r="E1650" s="8"/>
      <c r="F1650" s="8"/>
      <c r="G1650" s="8"/>
      <c r="H1650" s="8"/>
      <c r="I1650" s="8"/>
      <c r="J1650" s="8"/>
      <c r="K1650" s="8"/>
      <c r="L1650" s="8"/>
    </row>
    <row r="1651">
      <c r="A1651" s="31" t="s">
        <v>3893</v>
      </c>
      <c r="B1651" s="31" t="s">
        <v>6393</v>
      </c>
      <c r="C1651" s="8"/>
      <c r="D1651" s="8"/>
      <c r="E1651" s="8"/>
      <c r="F1651" s="8"/>
      <c r="G1651" s="8"/>
      <c r="H1651" s="8"/>
      <c r="I1651" s="8"/>
      <c r="J1651" s="8"/>
      <c r="K1651" s="8"/>
      <c r="L1651" s="8"/>
    </row>
    <row r="1652">
      <c r="A1652" s="31" t="s">
        <v>3897</v>
      </c>
      <c r="B1652" s="31" t="s">
        <v>7287</v>
      </c>
      <c r="C1652" s="8"/>
      <c r="D1652" s="8"/>
      <c r="E1652" s="8"/>
      <c r="F1652" s="8"/>
      <c r="G1652" s="8"/>
      <c r="H1652" s="8"/>
      <c r="I1652" s="8"/>
      <c r="J1652" s="8"/>
      <c r="K1652" s="8"/>
      <c r="L1652" s="8"/>
    </row>
    <row r="1653">
      <c r="A1653" s="31" t="s">
        <v>3900</v>
      </c>
      <c r="B1653" s="31" t="s">
        <v>11404</v>
      </c>
    </row>
    <row r="1654">
      <c r="A1654" s="31" t="s">
        <v>11405</v>
      </c>
      <c r="B1654" s="31" t="s">
        <v>11406</v>
      </c>
    </row>
    <row r="1655">
      <c r="A1655" s="31" t="s">
        <v>11407</v>
      </c>
      <c r="B1655" s="31" t="s">
        <v>11408</v>
      </c>
    </row>
    <row r="1656">
      <c r="A1656" s="31" t="s">
        <v>11409</v>
      </c>
      <c r="B1656" s="31" t="s">
        <v>11410</v>
      </c>
    </row>
    <row r="1657">
      <c r="A1657" s="31" t="s">
        <v>11411</v>
      </c>
      <c r="B1657" s="31" t="s">
        <v>11412</v>
      </c>
    </row>
    <row r="1658">
      <c r="A1658" s="31" t="s">
        <v>11413</v>
      </c>
      <c r="B1658" s="31" t="s">
        <v>11414</v>
      </c>
    </row>
    <row r="1659">
      <c r="A1659" s="31" t="s">
        <v>11415</v>
      </c>
      <c r="B1659" s="31" t="s">
        <v>11416</v>
      </c>
    </row>
    <row r="1660">
      <c r="A1660" s="31" t="s">
        <v>11417</v>
      </c>
      <c r="B1660" s="31" t="s">
        <v>11418</v>
      </c>
    </row>
    <row r="1661">
      <c r="B1661" s="31" t="s">
        <v>11419</v>
      </c>
    </row>
    <row r="1662">
      <c r="B1662" s="31" t="s">
        <v>11420</v>
      </c>
    </row>
    <row r="1663">
      <c r="B1663" s="31" t="s">
        <v>11421</v>
      </c>
    </row>
    <row r="1664">
      <c r="B1664" s="31" t="s">
        <v>11422</v>
      </c>
    </row>
    <row r="1665">
      <c r="A1665" s="433" t="s">
        <v>11423</v>
      </c>
    </row>
    <row r="1666">
      <c r="A1666" s="340" t="s">
        <v>9414</v>
      </c>
      <c r="B1666" s="340" t="s">
        <v>9531</v>
      </c>
      <c r="C1666" s="340" t="s">
        <v>9363</v>
      </c>
    </row>
    <row r="1667">
      <c r="A1667" s="31" t="s">
        <v>1787</v>
      </c>
      <c r="B1667" s="31" t="s">
        <v>1263</v>
      </c>
      <c r="C1667" s="256" t="s">
        <v>9365</v>
      </c>
      <c r="D1667" s="256" t="s">
        <v>8952</v>
      </c>
      <c r="E1667" s="379" t="s">
        <v>4702</v>
      </c>
      <c r="F1667" s="256" t="s">
        <v>4703</v>
      </c>
      <c r="G1667" s="379" t="s">
        <v>4320</v>
      </c>
      <c r="H1667" s="379" t="s">
        <v>436</v>
      </c>
      <c r="I1667" s="379" t="s">
        <v>4704</v>
      </c>
      <c r="J1667" s="379" t="s">
        <v>135</v>
      </c>
      <c r="K1667" s="379" t="s">
        <v>128</v>
      </c>
    </row>
    <row r="1668">
      <c r="A1668" s="31" t="s">
        <v>1864</v>
      </c>
      <c r="B1668" s="31" t="s">
        <v>1265</v>
      </c>
      <c r="C1668" s="4" t="s">
        <v>9441</v>
      </c>
      <c r="D1668" s="4" t="s">
        <v>9174</v>
      </c>
      <c r="E1668" s="4" t="s">
        <v>11400</v>
      </c>
      <c r="F1668" s="4" t="s">
        <v>1871</v>
      </c>
      <c r="G1668" s="4" t="s">
        <v>19</v>
      </c>
      <c r="H1668" s="4" t="s">
        <v>8058</v>
      </c>
      <c r="I1668" s="4" t="s">
        <v>8060</v>
      </c>
      <c r="J1668" s="4" t="s">
        <v>10717</v>
      </c>
      <c r="K1668" s="4" t="s">
        <v>8060</v>
      </c>
      <c r="L1668" s="8"/>
    </row>
    <row r="1669">
      <c r="A1669" s="31" t="s">
        <v>10541</v>
      </c>
      <c r="B1669" s="31" t="s">
        <v>7953</v>
      </c>
      <c r="C1669" s="108" t="s">
        <v>9655</v>
      </c>
      <c r="L1669" s="8"/>
    </row>
    <row r="1670">
      <c r="A1670" s="31" t="s">
        <v>1875</v>
      </c>
      <c r="B1670" s="31" t="s">
        <v>1272</v>
      </c>
      <c r="C1670" s="8"/>
      <c r="D1670" s="8"/>
      <c r="E1670" s="8"/>
      <c r="F1670" s="8"/>
      <c r="G1670" s="8"/>
      <c r="H1670" s="8"/>
      <c r="I1670" s="8"/>
      <c r="J1670" s="8"/>
      <c r="K1670" s="8"/>
      <c r="L1670" s="8"/>
    </row>
    <row r="1671">
      <c r="A1671" s="31" t="s">
        <v>398</v>
      </c>
      <c r="B1671" s="31" t="s">
        <v>1275</v>
      </c>
      <c r="C1671" s="8"/>
      <c r="D1671" s="8"/>
      <c r="E1671" s="8"/>
      <c r="F1671" s="8"/>
      <c r="G1671" s="8"/>
      <c r="H1671" s="8"/>
      <c r="I1671" s="8"/>
      <c r="J1671" s="8"/>
      <c r="K1671" s="8"/>
      <c r="L1671" s="8"/>
    </row>
    <row r="1672">
      <c r="A1672" s="31" t="s">
        <v>11424</v>
      </c>
      <c r="B1672" s="31" t="s">
        <v>7963</v>
      </c>
      <c r="C1672" s="8"/>
      <c r="D1672" s="8"/>
      <c r="E1672" s="8"/>
      <c r="F1672" s="8"/>
      <c r="G1672" s="8"/>
      <c r="H1672" s="8"/>
      <c r="I1672" s="8"/>
      <c r="J1672" s="8"/>
      <c r="K1672" s="8"/>
      <c r="L1672" s="8"/>
    </row>
    <row r="1673">
      <c r="A1673" s="31" t="s">
        <v>1891</v>
      </c>
      <c r="B1673" s="31" t="s">
        <v>11425</v>
      </c>
      <c r="C1673" s="8"/>
      <c r="D1673" s="8"/>
      <c r="E1673" s="8"/>
      <c r="F1673" s="8"/>
      <c r="G1673" s="8"/>
      <c r="H1673" s="8"/>
      <c r="I1673" s="8"/>
      <c r="J1673" s="8"/>
      <c r="K1673" s="8"/>
      <c r="L1673" s="8"/>
    </row>
    <row r="1674">
      <c r="A1674" s="31" t="s">
        <v>1896</v>
      </c>
      <c r="B1674" s="31" t="s">
        <v>11426</v>
      </c>
      <c r="C1674" s="8"/>
      <c r="D1674" s="8"/>
      <c r="E1674" s="8"/>
      <c r="F1674" s="8"/>
      <c r="G1674" s="8"/>
      <c r="H1674" s="8"/>
      <c r="I1674" s="8"/>
      <c r="J1674" s="8"/>
      <c r="K1674" s="8"/>
      <c r="L1674" s="8"/>
    </row>
    <row r="1675">
      <c r="A1675" s="31" t="s">
        <v>1899</v>
      </c>
      <c r="B1675" s="31" t="s">
        <v>11427</v>
      </c>
      <c r="C1675" s="8"/>
      <c r="D1675" s="8"/>
      <c r="E1675" s="8"/>
      <c r="F1675" s="8"/>
      <c r="G1675" s="8"/>
      <c r="H1675" s="8"/>
      <c r="I1675" s="8"/>
      <c r="J1675" s="8"/>
      <c r="K1675" s="8"/>
      <c r="L1675" s="8"/>
    </row>
    <row r="1676">
      <c r="A1676" s="31" t="s">
        <v>10946</v>
      </c>
      <c r="B1676" s="31" t="s">
        <v>11428</v>
      </c>
    </row>
    <row r="1677">
      <c r="A1677" s="31" t="s">
        <v>1907</v>
      </c>
      <c r="B1677" s="31" t="s">
        <v>10706</v>
      </c>
    </row>
    <row r="1678">
      <c r="A1678" s="31" t="s">
        <v>11429</v>
      </c>
      <c r="B1678" s="31" t="s">
        <v>7991</v>
      </c>
    </row>
    <row r="1679">
      <c r="A1679" s="31" t="s">
        <v>11430</v>
      </c>
      <c r="B1679" s="31" t="s">
        <v>7996</v>
      </c>
    </row>
    <row r="1680">
      <c r="A1680" s="31" t="s">
        <v>11431</v>
      </c>
      <c r="B1680" s="31" t="s">
        <v>8001</v>
      </c>
    </row>
    <row r="1681">
      <c r="A1681" s="31" t="s">
        <v>11432</v>
      </c>
      <c r="B1681" s="31" t="s">
        <v>11433</v>
      </c>
    </row>
    <row r="1682">
      <c r="A1682" s="31" t="s">
        <v>11434</v>
      </c>
      <c r="B1682" s="31" t="s">
        <v>11435</v>
      </c>
    </row>
    <row r="1683">
      <c r="A1683" s="31" t="s">
        <v>11436</v>
      </c>
      <c r="B1683" s="31" t="s">
        <v>9873</v>
      </c>
    </row>
    <row r="1684">
      <c r="A1684" s="31" t="s">
        <v>11437</v>
      </c>
      <c r="B1684" s="31" t="s">
        <v>1312</v>
      </c>
    </row>
    <row r="1685">
      <c r="A1685" s="433" t="s">
        <v>11438</v>
      </c>
    </row>
    <row r="1686">
      <c r="A1686" s="340" t="s">
        <v>9361</v>
      </c>
      <c r="B1686" s="340" t="s">
        <v>10015</v>
      </c>
      <c r="C1686" s="340" t="s">
        <v>9363</v>
      </c>
    </row>
    <row r="1687">
      <c r="A1687" s="31" t="s">
        <v>10425</v>
      </c>
      <c r="B1687" s="31" t="s">
        <v>10189</v>
      </c>
      <c r="C1687" s="256" t="s">
        <v>9365</v>
      </c>
      <c r="D1687" s="256" t="s">
        <v>8952</v>
      </c>
      <c r="E1687" s="379" t="s">
        <v>4702</v>
      </c>
      <c r="F1687" s="256" t="s">
        <v>4703</v>
      </c>
      <c r="G1687" s="379" t="s">
        <v>4320</v>
      </c>
      <c r="H1687" s="379" t="s">
        <v>436</v>
      </c>
      <c r="I1687" s="379" t="s">
        <v>4704</v>
      </c>
      <c r="J1687" s="379" t="s">
        <v>135</v>
      </c>
      <c r="K1687" s="379" t="s">
        <v>128</v>
      </c>
    </row>
    <row r="1688">
      <c r="A1688" s="31" t="s">
        <v>1782</v>
      </c>
      <c r="B1688" s="31" t="s">
        <v>10190</v>
      </c>
      <c r="C1688" s="4" t="s">
        <v>9441</v>
      </c>
      <c r="D1688" s="4" t="s">
        <v>9109</v>
      </c>
      <c r="E1688" s="4" t="s">
        <v>11439</v>
      </c>
      <c r="F1688" s="4" t="s">
        <v>7166</v>
      </c>
      <c r="G1688" s="4" t="s">
        <v>9</v>
      </c>
      <c r="H1688" s="4" t="s">
        <v>1500</v>
      </c>
      <c r="I1688" s="4" t="s">
        <v>11440</v>
      </c>
      <c r="J1688" s="4" t="s">
        <v>11440</v>
      </c>
      <c r="K1688" s="4" t="s">
        <v>10213</v>
      </c>
      <c r="L1688" s="8"/>
    </row>
    <row r="1689">
      <c r="A1689" s="31" t="s">
        <v>9852</v>
      </c>
      <c r="B1689" s="31" t="s">
        <v>11441</v>
      </c>
      <c r="C1689" s="4" t="s">
        <v>9466</v>
      </c>
      <c r="D1689" s="4" t="s">
        <v>9109</v>
      </c>
      <c r="E1689" s="4" t="s">
        <v>11442</v>
      </c>
      <c r="F1689" s="4" t="s">
        <v>7166</v>
      </c>
      <c r="G1689" s="4" t="s">
        <v>17</v>
      </c>
      <c r="H1689" s="4" t="s">
        <v>1500</v>
      </c>
      <c r="I1689" s="4" t="s">
        <v>11374</v>
      </c>
      <c r="J1689" s="4" t="s">
        <v>11374</v>
      </c>
      <c r="K1689" s="4" t="s">
        <v>10664</v>
      </c>
      <c r="L1689" s="8"/>
    </row>
    <row r="1690">
      <c r="A1690" s="31" t="s">
        <v>10435</v>
      </c>
      <c r="B1690" s="31" t="s">
        <v>11443</v>
      </c>
      <c r="C1690" s="4" t="s">
        <v>9472</v>
      </c>
      <c r="D1690" s="4" t="s">
        <v>9109</v>
      </c>
      <c r="E1690" s="4" t="s">
        <v>8053</v>
      </c>
      <c r="F1690" s="4" t="s">
        <v>7166</v>
      </c>
      <c r="G1690" s="4" t="s">
        <v>17</v>
      </c>
      <c r="H1690" s="4" t="s">
        <v>1500</v>
      </c>
      <c r="I1690" s="4" t="s">
        <v>7900</v>
      </c>
      <c r="J1690" s="4" t="s">
        <v>11444</v>
      </c>
      <c r="K1690" s="4" t="s">
        <v>7900</v>
      </c>
      <c r="L1690" s="8"/>
    </row>
    <row r="1691">
      <c r="A1691" s="31" t="s">
        <v>10666</v>
      </c>
      <c r="B1691" s="31" t="s">
        <v>11445</v>
      </c>
      <c r="C1691" s="108" t="s">
        <v>9982</v>
      </c>
      <c r="L1691" s="8"/>
    </row>
    <row r="1692">
      <c r="A1692" s="31" t="s">
        <v>10255</v>
      </c>
      <c r="B1692" s="31" t="s">
        <v>11446</v>
      </c>
      <c r="C1692" s="8"/>
      <c r="D1692" s="8"/>
      <c r="E1692" s="8"/>
      <c r="F1692" s="8"/>
      <c r="G1692" s="8"/>
      <c r="H1692" s="8"/>
      <c r="I1692" s="8"/>
      <c r="J1692" s="8"/>
      <c r="K1692" s="8"/>
      <c r="L1692" s="8"/>
    </row>
    <row r="1693">
      <c r="A1693" s="31" t="s">
        <v>10668</v>
      </c>
      <c r="B1693" s="31" t="s">
        <v>11447</v>
      </c>
      <c r="C1693" s="8"/>
      <c r="D1693" s="8"/>
      <c r="E1693" s="8"/>
      <c r="F1693" s="8"/>
      <c r="G1693" s="8"/>
      <c r="H1693" s="8"/>
      <c r="I1693" s="8"/>
      <c r="J1693" s="8"/>
      <c r="K1693" s="8"/>
      <c r="L1693" s="8"/>
    </row>
    <row r="1694">
      <c r="A1694" s="31" t="s">
        <v>11448</v>
      </c>
      <c r="B1694" s="31" t="s">
        <v>11449</v>
      </c>
      <c r="C1694" s="8"/>
      <c r="D1694" s="8"/>
      <c r="E1694" s="8"/>
      <c r="F1694" s="8"/>
      <c r="G1694" s="8"/>
      <c r="H1694" s="8"/>
      <c r="I1694" s="8"/>
      <c r="J1694" s="8"/>
      <c r="K1694" s="8"/>
      <c r="L1694" s="8"/>
    </row>
    <row r="1695">
      <c r="A1695" s="31" t="s">
        <v>5287</v>
      </c>
      <c r="B1695" s="31" t="s">
        <v>11450</v>
      </c>
      <c r="C1695" s="8"/>
      <c r="D1695" s="8"/>
      <c r="E1695" s="8"/>
      <c r="F1695" s="8"/>
      <c r="G1695" s="8"/>
      <c r="H1695" s="8"/>
      <c r="I1695" s="8"/>
      <c r="J1695" s="8"/>
      <c r="K1695" s="8"/>
      <c r="L1695" s="8"/>
    </row>
    <row r="1696">
      <c r="A1696" s="31" t="s">
        <v>10513</v>
      </c>
      <c r="B1696" s="31" t="s">
        <v>11451</v>
      </c>
      <c r="C1696" s="8"/>
      <c r="D1696" s="8"/>
      <c r="E1696" s="8"/>
      <c r="F1696" s="8"/>
      <c r="G1696" s="8"/>
      <c r="H1696" s="8"/>
      <c r="I1696" s="8"/>
      <c r="J1696" s="8"/>
      <c r="K1696" s="8"/>
      <c r="L1696" s="8"/>
    </row>
    <row r="1697">
      <c r="A1697" s="31" t="s">
        <v>11452</v>
      </c>
      <c r="B1697" s="31" t="s">
        <v>11453</v>
      </c>
      <c r="C1697" s="8"/>
      <c r="D1697" s="8"/>
      <c r="E1697" s="8"/>
      <c r="F1697" s="8"/>
      <c r="G1697" s="8"/>
      <c r="H1697" s="8"/>
      <c r="I1697" s="8"/>
      <c r="J1697" s="8"/>
      <c r="K1697" s="8"/>
      <c r="L1697" s="8"/>
    </row>
    <row r="1698">
      <c r="A1698" s="31" t="s">
        <v>10671</v>
      </c>
      <c r="B1698" s="31" t="s">
        <v>11454</v>
      </c>
    </row>
    <row r="1699">
      <c r="A1699" s="31" t="s">
        <v>10290</v>
      </c>
      <c r="B1699" s="31" t="s">
        <v>11455</v>
      </c>
    </row>
    <row r="1700">
      <c r="A1700" s="31" t="s">
        <v>10474</v>
      </c>
      <c r="B1700" s="31" t="s">
        <v>11456</v>
      </c>
    </row>
    <row r="1701">
      <c r="A1701" s="31" t="s">
        <v>11457</v>
      </c>
      <c r="B1701" s="31"/>
    </row>
    <row r="1702">
      <c r="A1702" s="433" t="s">
        <v>11458</v>
      </c>
    </row>
    <row r="1703">
      <c r="A1703" s="340" t="s">
        <v>10015</v>
      </c>
      <c r="B1703" s="340" t="s">
        <v>9361</v>
      </c>
      <c r="C1703" s="340" t="s">
        <v>9363</v>
      </c>
    </row>
    <row r="1704">
      <c r="A1704" s="31" t="s">
        <v>10189</v>
      </c>
      <c r="B1704" s="31" t="s">
        <v>3944</v>
      </c>
      <c r="C1704" s="256" t="s">
        <v>9365</v>
      </c>
      <c r="D1704" s="256" t="s">
        <v>8952</v>
      </c>
      <c r="E1704" s="379" t="s">
        <v>4702</v>
      </c>
      <c r="F1704" s="256" t="s">
        <v>4703</v>
      </c>
      <c r="G1704" s="379" t="s">
        <v>4320</v>
      </c>
      <c r="H1704" s="379" t="s">
        <v>436</v>
      </c>
      <c r="I1704" s="379" t="s">
        <v>4704</v>
      </c>
      <c r="J1704" s="379" t="s">
        <v>135</v>
      </c>
      <c r="K1704" s="379" t="s">
        <v>128</v>
      </c>
    </row>
    <row r="1705">
      <c r="A1705" s="31" t="s">
        <v>10190</v>
      </c>
      <c r="B1705" s="31" t="s">
        <v>3946</v>
      </c>
      <c r="C1705" s="4" t="s">
        <v>9441</v>
      </c>
      <c r="D1705" s="4" t="s">
        <v>9174</v>
      </c>
      <c r="E1705" s="4" t="s">
        <v>9235</v>
      </c>
      <c r="F1705" s="4" t="s">
        <v>11459</v>
      </c>
      <c r="G1705" s="4" t="s">
        <v>17</v>
      </c>
      <c r="H1705" s="4" t="s">
        <v>1500</v>
      </c>
      <c r="I1705" s="4" t="s">
        <v>10809</v>
      </c>
      <c r="J1705" s="4" t="s">
        <v>10213</v>
      </c>
      <c r="K1705" s="4" t="s">
        <v>10448</v>
      </c>
      <c r="L1705" s="8"/>
    </row>
    <row r="1706">
      <c r="A1706" s="31" t="s">
        <v>11441</v>
      </c>
      <c r="B1706" s="31" t="s">
        <v>9852</v>
      </c>
      <c r="C1706" s="108" t="s">
        <v>9982</v>
      </c>
      <c r="L1706" s="8"/>
    </row>
    <row r="1707">
      <c r="A1707" s="31" t="s">
        <v>11460</v>
      </c>
      <c r="B1707" s="31" t="s">
        <v>11461</v>
      </c>
      <c r="C1707" s="8"/>
      <c r="D1707" s="8"/>
      <c r="E1707" s="8"/>
      <c r="F1707" s="8"/>
      <c r="G1707" s="8"/>
      <c r="H1707" s="8"/>
      <c r="I1707" s="8"/>
      <c r="J1707" s="8"/>
      <c r="K1707" s="8"/>
      <c r="L1707" s="8"/>
    </row>
    <row r="1708">
      <c r="A1708" s="31" t="s">
        <v>11462</v>
      </c>
      <c r="B1708" s="31" t="s">
        <v>11463</v>
      </c>
      <c r="C1708" s="8"/>
      <c r="D1708" s="8"/>
      <c r="E1708" s="8"/>
      <c r="F1708" s="8"/>
      <c r="G1708" s="8"/>
      <c r="H1708" s="8"/>
      <c r="I1708" s="8"/>
      <c r="J1708" s="8"/>
      <c r="K1708" s="8"/>
      <c r="L1708" s="8"/>
    </row>
    <row r="1709">
      <c r="A1709" s="31" t="s">
        <v>11446</v>
      </c>
      <c r="B1709" s="31" t="s">
        <v>11464</v>
      </c>
      <c r="C1709" s="8"/>
      <c r="D1709" s="8"/>
      <c r="E1709" s="8"/>
      <c r="F1709" s="8"/>
      <c r="G1709" s="8"/>
      <c r="H1709" s="8"/>
      <c r="I1709" s="8"/>
      <c r="J1709" s="8"/>
      <c r="K1709" s="8"/>
      <c r="L1709" s="8"/>
    </row>
    <row r="1710">
      <c r="A1710" s="31" t="s">
        <v>11465</v>
      </c>
      <c r="B1710" s="31" t="s">
        <v>11403</v>
      </c>
      <c r="C1710" s="8"/>
      <c r="D1710" s="8"/>
      <c r="E1710" s="8"/>
      <c r="F1710" s="8"/>
      <c r="G1710" s="8"/>
      <c r="H1710" s="8"/>
      <c r="I1710" s="8"/>
      <c r="J1710" s="8"/>
      <c r="K1710" s="8"/>
      <c r="L1710" s="8"/>
    </row>
    <row r="1711">
      <c r="A1711" s="31" t="s">
        <v>11466</v>
      </c>
      <c r="B1711" s="31" t="s">
        <v>11380</v>
      </c>
      <c r="C1711" s="8"/>
      <c r="D1711" s="8"/>
      <c r="E1711" s="8"/>
      <c r="F1711" s="8"/>
      <c r="G1711" s="8"/>
      <c r="H1711" s="8"/>
      <c r="I1711" s="8"/>
      <c r="J1711" s="8"/>
      <c r="K1711" s="8"/>
      <c r="L1711" s="8"/>
    </row>
    <row r="1712">
      <c r="A1712" s="31" t="s">
        <v>11467</v>
      </c>
      <c r="B1712" s="31" t="s">
        <v>6393</v>
      </c>
      <c r="C1712" s="8"/>
      <c r="D1712" s="8"/>
      <c r="E1712" s="8"/>
      <c r="F1712" s="8"/>
      <c r="G1712" s="8"/>
      <c r="H1712" s="8"/>
      <c r="I1712" s="8"/>
      <c r="J1712" s="8"/>
      <c r="K1712" s="8"/>
      <c r="L1712" s="8"/>
    </row>
    <row r="1713">
      <c r="A1713" s="31" t="s">
        <v>11468</v>
      </c>
      <c r="B1713" s="31" t="s">
        <v>11382</v>
      </c>
      <c r="C1713" s="8"/>
      <c r="D1713" s="8"/>
      <c r="E1713" s="8"/>
      <c r="F1713" s="8"/>
      <c r="G1713" s="8"/>
      <c r="H1713" s="8"/>
      <c r="I1713" s="8"/>
      <c r="J1713" s="8"/>
      <c r="K1713" s="8"/>
      <c r="L1713" s="8"/>
    </row>
    <row r="1714">
      <c r="A1714" s="31" t="s">
        <v>11469</v>
      </c>
      <c r="B1714" s="31" t="s">
        <v>11404</v>
      </c>
      <c r="C1714" s="8"/>
      <c r="D1714" s="8"/>
      <c r="E1714" s="8"/>
      <c r="F1714" s="8"/>
      <c r="G1714" s="8"/>
      <c r="H1714" s="8"/>
      <c r="I1714" s="8"/>
      <c r="J1714" s="8"/>
      <c r="K1714" s="8"/>
      <c r="L1714" s="8"/>
    </row>
    <row r="1715">
      <c r="A1715" s="31" t="s">
        <v>11470</v>
      </c>
      <c r="B1715" s="31" t="s">
        <v>11471</v>
      </c>
      <c r="C1715" s="8"/>
      <c r="D1715" s="8"/>
      <c r="E1715" s="8"/>
      <c r="F1715" s="8"/>
      <c r="G1715" s="8"/>
      <c r="H1715" s="8"/>
      <c r="I1715" s="8"/>
      <c r="J1715" s="8"/>
      <c r="K1715" s="8"/>
      <c r="L1715" s="8"/>
    </row>
    <row r="1716">
      <c r="A1716" s="31" t="s">
        <v>11472</v>
      </c>
      <c r="B1716" s="31" t="s">
        <v>11386</v>
      </c>
      <c r="C1716" s="8"/>
      <c r="D1716" s="8"/>
      <c r="E1716" s="8"/>
      <c r="F1716" s="8"/>
      <c r="G1716" s="8"/>
      <c r="H1716" s="8"/>
      <c r="I1716" s="8"/>
      <c r="J1716" s="8"/>
      <c r="K1716" s="8"/>
      <c r="L1716" s="8"/>
    </row>
    <row r="1717">
      <c r="A1717" s="31" t="s">
        <v>11456</v>
      </c>
      <c r="B1717" s="31" t="s">
        <v>11387</v>
      </c>
      <c r="C1717" s="8"/>
      <c r="D1717" s="8"/>
      <c r="E1717" s="8"/>
      <c r="F1717" s="8"/>
      <c r="G1717" s="8"/>
      <c r="H1717" s="8"/>
      <c r="I1717" s="8"/>
      <c r="J1717" s="8"/>
      <c r="K1717" s="8"/>
      <c r="L1717" s="8"/>
    </row>
    <row r="1718">
      <c r="B1718" s="31" t="s">
        <v>11473</v>
      </c>
      <c r="C1718" s="8"/>
      <c r="D1718" s="8"/>
      <c r="E1718" s="8"/>
      <c r="F1718" s="8"/>
      <c r="G1718" s="8"/>
      <c r="H1718" s="8"/>
      <c r="I1718" s="8"/>
      <c r="J1718" s="8"/>
      <c r="K1718" s="8"/>
      <c r="L1718" s="8"/>
    </row>
    <row r="1719">
      <c r="B1719" s="31" t="s">
        <v>11474</v>
      </c>
      <c r="C1719" s="8"/>
      <c r="D1719" s="8"/>
      <c r="E1719" s="8"/>
      <c r="F1719" s="8"/>
      <c r="G1719" s="8"/>
      <c r="H1719" s="8"/>
      <c r="I1719" s="8"/>
      <c r="J1719" s="8"/>
      <c r="K1719" s="8"/>
      <c r="L1719" s="8"/>
    </row>
    <row r="1720">
      <c r="B1720" s="31" t="s">
        <v>11416</v>
      </c>
      <c r="C1720" s="8"/>
      <c r="D1720" s="8"/>
      <c r="E1720" s="8"/>
      <c r="F1720" s="8"/>
      <c r="G1720" s="8"/>
      <c r="H1720" s="8"/>
      <c r="I1720" s="8"/>
      <c r="J1720" s="8"/>
      <c r="K1720" s="8"/>
      <c r="L1720" s="8"/>
    </row>
    <row r="1721">
      <c r="B1721" s="31" t="s">
        <v>11418</v>
      </c>
      <c r="C1721" s="8"/>
      <c r="D1721" s="8"/>
      <c r="E1721" s="8"/>
      <c r="F1721" s="8"/>
      <c r="G1721" s="8"/>
      <c r="H1721" s="8"/>
      <c r="I1721" s="8"/>
      <c r="J1721" s="8"/>
      <c r="K1721" s="8"/>
      <c r="L1721" s="8"/>
    </row>
    <row r="1722">
      <c r="B1722" s="31" t="s">
        <v>11419</v>
      </c>
      <c r="C1722" s="8"/>
      <c r="D1722" s="8"/>
      <c r="E1722" s="8"/>
      <c r="F1722" s="8"/>
      <c r="G1722" s="8"/>
      <c r="H1722" s="8"/>
      <c r="I1722" s="8"/>
      <c r="J1722" s="8"/>
      <c r="K1722" s="8"/>
      <c r="L1722" s="8"/>
    </row>
    <row r="1723">
      <c r="B1723" s="31" t="s">
        <v>11395</v>
      </c>
      <c r="C1723" s="8"/>
      <c r="D1723" s="8"/>
      <c r="E1723" s="8"/>
      <c r="F1723" s="8"/>
      <c r="G1723" s="8"/>
      <c r="H1723" s="8"/>
      <c r="I1723" s="8"/>
      <c r="J1723" s="8"/>
      <c r="K1723" s="8"/>
      <c r="L1723" s="8"/>
    </row>
    <row r="1724">
      <c r="B1724" s="31" t="s">
        <v>11397</v>
      </c>
    </row>
    <row r="1725">
      <c r="A1725" s="433" t="s">
        <v>11475</v>
      </c>
    </row>
    <row r="1726">
      <c r="A1726" s="340" t="s">
        <v>9361</v>
      </c>
      <c r="B1726" s="340" t="s">
        <v>9415</v>
      </c>
      <c r="C1726" s="340" t="s">
        <v>9363</v>
      </c>
    </row>
    <row r="1727">
      <c r="A1727" s="75" t="s">
        <v>10425</v>
      </c>
      <c r="B1727" s="75" t="s">
        <v>2867</v>
      </c>
      <c r="C1727" s="256" t="s">
        <v>9365</v>
      </c>
      <c r="D1727" s="256" t="s">
        <v>8952</v>
      </c>
      <c r="E1727" s="379" t="s">
        <v>4702</v>
      </c>
      <c r="F1727" s="256" t="s">
        <v>4703</v>
      </c>
      <c r="G1727" s="379" t="s">
        <v>4320</v>
      </c>
      <c r="H1727" s="379" t="s">
        <v>436</v>
      </c>
      <c r="I1727" s="379" t="s">
        <v>4704</v>
      </c>
      <c r="J1727" s="379" t="s">
        <v>135</v>
      </c>
      <c r="K1727" s="379" t="s">
        <v>128</v>
      </c>
    </row>
    <row r="1728">
      <c r="A1728" s="31" t="s">
        <v>10656</v>
      </c>
      <c r="B1728" s="31" t="s">
        <v>2915</v>
      </c>
      <c r="C1728" s="4" t="s">
        <v>9441</v>
      </c>
      <c r="D1728" s="4" t="s">
        <v>9130</v>
      </c>
      <c r="E1728" s="4" t="s">
        <v>8069</v>
      </c>
      <c r="F1728" s="4" t="s">
        <v>7107</v>
      </c>
      <c r="G1728" s="4" t="s">
        <v>115</v>
      </c>
      <c r="H1728" s="4" t="s">
        <v>1500</v>
      </c>
      <c r="I1728" s="4" t="s">
        <v>11476</v>
      </c>
      <c r="J1728" s="4" t="s">
        <v>11477</v>
      </c>
      <c r="K1728" s="4" t="s">
        <v>11478</v>
      </c>
      <c r="L1728" s="8"/>
      <c r="M1728" s="8"/>
    </row>
    <row r="1729">
      <c r="A1729" s="31" t="s">
        <v>9852</v>
      </c>
      <c r="B1729" s="31" t="s">
        <v>9501</v>
      </c>
      <c r="C1729" s="4" t="s">
        <v>9466</v>
      </c>
      <c r="D1729" s="4" t="s">
        <v>9130</v>
      </c>
      <c r="E1729" s="4" t="s">
        <v>11479</v>
      </c>
      <c r="F1729" s="4" t="s">
        <v>7107</v>
      </c>
      <c r="G1729" s="4" t="s">
        <v>17</v>
      </c>
      <c r="H1729" s="4" t="s">
        <v>1500</v>
      </c>
      <c r="I1729" s="4" t="s">
        <v>10809</v>
      </c>
      <c r="J1729" s="4" t="s">
        <v>10809</v>
      </c>
      <c r="K1729" s="4" t="s">
        <v>10664</v>
      </c>
      <c r="L1729" s="8"/>
      <c r="M1729" s="8"/>
    </row>
    <row r="1730">
      <c r="A1730" s="31" t="s">
        <v>10435</v>
      </c>
      <c r="B1730" s="31" t="s">
        <v>11480</v>
      </c>
      <c r="C1730" s="4" t="s">
        <v>9472</v>
      </c>
      <c r="D1730" s="4" t="s">
        <v>9130</v>
      </c>
      <c r="E1730" s="4" t="s">
        <v>11481</v>
      </c>
      <c r="F1730" s="4" t="s">
        <v>7107</v>
      </c>
      <c r="G1730" s="4" t="s">
        <v>115</v>
      </c>
      <c r="H1730" s="4" t="s">
        <v>1500</v>
      </c>
      <c r="I1730" s="4" t="s">
        <v>11476</v>
      </c>
      <c r="J1730" s="4" t="s">
        <v>11482</v>
      </c>
      <c r="K1730" s="4" t="s">
        <v>7900</v>
      </c>
      <c r="L1730" s="8"/>
      <c r="M1730" s="8"/>
    </row>
    <row r="1731">
      <c r="A1731" s="31" t="s">
        <v>10666</v>
      </c>
      <c r="B1731" s="31" t="s">
        <v>11483</v>
      </c>
      <c r="C1731" s="108" t="s">
        <v>9510</v>
      </c>
      <c r="L1731" s="8"/>
      <c r="M1731" s="8"/>
    </row>
    <row r="1732">
      <c r="A1732" s="31" t="s">
        <v>10839</v>
      </c>
      <c r="B1732" s="31" t="s">
        <v>11484</v>
      </c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</row>
    <row r="1733">
      <c r="A1733" s="31" t="s">
        <v>11485</v>
      </c>
      <c r="B1733" s="31" t="s">
        <v>11486</v>
      </c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</row>
    <row r="1734">
      <c r="A1734" s="31" t="s">
        <v>11448</v>
      </c>
      <c r="B1734" s="31" t="s">
        <v>11487</v>
      </c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</row>
    <row r="1735">
      <c r="A1735" s="31" t="s">
        <v>5287</v>
      </c>
      <c r="B1735" s="31" t="s">
        <v>11488</v>
      </c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</row>
    <row r="1736">
      <c r="A1736" s="31" t="s">
        <v>10513</v>
      </c>
      <c r="B1736" s="31" t="s">
        <v>11489</v>
      </c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</row>
    <row r="1737">
      <c r="A1737" s="31" t="s">
        <v>7733</v>
      </c>
      <c r="B1737" s="31" t="s">
        <v>11490</v>
      </c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</row>
    <row r="1738">
      <c r="A1738" s="31" t="s">
        <v>11491</v>
      </c>
      <c r="B1738" s="31" t="s">
        <v>11492</v>
      </c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</row>
    <row r="1739">
      <c r="L1739" s="8"/>
      <c r="M1739" s="8"/>
    </row>
    <row r="1740">
      <c r="L1740" s="8"/>
      <c r="M1740" s="8"/>
    </row>
    <row r="1741">
      <c r="L1741" s="8"/>
      <c r="M1741" s="8"/>
    </row>
    <row r="1742">
      <c r="L1742" s="8"/>
      <c r="M1742" s="8"/>
    </row>
    <row r="1743">
      <c r="L1743" s="8"/>
      <c r="M1743" s="8"/>
    </row>
    <row r="1744">
      <c r="L1744" s="8"/>
      <c r="M1744" s="8"/>
    </row>
    <row r="1745">
      <c r="L1745" s="8"/>
      <c r="M1745" s="8"/>
    </row>
    <row r="1746">
      <c r="L1746" s="8"/>
      <c r="M1746" s="8"/>
    </row>
    <row r="1747">
      <c r="L1747" s="8"/>
      <c r="M1747" s="8"/>
    </row>
    <row r="1748">
      <c r="L1748" s="8"/>
      <c r="M1748" s="8"/>
    </row>
    <row r="1749">
      <c r="L1749" s="8"/>
      <c r="M1749" s="8"/>
    </row>
    <row r="1750">
      <c r="L1750" s="8"/>
      <c r="M1750" s="8"/>
    </row>
    <row r="1751">
      <c r="L1751" s="8"/>
      <c r="M1751" s="8"/>
    </row>
    <row r="1752">
      <c r="L1752" s="8"/>
      <c r="M1752" s="8"/>
    </row>
    <row r="1753">
      <c r="L1753" s="8"/>
      <c r="M1753" s="8"/>
    </row>
    <row r="1754">
      <c r="L1754" s="8"/>
      <c r="M1754" s="8"/>
    </row>
    <row r="1755">
      <c r="L1755" s="8"/>
      <c r="M1755" s="8"/>
    </row>
    <row r="1756"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</row>
    <row r="1757"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</row>
    <row r="1758"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</row>
    <row r="1759"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</row>
    <row r="1760"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</row>
    <row r="1761"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</row>
    <row r="1762"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</row>
    <row r="1763"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</row>
    <row r="1764"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</row>
    <row r="1765"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</row>
    <row r="1766"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</row>
    <row r="1767"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</row>
  </sheetData>
  <mergeCells count="309">
    <mergeCell ref="A1220:K1220"/>
    <mergeCell ref="C1221:K1221"/>
    <mergeCell ref="C1226:K1226"/>
    <mergeCell ref="A1240:K1240"/>
    <mergeCell ref="C1241:K1241"/>
    <mergeCell ref="C1244:K1244"/>
    <mergeCell ref="A1260:K1260"/>
    <mergeCell ref="C1261:K1261"/>
    <mergeCell ref="C1264:K1264"/>
    <mergeCell ref="A1280:K1280"/>
    <mergeCell ref="C1281:K1281"/>
    <mergeCell ref="C1284:K1284"/>
    <mergeCell ref="A1300:K1300"/>
    <mergeCell ref="C1301:K1301"/>
    <mergeCell ref="A976:K976"/>
    <mergeCell ref="C977:K977"/>
    <mergeCell ref="C982:K982"/>
    <mergeCell ref="A988:K988"/>
    <mergeCell ref="C989:K989"/>
    <mergeCell ref="C992:K992"/>
    <mergeCell ref="A1008:K1008"/>
    <mergeCell ref="C1009:K1009"/>
    <mergeCell ref="C1012:K1012"/>
    <mergeCell ref="A1028:K1028"/>
    <mergeCell ref="C1029:K1029"/>
    <mergeCell ref="C1034:K1034"/>
    <mergeCell ref="A1045:K1045"/>
    <mergeCell ref="C1046:K1046"/>
    <mergeCell ref="C1051:K1051"/>
    <mergeCell ref="A1057:K1057"/>
    <mergeCell ref="C1058:K1058"/>
    <mergeCell ref="C1065:K1065"/>
    <mergeCell ref="A1067:K1067"/>
    <mergeCell ref="C1068:K1068"/>
    <mergeCell ref="C1071:K1071"/>
    <mergeCell ref="A1087:K1087"/>
    <mergeCell ref="C1088:K1088"/>
    <mergeCell ref="C1091:K1091"/>
    <mergeCell ref="A1104:K1104"/>
    <mergeCell ref="C1105:K1105"/>
    <mergeCell ref="C1108:K1108"/>
    <mergeCell ref="A1124:K1124"/>
    <mergeCell ref="C1125:K1125"/>
    <mergeCell ref="C1128:K1128"/>
    <mergeCell ref="A1140:K1140"/>
    <mergeCell ref="C1141:K1141"/>
    <mergeCell ref="C1144:K1144"/>
    <mergeCell ref="A1160:K1160"/>
    <mergeCell ref="C1161:K1161"/>
    <mergeCell ref="C1164:K1164"/>
    <mergeCell ref="A1180:K1180"/>
    <mergeCell ref="C1181:K1181"/>
    <mergeCell ref="C1184:K1184"/>
    <mergeCell ref="A1200:K1200"/>
    <mergeCell ref="C1201:K1201"/>
    <mergeCell ref="C1204:K1204"/>
    <mergeCell ref="C1304:K1304"/>
    <mergeCell ref="A1320:K1320"/>
    <mergeCell ref="C1321:K1321"/>
    <mergeCell ref="C1324:K1324"/>
    <mergeCell ref="A1340:K1340"/>
    <mergeCell ref="C1341:K1341"/>
    <mergeCell ref="C1344:K1344"/>
    <mergeCell ref="C259:K259"/>
    <mergeCell ref="C264:K264"/>
    <mergeCell ref="A275:K275"/>
    <mergeCell ref="C276:K276"/>
    <mergeCell ref="C279:K279"/>
    <mergeCell ref="A295:K295"/>
    <mergeCell ref="C296:K296"/>
    <mergeCell ref="C299:K299"/>
    <mergeCell ref="A312:K312"/>
    <mergeCell ref="C313:K313"/>
    <mergeCell ref="C316:K316"/>
    <mergeCell ref="A329:K329"/>
    <mergeCell ref="C330:K330"/>
    <mergeCell ref="C333:K333"/>
    <mergeCell ref="A346:K346"/>
    <mergeCell ref="C347:K347"/>
    <mergeCell ref="C350:K350"/>
    <mergeCell ref="A363:K363"/>
    <mergeCell ref="C364:K364"/>
    <mergeCell ref="C369:K369"/>
    <mergeCell ref="A373:K373"/>
    <mergeCell ref="C374:K374"/>
    <mergeCell ref="C379:K379"/>
    <mergeCell ref="A390:K390"/>
    <mergeCell ref="C391:K391"/>
    <mergeCell ref="C396:K396"/>
    <mergeCell ref="A404:K404"/>
    <mergeCell ref="C405:K405"/>
    <mergeCell ref="A1:K1"/>
    <mergeCell ref="C2:K2"/>
    <mergeCell ref="A39:K39"/>
    <mergeCell ref="C40:K40"/>
    <mergeCell ref="A56:K56"/>
    <mergeCell ref="C57:K57"/>
    <mergeCell ref="A70:K70"/>
    <mergeCell ref="C71:K71"/>
    <mergeCell ref="C74:K74"/>
    <mergeCell ref="A80:K80"/>
    <mergeCell ref="C81:K81"/>
    <mergeCell ref="C86:K86"/>
    <mergeCell ref="A94:K94"/>
    <mergeCell ref="C95:K95"/>
    <mergeCell ref="C100:K100"/>
    <mergeCell ref="A111:O111"/>
    <mergeCell ref="G112:O112"/>
    <mergeCell ref="A130:K130"/>
    <mergeCell ref="C131:K131"/>
    <mergeCell ref="C134:K134"/>
    <mergeCell ref="A147:K147"/>
    <mergeCell ref="C148:K148"/>
    <mergeCell ref="C151:K151"/>
    <mergeCell ref="A161:K161"/>
    <mergeCell ref="C162:K162"/>
    <mergeCell ref="C165:K165"/>
    <mergeCell ref="A178:K178"/>
    <mergeCell ref="C179:K179"/>
    <mergeCell ref="C186:K186"/>
    <mergeCell ref="A192:K192"/>
    <mergeCell ref="C193:K193"/>
    <mergeCell ref="C196:K196"/>
    <mergeCell ref="A209:K209"/>
    <mergeCell ref="C210:K210"/>
    <mergeCell ref="C213:K213"/>
    <mergeCell ref="A221:K221"/>
    <mergeCell ref="C222:K222"/>
    <mergeCell ref="C225:K225"/>
    <mergeCell ref="A241:K241"/>
    <mergeCell ref="C242:K242"/>
    <mergeCell ref="C245:K245"/>
    <mergeCell ref="A258:K258"/>
    <mergeCell ref="C408:K408"/>
    <mergeCell ref="A421:K421"/>
    <mergeCell ref="C422:K422"/>
    <mergeCell ref="C425:K425"/>
    <mergeCell ref="A433:L433"/>
    <mergeCell ref="D434:L434"/>
    <mergeCell ref="D443:L443"/>
    <mergeCell ref="A639:K639"/>
    <mergeCell ref="C640:K640"/>
    <mergeCell ref="C645:K645"/>
    <mergeCell ref="A653:L653"/>
    <mergeCell ref="D654:L654"/>
    <mergeCell ref="D663:L663"/>
    <mergeCell ref="A670:M670"/>
    <mergeCell ref="E671:M671"/>
    <mergeCell ref="E683:M683"/>
    <mergeCell ref="A687:K687"/>
    <mergeCell ref="C688:K688"/>
    <mergeCell ref="C693:K693"/>
    <mergeCell ref="A701:K701"/>
    <mergeCell ref="C702:K702"/>
    <mergeCell ref="A447:L447"/>
    <mergeCell ref="D448:L448"/>
    <mergeCell ref="D454:L454"/>
    <mergeCell ref="A457:K457"/>
    <mergeCell ref="C458:K458"/>
    <mergeCell ref="C461:K461"/>
    <mergeCell ref="A474:L474"/>
    <mergeCell ref="D475:L475"/>
    <mergeCell ref="D484:L484"/>
    <mergeCell ref="A485:K485"/>
    <mergeCell ref="C486:K486"/>
    <mergeCell ref="C491:K491"/>
    <mergeCell ref="A497:K497"/>
    <mergeCell ref="C498:K498"/>
    <mergeCell ref="C501:K501"/>
    <mergeCell ref="A509:K509"/>
    <mergeCell ref="C510:K510"/>
    <mergeCell ref="C513:K513"/>
    <mergeCell ref="A521:K521"/>
    <mergeCell ref="C522:K522"/>
    <mergeCell ref="C527:K527"/>
    <mergeCell ref="A535:K535"/>
    <mergeCell ref="C536:K536"/>
    <mergeCell ref="C543:K543"/>
    <mergeCell ref="A552:K552"/>
    <mergeCell ref="C553:K553"/>
    <mergeCell ref="C558:K558"/>
    <mergeCell ref="A569:K569"/>
    <mergeCell ref="C570:K570"/>
    <mergeCell ref="C573:K573"/>
    <mergeCell ref="A586:K586"/>
    <mergeCell ref="C587:K587"/>
    <mergeCell ref="C592:K592"/>
    <mergeCell ref="A596:K596"/>
    <mergeCell ref="C597:K597"/>
    <mergeCell ref="C604:K604"/>
    <mergeCell ref="A610:K610"/>
    <mergeCell ref="C611:K611"/>
    <mergeCell ref="C616:K616"/>
    <mergeCell ref="A627:K627"/>
    <mergeCell ref="C628:K628"/>
    <mergeCell ref="C633:K633"/>
    <mergeCell ref="C705:K705"/>
    <mergeCell ref="A718:K718"/>
    <mergeCell ref="C719:K719"/>
    <mergeCell ref="C722:K722"/>
    <mergeCell ref="A735:K735"/>
    <mergeCell ref="C736:K736"/>
    <mergeCell ref="C739:K739"/>
    <mergeCell ref="A752:K752"/>
    <mergeCell ref="C753:K753"/>
    <mergeCell ref="C756:K756"/>
    <mergeCell ref="A769:K769"/>
    <mergeCell ref="C770:K770"/>
    <mergeCell ref="C773:K773"/>
    <mergeCell ref="A786:K786"/>
    <mergeCell ref="C787:K787"/>
    <mergeCell ref="C790:K790"/>
    <mergeCell ref="A803:K803"/>
    <mergeCell ref="C804:K804"/>
    <mergeCell ref="C807:K807"/>
    <mergeCell ref="A817:K817"/>
    <mergeCell ref="C818:K818"/>
    <mergeCell ref="C823:K823"/>
    <mergeCell ref="A831:K831"/>
    <mergeCell ref="C832:K832"/>
    <mergeCell ref="L833:V833"/>
    <mergeCell ref="N834:V834"/>
    <mergeCell ref="A848:K848"/>
    <mergeCell ref="C849:K849"/>
    <mergeCell ref="C854:K854"/>
    <mergeCell ref="A860:K860"/>
    <mergeCell ref="C861:K861"/>
    <mergeCell ref="C866:K866"/>
    <mergeCell ref="A877:K877"/>
    <mergeCell ref="C878:K878"/>
    <mergeCell ref="C881:K881"/>
    <mergeCell ref="A887:K887"/>
    <mergeCell ref="C888:K888"/>
    <mergeCell ref="C891:K891"/>
    <mergeCell ref="A904:K904"/>
    <mergeCell ref="C905:K905"/>
    <mergeCell ref="C910:K910"/>
    <mergeCell ref="A914:K914"/>
    <mergeCell ref="C915:K915"/>
    <mergeCell ref="C918:K918"/>
    <mergeCell ref="A922:K922"/>
    <mergeCell ref="C923:K923"/>
    <mergeCell ref="C930:K930"/>
    <mergeCell ref="A932:K932"/>
    <mergeCell ref="C933:K933"/>
    <mergeCell ref="C938:K938"/>
    <mergeCell ref="A944:K944"/>
    <mergeCell ref="C945:K945"/>
    <mergeCell ref="C948:K948"/>
    <mergeCell ref="A964:K964"/>
    <mergeCell ref="C965:K965"/>
    <mergeCell ref="C970:K970"/>
    <mergeCell ref="A1357:K1357"/>
    <mergeCell ref="C1358:K1358"/>
    <mergeCell ref="C1361:K1361"/>
    <mergeCell ref="A1377:K1377"/>
    <mergeCell ref="C1378:K1378"/>
    <mergeCell ref="C1381:K1381"/>
    <mergeCell ref="A1397:K1397"/>
    <mergeCell ref="C1398:K1398"/>
    <mergeCell ref="C1401:K1401"/>
    <mergeCell ref="A1417:K1417"/>
    <mergeCell ref="C1418:K1418"/>
    <mergeCell ref="C1421:K1421"/>
    <mergeCell ref="A1437:K1437"/>
    <mergeCell ref="C1438:K1438"/>
    <mergeCell ref="C1441:K1441"/>
    <mergeCell ref="A1457:K1457"/>
    <mergeCell ref="C1458:K1458"/>
    <mergeCell ref="C1461:K1461"/>
    <mergeCell ref="A1477:K1477"/>
    <mergeCell ref="C1478:K1478"/>
    <mergeCell ref="C1481:K1481"/>
    <mergeCell ref="A1497:K1497"/>
    <mergeCell ref="C1498:K1498"/>
    <mergeCell ref="C1501:K1501"/>
    <mergeCell ref="A1517:K1517"/>
    <mergeCell ref="C1518:K1518"/>
    <mergeCell ref="C1521:K1521"/>
    <mergeCell ref="A1537:K1537"/>
    <mergeCell ref="C1538:K1538"/>
    <mergeCell ref="C1541:K1541"/>
    <mergeCell ref="A1557:K1557"/>
    <mergeCell ref="C1558:K1558"/>
    <mergeCell ref="C1561:K1561"/>
    <mergeCell ref="A1577:K1577"/>
    <mergeCell ref="C1578:K1578"/>
    <mergeCell ref="C1581:K1581"/>
    <mergeCell ref="A1597:K1597"/>
    <mergeCell ref="C1598:K1598"/>
    <mergeCell ref="C1603:K1603"/>
    <mergeCell ref="A1617:K1617"/>
    <mergeCell ref="C1618:K1618"/>
    <mergeCell ref="C1621:K1621"/>
    <mergeCell ref="C1686:K1686"/>
    <mergeCell ref="C1691:K1691"/>
    <mergeCell ref="A1702:K1702"/>
    <mergeCell ref="C1703:K1703"/>
    <mergeCell ref="C1706:K1706"/>
    <mergeCell ref="A1725:K1725"/>
    <mergeCell ref="C1726:K1726"/>
    <mergeCell ref="C1731:K1731"/>
    <mergeCell ref="A1641:K1641"/>
    <mergeCell ref="C1642:K1642"/>
    <mergeCell ref="C1645:K1645"/>
    <mergeCell ref="A1665:K1665"/>
    <mergeCell ref="C1666:K1666"/>
    <mergeCell ref="C1669:K1669"/>
    <mergeCell ref="A1685:K1685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32.88"/>
    <col customWidth="1" min="3" max="3" width="37.38"/>
    <col customWidth="1" min="4" max="4" width="38.0"/>
    <col customWidth="1" min="5" max="5" width="37.5"/>
    <col customWidth="1" min="6" max="6" width="39.75"/>
    <col customWidth="1" min="7" max="7" width="31.13"/>
    <col customWidth="1" min="8" max="8" width="44.38"/>
    <col customWidth="1" min="9" max="9" width="16.38"/>
    <col customWidth="1" min="10" max="10" width="21.0"/>
    <col customWidth="1" min="11" max="11" width="24.38"/>
    <col customWidth="1" min="12" max="12" width="14.0"/>
    <col customWidth="1" min="13" max="13" width="23.75"/>
    <col customWidth="1" min="14" max="14" width="23.5"/>
    <col customWidth="1" min="17" max="17" width="20.88"/>
    <col customWidth="1" min="18" max="18" width="24.75"/>
    <col customWidth="1" min="19" max="19" width="19.13"/>
    <col customWidth="1" min="20" max="20" width="22.0"/>
  </cols>
  <sheetData>
    <row r="1">
      <c r="A1" s="440" t="s">
        <v>11493</v>
      </c>
    </row>
    <row r="2">
      <c r="A2" s="256" t="s">
        <v>8090</v>
      </c>
      <c r="B2" s="256" t="s">
        <v>8091</v>
      </c>
      <c r="C2" s="256" t="s">
        <v>7946</v>
      </c>
      <c r="D2" s="256" t="s">
        <v>8092</v>
      </c>
      <c r="E2" s="256" t="s">
        <v>8093</v>
      </c>
      <c r="F2" s="256" t="s">
        <v>7944</v>
      </c>
      <c r="G2" s="256" t="s">
        <v>8094</v>
      </c>
      <c r="H2" s="256" t="s">
        <v>8095</v>
      </c>
      <c r="I2" s="256" t="s">
        <v>8096</v>
      </c>
      <c r="J2" s="256" t="s">
        <v>8097</v>
      </c>
      <c r="K2" s="256" t="s">
        <v>11494</v>
      </c>
      <c r="L2" s="256" t="s">
        <v>8099</v>
      </c>
      <c r="M2" s="256" t="s">
        <v>8100</v>
      </c>
      <c r="N2" s="256" t="s">
        <v>8101</v>
      </c>
      <c r="O2" s="256" t="s">
        <v>16</v>
      </c>
      <c r="P2" s="256" t="s">
        <v>7947</v>
      </c>
      <c r="Q2" s="256" t="s">
        <v>105</v>
      </c>
      <c r="R2" s="256" t="s">
        <v>8102</v>
      </c>
      <c r="S2" s="256" t="s">
        <v>7945</v>
      </c>
      <c r="T2" s="256" t="s">
        <v>11495</v>
      </c>
      <c r="U2" s="77"/>
      <c r="V2" s="77"/>
      <c r="W2" s="77"/>
      <c r="X2" s="77"/>
      <c r="Y2" s="77"/>
      <c r="Z2" s="77"/>
      <c r="AA2" s="77"/>
      <c r="AB2" s="77"/>
      <c r="AC2" s="77"/>
    </row>
    <row r="3">
      <c r="A3" s="31" t="s">
        <v>423</v>
      </c>
      <c r="B3" s="31" t="s">
        <v>1787</v>
      </c>
      <c r="C3" s="31" t="s">
        <v>1263</v>
      </c>
      <c r="D3" s="31" t="s">
        <v>1591</v>
      </c>
      <c r="E3" s="31" t="s">
        <v>11496</v>
      </c>
      <c r="F3" s="31" t="s">
        <v>1952</v>
      </c>
      <c r="G3" s="31" t="s">
        <v>2057</v>
      </c>
      <c r="H3" s="31" t="s">
        <v>10016</v>
      </c>
      <c r="I3" s="31" t="s">
        <v>2489</v>
      </c>
      <c r="J3" s="31" t="s">
        <v>2624</v>
      </c>
      <c r="K3" s="31" t="s">
        <v>11497</v>
      </c>
      <c r="L3" s="31" t="s">
        <v>3142</v>
      </c>
      <c r="M3" s="31" t="s">
        <v>1155</v>
      </c>
      <c r="N3" s="31" t="s">
        <v>8105</v>
      </c>
      <c r="O3" s="31" t="s">
        <v>3762</v>
      </c>
      <c r="P3" s="31" t="s">
        <v>9669</v>
      </c>
      <c r="Q3" s="31" t="s">
        <v>7948</v>
      </c>
      <c r="R3" s="31" t="s">
        <v>3944</v>
      </c>
      <c r="S3" s="31" t="s">
        <v>11498</v>
      </c>
      <c r="T3" s="31" t="s">
        <v>11499</v>
      </c>
    </row>
    <row r="4">
      <c r="A4" s="31" t="s">
        <v>752</v>
      </c>
      <c r="B4" s="31" t="s">
        <v>8108</v>
      </c>
      <c r="C4" s="31" t="s">
        <v>1265</v>
      </c>
      <c r="D4" s="31" t="s">
        <v>11500</v>
      </c>
      <c r="E4" s="31" t="s">
        <v>1859</v>
      </c>
      <c r="F4" s="31" t="s">
        <v>6325</v>
      </c>
      <c r="G4" s="31" t="s">
        <v>11501</v>
      </c>
      <c r="H4" s="31" t="s">
        <v>11502</v>
      </c>
      <c r="I4" s="31" t="s">
        <v>11503</v>
      </c>
      <c r="J4" s="31" t="s">
        <v>2649</v>
      </c>
      <c r="K4" s="31" t="s">
        <v>11504</v>
      </c>
      <c r="L4" s="31" t="s">
        <v>2371</v>
      </c>
      <c r="M4" s="31" t="s">
        <v>1179</v>
      </c>
      <c r="N4" s="31" t="s">
        <v>8111</v>
      </c>
      <c r="O4" s="31" t="s">
        <v>11505</v>
      </c>
      <c r="P4" s="31" t="s">
        <v>11506</v>
      </c>
      <c r="Q4" s="31" t="s">
        <v>11507</v>
      </c>
      <c r="R4" s="31" t="s">
        <v>11508</v>
      </c>
      <c r="S4" s="31" t="s">
        <v>9539</v>
      </c>
      <c r="T4" s="31" t="s">
        <v>2779</v>
      </c>
    </row>
    <row r="5">
      <c r="A5" s="31" t="s">
        <v>10506</v>
      </c>
      <c r="B5" s="31" t="s">
        <v>1230</v>
      </c>
      <c r="C5" s="31" t="s">
        <v>7953</v>
      </c>
      <c r="E5" s="31" t="s">
        <v>11509</v>
      </c>
      <c r="F5" s="31" t="s">
        <v>11510</v>
      </c>
      <c r="G5" s="31" t="s">
        <v>11511</v>
      </c>
      <c r="H5" s="31" t="s">
        <v>11512</v>
      </c>
      <c r="I5" s="31" t="s">
        <v>1496</v>
      </c>
      <c r="J5" s="31" t="s">
        <v>2730</v>
      </c>
      <c r="K5" s="31" t="s">
        <v>11513</v>
      </c>
      <c r="L5" s="31" t="s">
        <v>770</v>
      </c>
      <c r="M5" s="31" t="s">
        <v>11514</v>
      </c>
      <c r="N5" s="31" t="s">
        <v>3729</v>
      </c>
      <c r="P5" s="31" t="s">
        <v>11515</v>
      </c>
      <c r="Q5" s="31" t="s">
        <v>11516</v>
      </c>
      <c r="R5" s="31" t="s">
        <v>11517</v>
      </c>
      <c r="S5" s="31" t="s">
        <v>11518</v>
      </c>
      <c r="T5" s="31" t="s">
        <v>11519</v>
      </c>
    </row>
    <row r="6">
      <c r="A6" s="31" t="s">
        <v>824</v>
      </c>
      <c r="B6" s="31" t="s">
        <v>10391</v>
      </c>
      <c r="C6" s="31" t="s">
        <v>1272</v>
      </c>
      <c r="E6" s="31" t="s">
        <v>5010</v>
      </c>
      <c r="F6" s="31" t="s">
        <v>11520</v>
      </c>
      <c r="G6" s="31" t="s">
        <v>3763</v>
      </c>
      <c r="H6" s="31" t="s">
        <v>6333</v>
      </c>
      <c r="J6" s="31" t="s">
        <v>9470</v>
      </c>
      <c r="K6" s="31" t="s">
        <v>11521</v>
      </c>
      <c r="L6" s="31" t="s">
        <v>3158</v>
      </c>
      <c r="M6" s="31" t="s">
        <v>6852</v>
      </c>
      <c r="N6" s="31" t="s">
        <v>11522</v>
      </c>
      <c r="P6" s="31" t="s">
        <v>11523</v>
      </c>
      <c r="Q6" s="31" t="s">
        <v>11524</v>
      </c>
      <c r="R6" s="31" t="s">
        <v>11376</v>
      </c>
      <c r="S6" s="31" t="s">
        <v>11525</v>
      </c>
      <c r="T6" s="31" t="s">
        <v>11526</v>
      </c>
    </row>
    <row r="7">
      <c r="A7" s="31" t="s">
        <v>9811</v>
      </c>
      <c r="B7" s="31" t="s">
        <v>11527</v>
      </c>
      <c r="C7" s="31" t="s">
        <v>1275</v>
      </c>
      <c r="F7" s="31" t="s">
        <v>11365</v>
      </c>
      <c r="G7" s="31" t="s">
        <v>11528</v>
      </c>
      <c r="H7" s="31" t="s">
        <v>10029</v>
      </c>
      <c r="J7" s="31" t="s">
        <v>2671</v>
      </c>
      <c r="K7" s="31" t="s">
        <v>11529</v>
      </c>
      <c r="L7" s="31" t="s">
        <v>11530</v>
      </c>
      <c r="M7" s="31" t="s">
        <v>6346</v>
      </c>
      <c r="N7" s="31" t="s">
        <v>11531</v>
      </c>
      <c r="P7" s="31" t="s">
        <v>11532</v>
      </c>
      <c r="Q7" s="31" t="s">
        <v>10555</v>
      </c>
      <c r="R7" s="31" t="s">
        <v>11533</v>
      </c>
      <c r="S7" s="31" t="s">
        <v>10725</v>
      </c>
      <c r="T7" s="31" t="s">
        <v>11534</v>
      </c>
    </row>
    <row r="8">
      <c r="A8" s="31" t="s">
        <v>5942</v>
      </c>
      <c r="B8" s="31" t="s">
        <v>1737</v>
      </c>
      <c r="C8" s="31" t="s">
        <v>7963</v>
      </c>
      <c r="F8" s="31" t="s">
        <v>11535</v>
      </c>
      <c r="G8" s="31" t="s">
        <v>10840</v>
      </c>
      <c r="H8" s="31" t="s">
        <v>5945</v>
      </c>
      <c r="J8" s="31" t="s">
        <v>5948</v>
      </c>
      <c r="K8" s="31" t="s">
        <v>11536</v>
      </c>
      <c r="L8" s="31" t="s">
        <v>11537</v>
      </c>
      <c r="M8" s="31" t="s">
        <v>11099</v>
      </c>
      <c r="N8" s="31" t="s">
        <v>11538</v>
      </c>
      <c r="P8" s="31" t="s">
        <v>11539</v>
      </c>
      <c r="Q8" s="31" t="s">
        <v>11540</v>
      </c>
      <c r="R8" s="31" t="s">
        <v>11464</v>
      </c>
      <c r="T8" s="31" t="s">
        <v>11541</v>
      </c>
    </row>
    <row r="9">
      <c r="A9" s="31" t="s">
        <v>660</v>
      </c>
      <c r="B9" s="31" t="s">
        <v>11542</v>
      </c>
      <c r="C9" s="31" t="s">
        <v>11543</v>
      </c>
      <c r="F9" s="31" t="s">
        <v>11264</v>
      </c>
      <c r="G9" s="31" t="s">
        <v>10490</v>
      </c>
      <c r="H9" s="31" t="s">
        <v>11544</v>
      </c>
      <c r="J9" s="31" t="s">
        <v>11545</v>
      </c>
      <c r="K9" s="31" t="s">
        <v>11546</v>
      </c>
      <c r="L9" s="31" t="s">
        <v>11547</v>
      </c>
      <c r="M9" s="31" t="s">
        <v>11548</v>
      </c>
      <c r="N9" s="31" t="s">
        <v>11549</v>
      </c>
      <c r="P9" s="31" t="s">
        <v>10782</v>
      </c>
      <c r="Q9" s="31" t="s">
        <v>10523</v>
      </c>
      <c r="R9" s="31" t="s">
        <v>11403</v>
      </c>
      <c r="T9" s="31" t="s">
        <v>11550</v>
      </c>
    </row>
    <row r="10">
      <c r="A10" s="31" t="s">
        <v>11551</v>
      </c>
      <c r="B10" s="31" t="s">
        <v>11552</v>
      </c>
      <c r="C10" s="31" t="s">
        <v>11553</v>
      </c>
      <c r="G10" s="31" t="s">
        <v>11554</v>
      </c>
      <c r="H10" s="31" t="s">
        <v>11555</v>
      </c>
      <c r="J10" s="31" t="s">
        <v>11556</v>
      </c>
      <c r="K10" s="31" t="s">
        <v>11557</v>
      </c>
      <c r="L10" s="31" t="s">
        <v>11558</v>
      </c>
      <c r="M10" s="31" t="s">
        <v>11559</v>
      </c>
      <c r="N10" s="31" t="s">
        <v>11560</v>
      </c>
      <c r="P10" s="31" t="s">
        <v>9515</v>
      </c>
      <c r="Q10" s="31" t="s">
        <v>9593</v>
      </c>
      <c r="R10" s="31" t="s">
        <v>11561</v>
      </c>
    </row>
    <row r="11">
      <c r="A11" s="31" t="s">
        <v>11562</v>
      </c>
      <c r="B11" s="31" t="s">
        <v>11563</v>
      </c>
      <c r="C11" s="31" t="s">
        <v>7977</v>
      </c>
      <c r="G11" s="31" t="s">
        <v>11564</v>
      </c>
      <c r="H11" s="31" t="s">
        <v>5285</v>
      </c>
      <c r="J11" s="31" t="s">
        <v>11565</v>
      </c>
      <c r="K11" s="31" t="s">
        <v>11566</v>
      </c>
      <c r="L11" s="31" t="s">
        <v>11567</v>
      </c>
      <c r="M11" s="31" t="s">
        <v>11568</v>
      </c>
      <c r="N11" s="31" t="s">
        <v>11569</v>
      </c>
      <c r="P11" s="31" t="s">
        <v>11570</v>
      </c>
      <c r="Q11" s="31" t="s">
        <v>9844</v>
      </c>
      <c r="R11" s="31" t="s">
        <v>11571</v>
      </c>
    </row>
    <row r="12">
      <c r="A12" s="31" t="s">
        <v>11572</v>
      </c>
      <c r="B12" s="31" t="s">
        <v>11573</v>
      </c>
      <c r="C12" s="31" t="s">
        <v>7981</v>
      </c>
      <c r="G12" s="31" t="s">
        <v>11574</v>
      </c>
      <c r="J12" s="31" t="s">
        <v>11575</v>
      </c>
      <c r="L12" s="31" t="s">
        <v>11576</v>
      </c>
      <c r="M12" s="31" t="s">
        <v>11577</v>
      </c>
      <c r="N12" s="31" t="s">
        <v>11578</v>
      </c>
      <c r="P12" s="31" t="s">
        <v>11579</v>
      </c>
      <c r="Q12" s="31" t="s">
        <v>10528</v>
      </c>
      <c r="R12" s="31" t="s">
        <v>4114</v>
      </c>
    </row>
    <row r="13">
      <c r="A13" s="31" t="s">
        <v>5983</v>
      </c>
      <c r="B13" s="31" t="s">
        <v>11580</v>
      </c>
      <c r="C13" s="31" t="s">
        <v>10463</v>
      </c>
      <c r="G13" s="31" t="s">
        <v>11581</v>
      </c>
      <c r="J13" s="31" t="s">
        <v>11582</v>
      </c>
      <c r="L13" s="31" t="s">
        <v>11583</v>
      </c>
      <c r="M13" s="31" t="s">
        <v>11584</v>
      </c>
      <c r="N13" s="31" t="s">
        <v>11585</v>
      </c>
      <c r="Q13" s="31" t="s">
        <v>10530</v>
      </c>
      <c r="R13" s="31" t="s">
        <v>11383</v>
      </c>
    </row>
    <row r="14">
      <c r="A14" s="31" t="s">
        <v>9823</v>
      </c>
      <c r="B14" s="31" t="s">
        <v>11586</v>
      </c>
      <c r="C14" s="31" t="s">
        <v>10470</v>
      </c>
      <c r="G14" s="31" t="s">
        <v>6418</v>
      </c>
      <c r="L14" s="31" t="s">
        <v>11587</v>
      </c>
      <c r="M14" s="31" t="s">
        <v>11588</v>
      </c>
      <c r="N14" s="31" t="s">
        <v>5239</v>
      </c>
      <c r="Q14" s="31" t="s">
        <v>11589</v>
      </c>
      <c r="R14" s="31" t="s">
        <v>11385</v>
      </c>
    </row>
    <row r="15">
      <c r="A15" s="31" t="s">
        <v>9825</v>
      </c>
      <c r="B15" s="31" t="s">
        <v>11590</v>
      </c>
      <c r="C15" s="31" t="s">
        <v>11591</v>
      </c>
      <c r="L15" s="31" t="s">
        <v>11592</v>
      </c>
      <c r="N15" s="31" t="s">
        <v>11593</v>
      </c>
      <c r="Q15" s="31" t="s">
        <v>10566</v>
      </c>
      <c r="R15" s="31" t="s">
        <v>11594</v>
      </c>
    </row>
    <row r="16">
      <c r="A16" s="31" t="s">
        <v>11595</v>
      </c>
      <c r="B16" s="31" t="s">
        <v>11596</v>
      </c>
      <c r="C16" s="31" t="s">
        <v>11597</v>
      </c>
      <c r="L16" s="31" t="s">
        <v>11598</v>
      </c>
      <c r="N16" s="31" t="s">
        <v>5630</v>
      </c>
      <c r="Q16" s="31" t="s">
        <v>11599</v>
      </c>
      <c r="R16" s="31" t="s">
        <v>4540</v>
      </c>
    </row>
    <row r="17">
      <c r="A17" s="31" t="s">
        <v>11600</v>
      </c>
      <c r="B17" s="31" t="s">
        <v>11601</v>
      </c>
      <c r="C17" s="31" t="s">
        <v>10479</v>
      </c>
      <c r="L17" s="31" t="s">
        <v>11602</v>
      </c>
      <c r="N17" s="31" t="s">
        <v>11603</v>
      </c>
      <c r="R17" s="31" t="s">
        <v>9871</v>
      </c>
    </row>
    <row r="18">
      <c r="A18" s="31" t="s">
        <v>11042</v>
      </c>
      <c r="B18" s="31" t="s">
        <v>11604</v>
      </c>
      <c r="C18" s="31" t="s">
        <v>11605</v>
      </c>
      <c r="L18" s="31" t="s">
        <v>11606</v>
      </c>
      <c r="N18" s="31" t="s">
        <v>11607</v>
      </c>
      <c r="R18" s="31" t="s">
        <v>11608</v>
      </c>
    </row>
    <row r="19">
      <c r="A19" s="31" t="s">
        <v>11609</v>
      </c>
      <c r="B19" s="31" t="s">
        <v>11610</v>
      </c>
      <c r="C19" s="31" t="s">
        <v>11611</v>
      </c>
      <c r="L19" s="31" t="s">
        <v>11612</v>
      </c>
    </row>
    <row r="20">
      <c r="A20" s="31" t="s">
        <v>10802</v>
      </c>
      <c r="L20" s="31" t="s">
        <v>11613</v>
      </c>
    </row>
    <row r="21">
      <c r="L21" s="31" t="s">
        <v>11614</v>
      </c>
    </row>
    <row r="22">
      <c r="L22" s="31" t="s">
        <v>11615</v>
      </c>
    </row>
    <row r="23">
      <c r="L23" s="31" t="s">
        <v>11616</v>
      </c>
    </row>
    <row r="30">
      <c r="A30" s="441" t="s">
        <v>11617</v>
      </c>
      <c r="I30" s="442"/>
      <c r="J30" s="442"/>
    </row>
    <row r="31">
      <c r="A31" s="33" t="s">
        <v>369</v>
      </c>
      <c r="B31" s="33" t="s">
        <v>370</v>
      </c>
      <c r="C31" s="33" t="s">
        <v>371</v>
      </c>
      <c r="D31" s="33" t="s">
        <v>372</v>
      </c>
      <c r="E31" s="33" t="s">
        <v>373</v>
      </c>
      <c r="F31" s="33" t="s">
        <v>374</v>
      </c>
      <c r="G31" s="33" t="s">
        <v>375</v>
      </c>
      <c r="H31" s="33" t="s">
        <v>376</v>
      </c>
      <c r="I31" s="103"/>
      <c r="J31" s="103"/>
    </row>
    <row r="32">
      <c r="A32" s="75" t="s">
        <v>11618</v>
      </c>
      <c r="B32" s="75" t="s">
        <v>11619</v>
      </c>
      <c r="C32" s="75" t="s">
        <v>11620</v>
      </c>
      <c r="D32" s="75" t="s">
        <v>11621</v>
      </c>
      <c r="E32" s="75" t="s">
        <v>11622</v>
      </c>
      <c r="F32" s="75" t="s">
        <v>11623</v>
      </c>
      <c r="G32" s="75" t="s">
        <v>11624</v>
      </c>
      <c r="H32" s="75" t="s">
        <v>11625</v>
      </c>
      <c r="I32" s="105"/>
    </row>
    <row r="33">
      <c r="A33" s="75" t="s">
        <v>11626</v>
      </c>
      <c r="B33" s="75" t="s">
        <v>11627</v>
      </c>
      <c r="C33" s="75" t="s">
        <v>11628</v>
      </c>
      <c r="D33" s="75" t="s">
        <v>11629</v>
      </c>
      <c r="E33" s="75" t="s">
        <v>11630</v>
      </c>
      <c r="F33" s="75" t="s">
        <v>11631</v>
      </c>
      <c r="G33" s="75" t="s">
        <v>11632</v>
      </c>
      <c r="H33" s="75" t="s">
        <v>11633</v>
      </c>
      <c r="I33" s="105"/>
    </row>
    <row r="34">
      <c r="A34" s="75" t="s">
        <v>11634</v>
      </c>
      <c r="B34" s="75" t="s">
        <v>11635</v>
      </c>
      <c r="C34" s="75" t="s">
        <v>11636</v>
      </c>
      <c r="D34" s="75" t="s">
        <v>11637</v>
      </c>
      <c r="E34" s="75" t="s">
        <v>11638</v>
      </c>
      <c r="F34" s="75" t="s">
        <v>11639</v>
      </c>
      <c r="G34" s="75" t="s">
        <v>11640</v>
      </c>
      <c r="H34" s="75" t="s">
        <v>11641</v>
      </c>
      <c r="I34" s="105"/>
    </row>
    <row r="35">
      <c r="A35" s="75" t="s">
        <v>11642</v>
      </c>
      <c r="B35" s="75" t="s">
        <v>11643</v>
      </c>
      <c r="C35" s="75" t="s">
        <v>11644</v>
      </c>
      <c r="D35" s="75" t="s">
        <v>11645</v>
      </c>
      <c r="E35" s="75" t="s">
        <v>11646</v>
      </c>
      <c r="F35" s="75" t="s">
        <v>11647</v>
      </c>
      <c r="G35" s="75" t="s">
        <v>11648</v>
      </c>
      <c r="H35" s="75" t="s">
        <v>11649</v>
      </c>
      <c r="I35" s="105"/>
    </row>
    <row r="36">
      <c r="A36" s="75" t="s">
        <v>11650</v>
      </c>
      <c r="B36" s="75" t="s">
        <v>11651</v>
      </c>
      <c r="C36" s="75" t="s">
        <v>11652</v>
      </c>
      <c r="D36" s="75" t="s">
        <v>11653</v>
      </c>
      <c r="E36" s="75" t="s">
        <v>11654</v>
      </c>
      <c r="F36" s="75" t="s">
        <v>11655</v>
      </c>
      <c r="G36" s="75" t="s">
        <v>11656</v>
      </c>
      <c r="H36" s="75" t="s">
        <v>11657</v>
      </c>
      <c r="I36" s="105"/>
    </row>
    <row r="37">
      <c r="A37" s="75" t="s">
        <v>11658</v>
      </c>
      <c r="B37" s="75" t="s">
        <v>11659</v>
      </c>
      <c r="C37" s="75" t="s">
        <v>11660</v>
      </c>
      <c r="D37" s="75" t="s">
        <v>11661</v>
      </c>
      <c r="E37" s="75" t="s">
        <v>11662</v>
      </c>
      <c r="F37" s="31" t="s">
        <v>11663</v>
      </c>
      <c r="G37" s="75" t="s">
        <v>11664</v>
      </c>
      <c r="H37" s="75" t="s">
        <v>11665</v>
      </c>
      <c r="I37" s="105"/>
    </row>
    <row r="38">
      <c r="A38" s="75" t="s">
        <v>11666</v>
      </c>
      <c r="B38" s="75" t="s">
        <v>11667</v>
      </c>
      <c r="C38" s="75" t="s">
        <v>11668</v>
      </c>
      <c r="D38" s="75" t="s">
        <v>11669</v>
      </c>
      <c r="E38" s="75" t="s">
        <v>11670</v>
      </c>
      <c r="F38" s="75" t="s">
        <v>11671</v>
      </c>
      <c r="G38" s="75" t="s">
        <v>11672</v>
      </c>
      <c r="H38" s="75" t="s">
        <v>11673</v>
      </c>
      <c r="I38" s="105"/>
    </row>
    <row r="39">
      <c r="A39" s="75" t="s">
        <v>11674</v>
      </c>
      <c r="B39" s="75" t="s">
        <v>11675</v>
      </c>
      <c r="C39" s="75" t="s">
        <v>11676</v>
      </c>
      <c r="D39" s="75" t="s">
        <v>11677</v>
      </c>
      <c r="E39" s="75" t="s">
        <v>11678</v>
      </c>
      <c r="F39" s="75" t="s">
        <v>11679</v>
      </c>
      <c r="G39" s="75" t="s">
        <v>11680</v>
      </c>
      <c r="H39" s="75" t="s">
        <v>11681</v>
      </c>
      <c r="I39" s="105"/>
    </row>
    <row r="40">
      <c r="A40" s="75" t="s">
        <v>11682</v>
      </c>
      <c r="B40" s="75" t="s">
        <v>11683</v>
      </c>
      <c r="C40" s="75" t="s">
        <v>11684</v>
      </c>
      <c r="D40" s="75" t="s">
        <v>11685</v>
      </c>
      <c r="E40" s="75" t="s">
        <v>11686</v>
      </c>
      <c r="F40" s="75" t="s">
        <v>11687</v>
      </c>
      <c r="G40" s="75" t="s">
        <v>11688</v>
      </c>
      <c r="H40" s="75" t="s">
        <v>11689</v>
      </c>
      <c r="I40" s="105"/>
    </row>
    <row r="41">
      <c r="A41" s="75" t="s">
        <v>11690</v>
      </c>
      <c r="B41" s="75" t="s">
        <v>11691</v>
      </c>
      <c r="C41" s="75" t="s">
        <v>11692</v>
      </c>
      <c r="D41" s="75" t="s">
        <v>11693</v>
      </c>
      <c r="E41" s="75" t="s">
        <v>11694</v>
      </c>
      <c r="F41" s="75" t="s">
        <v>11695</v>
      </c>
      <c r="G41" s="75" t="s">
        <v>11696</v>
      </c>
      <c r="H41" s="75" t="s">
        <v>11697</v>
      </c>
      <c r="I41" s="105"/>
    </row>
    <row r="42">
      <c r="A42" s="75" t="s">
        <v>11698</v>
      </c>
      <c r="B42" s="75" t="s">
        <v>11699</v>
      </c>
      <c r="C42" s="75" t="s">
        <v>11700</v>
      </c>
      <c r="D42" s="75" t="s">
        <v>11701</v>
      </c>
      <c r="E42" s="75" t="s">
        <v>11702</v>
      </c>
      <c r="F42" s="75" t="s">
        <v>11703</v>
      </c>
      <c r="G42" s="75" t="s">
        <v>11704</v>
      </c>
      <c r="H42" s="75" t="s">
        <v>11705</v>
      </c>
      <c r="I42" s="105"/>
    </row>
    <row r="43">
      <c r="A43" s="75" t="s">
        <v>11706</v>
      </c>
      <c r="B43" s="75" t="s">
        <v>11707</v>
      </c>
      <c r="C43" s="75" t="s">
        <v>11708</v>
      </c>
      <c r="D43" s="75" t="s">
        <v>11709</v>
      </c>
      <c r="E43" s="75" t="s">
        <v>11710</v>
      </c>
      <c r="F43" s="75" t="s">
        <v>11711</v>
      </c>
      <c r="G43" s="75" t="s">
        <v>11712</v>
      </c>
      <c r="H43" s="75" t="s">
        <v>11713</v>
      </c>
      <c r="I43" s="105"/>
    </row>
    <row r="44">
      <c r="A44" s="75" t="s">
        <v>11714</v>
      </c>
      <c r="B44" s="75" t="s">
        <v>11715</v>
      </c>
      <c r="C44" s="75" t="s">
        <v>11716</v>
      </c>
      <c r="D44" s="75" t="s">
        <v>11717</v>
      </c>
      <c r="E44" s="75" t="s">
        <v>11718</v>
      </c>
      <c r="F44" s="75" t="s">
        <v>11719</v>
      </c>
      <c r="G44" s="75" t="s">
        <v>11720</v>
      </c>
      <c r="H44" s="75" t="s">
        <v>11721</v>
      </c>
      <c r="I44" s="105"/>
    </row>
    <row r="45">
      <c r="A45" s="75" t="s">
        <v>11722</v>
      </c>
      <c r="B45" s="75" t="s">
        <v>11723</v>
      </c>
      <c r="C45" s="75" t="s">
        <v>11724</v>
      </c>
      <c r="D45" s="75" t="s">
        <v>11725</v>
      </c>
      <c r="E45" s="75" t="s">
        <v>11726</v>
      </c>
      <c r="F45" s="75" t="s">
        <v>11727</v>
      </c>
      <c r="G45" s="75" t="s">
        <v>11728</v>
      </c>
      <c r="H45" s="75" t="s">
        <v>11729</v>
      </c>
      <c r="I45" s="105"/>
    </row>
    <row r="46">
      <c r="A46" s="75" t="s">
        <v>11730</v>
      </c>
      <c r="B46" s="75" t="s">
        <v>11731</v>
      </c>
      <c r="C46" s="75" t="s">
        <v>11732</v>
      </c>
      <c r="D46" s="75" t="s">
        <v>11733</v>
      </c>
      <c r="E46" s="75" t="s">
        <v>11734</v>
      </c>
      <c r="F46" s="75" t="s">
        <v>11735</v>
      </c>
      <c r="G46" s="75" t="s">
        <v>11736</v>
      </c>
      <c r="H46" s="75" t="s">
        <v>11737</v>
      </c>
      <c r="I46" s="105"/>
    </row>
    <row r="47">
      <c r="A47" s="75" t="s">
        <v>11738</v>
      </c>
      <c r="B47" s="75" t="s">
        <v>11739</v>
      </c>
      <c r="C47" s="75" t="s">
        <v>11740</v>
      </c>
      <c r="D47" s="75" t="s">
        <v>11741</v>
      </c>
      <c r="E47" s="75" t="s">
        <v>11742</v>
      </c>
      <c r="F47" s="75" t="s">
        <v>11743</v>
      </c>
      <c r="G47" s="75" t="s">
        <v>11744</v>
      </c>
      <c r="H47" s="75" t="s">
        <v>11745</v>
      </c>
      <c r="I47" s="105"/>
    </row>
    <row r="48">
      <c r="A48" s="75" t="s">
        <v>11746</v>
      </c>
      <c r="B48" s="75" t="s">
        <v>11747</v>
      </c>
      <c r="C48" s="75" t="s">
        <v>11748</v>
      </c>
      <c r="D48" s="75" t="s">
        <v>11749</v>
      </c>
      <c r="E48" s="75" t="s">
        <v>11750</v>
      </c>
      <c r="F48" s="75" t="s">
        <v>11751</v>
      </c>
      <c r="G48" s="75" t="s">
        <v>11752</v>
      </c>
      <c r="H48" s="75" t="s">
        <v>11753</v>
      </c>
      <c r="I48" s="105"/>
    </row>
    <row r="49">
      <c r="A49" s="75" t="s">
        <v>11754</v>
      </c>
      <c r="B49" s="75" t="s">
        <v>11755</v>
      </c>
      <c r="C49" s="75" t="s">
        <v>11756</v>
      </c>
      <c r="D49" s="75" t="s">
        <v>11757</v>
      </c>
      <c r="E49" s="75" t="s">
        <v>11758</v>
      </c>
      <c r="F49" s="75" t="s">
        <v>11759</v>
      </c>
      <c r="G49" s="75" t="s">
        <v>11760</v>
      </c>
      <c r="H49" s="75" t="s">
        <v>11761</v>
      </c>
      <c r="I49" s="105"/>
    </row>
    <row r="50">
      <c r="A50" s="75" t="s">
        <v>11762</v>
      </c>
      <c r="B50" s="75" t="s">
        <v>11763</v>
      </c>
      <c r="C50" s="75" t="s">
        <v>11764</v>
      </c>
      <c r="D50" s="75" t="s">
        <v>11765</v>
      </c>
      <c r="E50" s="75" t="s">
        <v>11766</v>
      </c>
      <c r="F50" s="75" t="s">
        <v>11767</v>
      </c>
      <c r="G50" s="31" t="s">
        <v>11768</v>
      </c>
      <c r="H50" s="75" t="s">
        <v>11769</v>
      </c>
      <c r="I50" s="105"/>
    </row>
    <row r="51">
      <c r="A51" s="75" t="s">
        <v>11770</v>
      </c>
      <c r="B51" s="75" t="s">
        <v>11771</v>
      </c>
      <c r="C51" s="75" t="s">
        <v>11772</v>
      </c>
      <c r="D51" s="75" t="s">
        <v>11773</v>
      </c>
      <c r="E51" s="75" t="s">
        <v>11774</v>
      </c>
      <c r="F51" s="75" t="s">
        <v>11775</v>
      </c>
      <c r="G51" s="75" t="s">
        <v>11776</v>
      </c>
      <c r="H51" s="75" t="s">
        <v>11777</v>
      </c>
      <c r="I51" s="105"/>
    </row>
    <row r="52">
      <c r="A52" s="105"/>
      <c r="B52" s="105"/>
      <c r="C52" s="105"/>
      <c r="D52" s="105"/>
      <c r="E52" s="105"/>
      <c r="F52" s="105"/>
      <c r="G52" s="105"/>
      <c r="H52" s="105"/>
      <c r="I52" s="105"/>
    </row>
    <row r="53">
      <c r="A53" s="105"/>
      <c r="B53" s="105"/>
      <c r="C53" s="105"/>
      <c r="D53" s="105"/>
      <c r="E53" s="105"/>
      <c r="F53" s="105"/>
      <c r="G53" s="105"/>
      <c r="H53" s="105"/>
      <c r="I53" s="105"/>
    </row>
    <row r="54">
      <c r="A54" s="149" t="s">
        <v>4701</v>
      </c>
      <c r="I54" s="105"/>
    </row>
    <row r="55">
      <c r="A55" s="379" t="s">
        <v>4319</v>
      </c>
      <c r="B55" s="379" t="s">
        <v>4702</v>
      </c>
      <c r="C55" s="256" t="s">
        <v>4703</v>
      </c>
      <c r="D55" s="379" t="s">
        <v>4320</v>
      </c>
      <c r="E55" s="379" t="s">
        <v>436</v>
      </c>
      <c r="F55" s="379" t="s">
        <v>4704</v>
      </c>
      <c r="G55" s="379" t="s">
        <v>135</v>
      </c>
      <c r="H55" s="379" t="s">
        <v>128</v>
      </c>
      <c r="I55" s="105"/>
    </row>
    <row r="56">
      <c r="A56" s="4" t="s">
        <v>11778</v>
      </c>
      <c r="B56" s="4" t="s">
        <v>10366</v>
      </c>
      <c r="C56" s="4" t="s">
        <v>11779</v>
      </c>
      <c r="D56" s="4" t="s">
        <v>11780</v>
      </c>
      <c r="E56" s="4" t="s">
        <v>239</v>
      </c>
      <c r="F56" s="4" t="s">
        <v>11781</v>
      </c>
      <c r="G56" s="4" t="s">
        <v>11782</v>
      </c>
      <c r="H56" s="4" t="s">
        <v>11783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4" t="s">
        <v>11784</v>
      </c>
      <c r="B57" s="4" t="s">
        <v>10366</v>
      </c>
      <c r="C57" s="4" t="s">
        <v>11785</v>
      </c>
      <c r="D57" s="4" t="s">
        <v>11786</v>
      </c>
      <c r="E57" s="4" t="s">
        <v>11787</v>
      </c>
      <c r="F57" s="4" t="s">
        <v>11788</v>
      </c>
      <c r="G57" s="4" t="s">
        <v>11789</v>
      </c>
      <c r="H57" s="4" t="s">
        <v>11790</v>
      </c>
      <c r="I57" s="8"/>
      <c r="J57" s="8"/>
    </row>
    <row r="58">
      <c r="A58" s="4" t="s">
        <v>11791</v>
      </c>
      <c r="B58" s="4" t="s">
        <v>10370</v>
      </c>
      <c r="C58" s="4" t="s">
        <v>11792</v>
      </c>
      <c r="D58" s="4" t="s">
        <v>970</v>
      </c>
      <c r="E58" s="4" t="s">
        <v>6288</v>
      </c>
      <c r="F58" s="4" t="s">
        <v>11793</v>
      </c>
      <c r="G58" s="4" t="s">
        <v>11794</v>
      </c>
      <c r="H58" s="4" t="s">
        <v>11793</v>
      </c>
      <c r="I58" s="8"/>
      <c r="J58" s="8"/>
    </row>
    <row r="59">
      <c r="A59" s="4" t="s">
        <v>11795</v>
      </c>
      <c r="B59" s="4" t="s">
        <v>10370</v>
      </c>
      <c r="C59" s="4" t="s">
        <v>10582</v>
      </c>
      <c r="D59" s="4" t="s">
        <v>11796</v>
      </c>
      <c r="E59" s="4" t="s">
        <v>5147</v>
      </c>
      <c r="F59" s="4" t="s">
        <v>11797</v>
      </c>
      <c r="G59" s="4" t="s">
        <v>11798</v>
      </c>
      <c r="H59" s="4" t="s">
        <v>11797</v>
      </c>
      <c r="I59" s="8"/>
      <c r="J59" s="8"/>
    </row>
    <row r="60">
      <c r="A60" s="4" t="s">
        <v>11799</v>
      </c>
      <c r="B60" s="4" t="s">
        <v>10374</v>
      </c>
      <c r="C60" s="4" t="s">
        <v>11785</v>
      </c>
      <c r="D60" s="4" t="s">
        <v>11800</v>
      </c>
      <c r="E60" s="4" t="s">
        <v>173</v>
      </c>
      <c r="F60" s="4" t="s">
        <v>11783</v>
      </c>
      <c r="G60" s="4" t="s">
        <v>11801</v>
      </c>
      <c r="H60" s="4" t="s">
        <v>11783</v>
      </c>
      <c r="I60" s="8"/>
      <c r="J60" s="8"/>
    </row>
    <row r="61">
      <c r="A61" s="4" t="s">
        <v>11802</v>
      </c>
      <c r="B61" s="4" t="s">
        <v>10374</v>
      </c>
      <c r="C61" s="4" t="s">
        <v>11779</v>
      </c>
      <c r="D61" s="4" t="s">
        <v>11786</v>
      </c>
      <c r="E61" s="4" t="s">
        <v>11787</v>
      </c>
      <c r="F61" s="4" t="s">
        <v>11803</v>
      </c>
      <c r="G61" s="4" t="s">
        <v>11803</v>
      </c>
      <c r="H61" s="4" t="s">
        <v>11804</v>
      </c>
      <c r="I61" s="8"/>
      <c r="J61" s="8"/>
    </row>
    <row r="62">
      <c r="A62" s="4" t="s">
        <v>11805</v>
      </c>
      <c r="B62" s="4" t="s">
        <v>10331</v>
      </c>
      <c r="C62" s="4" t="s">
        <v>10582</v>
      </c>
      <c r="D62" s="4" t="s">
        <v>11796</v>
      </c>
      <c r="E62" s="4" t="s">
        <v>8361</v>
      </c>
      <c r="F62" s="4" t="s">
        <v>11806</v>
      </c>
      <c r="G62" s="4" t="s">
        <v>11807</v>
      </c>
      <c r="H62" s="4" t="s">
        <v>11808</v>
      </c>
      <c r="I62" s="8"/>
      <c r="J62" s="8"/>
    </row>
    <row r="63">
      <c r="A63" s="4" t="s">
        <v>11809</v>
      </c>
      <c r="B63" s="4" t="s">
        <v>10331</v>
      </c>
      <c r="C63" s="4" t="s">
        <v>11792</v>
      </c>
      <c r="D63" s="4" t="s">
        <v>11810</v>
      </c>
      <c r="E63" s="4" t="s">
        <v>5147</v>
      </c>
      <c r="F63" s="4" t="s">
        <v>11793</v>
      </c>
      <c r="G63" s="4" t="s">
        <v>11811</v>
      </c>
      <c r="H63" s="4" t="s">
        <v>11793</v>
      </c>
      <c r="I63" s="8"/>
      <c r="J63" s="8"/>
    </row>
    <row r="64">
      <c r="A64" s="4" t="s">
        <v>11812</v>
      </c>
      <c r="B64" s="4" t="s">
        <v>10300</v>
      </c>
      <c r="C64" s="4" t="s">
        <v>11779</v>
      </c>
      <c r="D64" s="4" t="s">
        <v>11780</v>
      </c>
      <c r="E64" s="4" t="s">
        <v>239</v>
      </c>
      <c r="F64" s="4" t="s">
        <v>11813</v>
      </c>
      <c r="G64" s="4" t="s">
        <v>11813</v>
      </c>
      <c r="H64" s="4" t="s">
        <v>11814</v>
      </c>
      <c r="I64" s="8"/>
      <c r="J64" s="8"/>
    </row>
    <row r="65">
      <c r="A65" s="4" t="s">
        <v>11815</v>
      </c>
      <c r="B65" s="4" t="s">
        <v>10300</v>
      </c>
      <c r="C65" s="4" t="s">
        <v>11785</v>
      </c>
      <c r="D65" s="4" t="s">
        <v>11786</v>
      </c>
      <c r="E65" s="4" t="s">
        <v>5147</v>
      </c>
      <c r="F65" s="4" t="s">
        <v>11803</v>
      </c>
      <c r="G65" s="4" t="s">
        <v>11803</v>
      </c>
      <c r="H65" s="4" t="s">
        <v>11816</v>
      </c>
      <c r="I65" s="8"/>
      <c r="J65" s="8"/>
    </row>
    <row r="66">
      <c r="A66" s="4" t="s">
        <v>11817</v>
      </c>
      <c r="B66" s="4" t="s">
        <v>10305</v>
      </c>
      <c r="C66" s="4" t="s">
        <v>11792</v>
      </c>
      <c r="D66" s="4" t="s">
        <v>970</v>
      </c>
      <c r="E66" s="4" t="s">
        <v>6288</v>
      </c>
      <c r="F66" s="4" t="s">
        <v>11818</v>
      </c>
      <c r="G66" s="4" t="s">
        <v>11794</v>
      </c>
      <c r="H66" s="4" t="s">
        <v>11818</v>
      </c>
      <c r="I66" s="8"/>
      <c r="J66" s="8"/>
    </row>
    <row r="67">
      <c r="A67" s="4" t="s">
        <v>11819</v>
      </c>
      <c r="B67" s="4" t="s">
        <v>10305</v>
      </c>
      <c r="C67" s="4" t="s">
        <v>10582</v>
      </c>
      <c r="D67" s="4" t="s">
        <v>11820</v>
      </c>
      <c r="E67" s="4" t="s">
        <v>11787</v>
      </c>
      <c r="F67" s="4" t="s">
        <v>11821</v>
      </c>
      <c r="G67" s="4" t="s">
        <v>11822</v>
      </c>
      <c r="H67" s="4" t="s">
        <v>11821</v>
      </c>
      <c r="I67" s="8"/>
      <c r="J67" s="8"/>
    </row>
    <row r="68">
      <c r="A68" s="4" t="s">
        <v>11823</v>
      </c>
      <c r="B68" s="4" t="s">
        <v>9264</v>
      </c>
      <c r="C68" s="4" t="s">
        <v>11785</v>
      </c>
      <c r="D68" s="4" t="s">
        <v>11800</v>
      </c>
      <c r="E68" s="4" t="s">
        <v>11787</v>
      </c>
      <c r="F68" s="4" t="s">
        <v>11816</v>
      </c>
      <c r="G68" s="4" t="s">
        <v>11824</v>
      </c>
      <c r="H68" s="4" t="s">
        <v>11816</v>
      </c>
      <c r="I68" s="8"/>
      <c r="J68" s="8"/>
    </row>
    <row r="69">
      <c r="A69" s="4" t="s">
        <v>11784</v>
      </c>
      <c r="B69" s="4" t="s">
        <v>9264</v>
      </c>
      <c r="C69" s="4" t="s">
        <v>11779</v>
      </c>
      <c r="D69" s="4" t="s">
        <v>11825</v>
      </c>
      <c r="E69" s="4" t="s">
        <v>239</v>
      </c>
      <c r="F69" s="4" t="s">
        <v>11826</v>
      </c>
      <c r="G69" s="4" t="s">
        <v>11827</v>
      </c>
      <c r="H69" s="4" t="s">
        <v>11828</v>
      </c>
      <c r="I69" s="8"/>
      <c r="J69" s="8"/>
    </row>
    <row r="70">
      <c r="A70" s="4" t="s">
        <v>11791</v>
      </c>
      <c r="B70" s="4" t="s">
        <v>10246</v>
      </c>
      <c r="C70" s="4" t="s">
        <v>10582</v>
      </c>
      <c r="D70" s="4" t="s">
        <v>970</v>
      </c>
      <c r="E70" s="4" t="s">
        <v>10719</v>
      </c>
      <c r="F70" s="4" t="s">
        <v>11793</v>
      </c>
      <c r="G70" s="4" t="s">
        <v>11829</v>
      </c>
      <c r="H70" s="4" t="s">
        <v>11793</v>
      </c>
      <c r="I70" s="8"/>
      <c r="J70" s="8"/>
    </row>
    <row r="71">
      <c r="A71" s="4" t="s">
        <v>11795</v>
      </c>
      <c r="B71" s="4" t="s">
        <v>10246</v>
      </c>
      <c r="C71" s="4" t="s">
        <v>11792</v>
      </c>
      <c r="D71" s="4" t="s">
        <v>11830</v>
      </c>
      <c r="E71" s="4" t="s">
        <v>239</v>
      </c>
      <c r="F71" s="4" t="s">
        <v>11831</v>
      </c>
      <c r="G71" s="4" t="s">
        <v>11831</v>
      </c>
      <c r="H71" s="4" t="s">
        <v>11832</v>
      </c>
      <c r="I71" s="8"/>
      <c r="J71" s="8"/>
    </row>
    <row r="72">
      <c r="A72" s="4" t="s">
        <v>11802</v>
      </c>
      <c r="B72" s="4" t="s">
        <v>9278</v>
      </c>
      <c r="C72" s="4" t="s">
        <v>11785</v>
      </c>
      <c r="D72" s="4" t="s">
        <v>11780</v>
      </c>
      <c r="E72" s="4" t="s">
        <v>11787</v>
      </c>
      <c r="F72" s="4" t="s">
        <v>11813</v>
      </c>
      <c r="G72" s="4" t="s">
        <v>11813</v>
      </c>
      <c r="H72" s="4" t="s">
        <v>11813</v>
      </c>
      <c r="I72" s="8"/>
      <c r="J72" s="8"/>
      <c r="K72" s="8"/>
      <c r="L72" s="8"/>
      <c r="M72" s="8"/>
      <c r="N72" s="8"/>
    </row>
    <row r="73">
      <c r="A73" s="4" t="s">
        <v>11799</v>
      </c>
      <c r="B73" s="4" t="s">
        <v>9278</v>
      </c>
      <c r="C73" s="4" t="s">
        <v>11779</v>
      </c>
      <c r="D73" s="4" t="s">
        <v>11800</v>
      </c>
      <c r="E73" s="4" t="s">
        <v>173</v>
      </c>
      <c r="F73" s="4" t="s">
        <v>11816</v>
      </c>
      <c r="G73" s="4" t="s">
        <v>11824</v>
      </c>
      <c r="H73" s="4" t="s">
        <v>11833</v>
      </c>
      <c r="I73" s="8"/>
      <c r="J73" s="8"/>
      <c r="K73" s="8"/>
      <c r="L73" s="8"/>
      <c r="M73" s="8"/>
      <c r="N73" s="8"/>
    </row>
    <row r="74">
      <c r="A74" s="4" t="s">
        <v>11805</v>
      </c>
      <c r="B74" s="4" t="s">
        <v>9282</v>
      </c>
      <c r="C74" s="4" t="s">
        <v>11792</v>
      </c>
      <c r="D74" s="4" t="s">
        <v>11820</v>
      </c>
      <c r="E74" s="4" t="s">
        <v>6288</v>
      </c>
      <c r="F74" s="4" t="s">
        <v>11834</v>
      </c>
      <c r="G74" s="4" t="s">
        <v>11822</v>
      </c>
      <c r="H74" s="4" t="s">
        <v>11834</v>
      </c>
      <c r="I74" s="8"/>
      <c r="J74" s="8"/>
      <c r="K74" s="8"/>
      <c r="L74" s="8"/>
      <c r="M74" s="8"/>
      <c r="N74" s="8"/>
    </row>
    <row r="75">
      <c r="A75" s="4" t="s">
        <v>11835</v>
      </c>
      <c r="B75" s="4" t="s">
        <v>9282</v>
      </c>
      <c r="C75" s="4" t="s">
        <v>10582</v>
      </c>
      <c r="D75" s="4" t="s">
        <v>970</v>
      </c>
      <c r="E75" s="4" t="s">
        <v>9754</v>
      </c>
      <c r="F75" s="4" t="s">
        <v>11836</v>
      </c>
      <c r="G75" s="4" t="s">
        <v>11836</v>
      </c>
      <c r="H75" s="4" t="s">
        <v>11837</v>
      </c>
      <c r="I75" s="8"/>
      <c r="J75" s="8"/>
      <c r="K75" s="8"/>
      <c r="L75" s="8"/>
      <c r="M75" s="8"/>
      <c r="N75" s="8"/>
    </row>
    <row r="76">
      <c r="A76" s="4" t="s">
        <v>11812</v>
      </c>
      <c r="B76" s="4" t="s">
        <v>9286</v>
      </c>
      <c r="C76" s="4" t="s">
        <v>11785</v>
      </c>
      <c r="D76" s="4" t="s">
        <v>11780</v>
      </c>
      <c r="E76" s="4" t="s">
        <v>11787</v>
      </c>
      <c r="F76" s="4" t="s">
        <v>11838</v>
      </c>
      <c r="G76" s="4" t="s">
        <v>11839</v>
      </c>
      <c r="H76" s="4" t="s">
        <v>11838</v>
      </c>
      <c r="I76" s="8"/>
      <c r="J76" s="8"/>
      <c r="K76" s="8"/>
      <c r="L76" s="8"/>
      <c r="M76" s="8"/>
      <c r="N76" s="8"/>
    </row>
    <row r="77">
      <c r="A77" s="4" t="s">
        <v>11815</v>
      </c>
      <c r="B77" s="4" t="s">
        <v>9286</v>
      </c>
      <c r="C77" s="4" t="s">
        <v>11779</v>
      </c>
      <c r="D77" s="4" t="s">
        <v>11800</v>
      </c>
      <c r="E77" s="4" t="s">
        <v>239</v>
      </c>
      <c r="F77" s="4" t="s">
        <v>11783</v>
      </c>
      <c r="G77" s="4" t="s">
        <v>11840</v>
      </c>
      <c r="H77" s="4" t="s">
        <v>11841</v>
      </c>
      <c r="I77" s="8"/>
      <c r="J77" s="8"/>
      <c r="K77" s="8"/>
      <c r="L77" s="8"/>
      <c r="M77" s="8"/>
      <c r="N77" s="8"/>
    </row>
    <row r="78">
      <c r="A78" s="4" t="s">
        <v>11817</v>
      </c>
      <c r="B78" s="4" t="s">
        <v>9291</v>
      </c>
      <c r="C78" s="4" t="s">
        <v>11792</v>
      </c>
      <c r="D78" s="4" t="s">
        <v>11796</v>
      </c>
      <c r="E78" s="4" t="s">
        <v>6288</v>
      </c>
      <c r="F78" s="4" t="s">
        <v>11842</v>
      </c>
      <c r="G78" s="4" t="s">
        <v>11842</v>
      </c>
      <c r="H78" s="4" t="s">
        <v>11843</v>
      </c>
      <c r="I78" s="8"/>
      <c r="J78" s="8"/>
      <c r="K78" s="8"/>
      <c r="L78" s="8"/>
      <c r="M78" s="8"/>
      <c r="N78" s="8"/>
    </row>
    <row r="79">
      <c r="A79" s="4" t="s">
        <v>11844</v>
      </c>
      <c r="B79" s="4" t="s">
        <v>9291</v>
      </c>
      <c r="C79" s="4" t="s">
        <v>10582</v>
      </c>
      <c r="D79" s="4" t="s">
        <v>11820</v>
      </c>
      <c r="E79" s="4" t="s">
        <v>9754</v>
      </c>
      <c r="F79" s="4" t="s">
        <v>11845</v>
      </c>
      <c r="G79" s="4" t="s">
        <v>11845</v>
      </c>
      <c r="H79" s="4" t="s">
        <v>11846</v>
      </c>
      <c r="I79" s="8"/>
      <c r="J79" s="8"/>
      <c r="K79" s="8"/>
      <c r="L79" s="8"/>
      <c r="M79" s="8"/>
      <c r="N79" s="8"/>
    </row>
    <row r="80">
      <c r="A80" s="4" t="s">
        <v>11847</v>
      </c>
      <c r="B80" s="4" t="s">
        <v>8928</v>
      </c>
      <c r="C80" s="4" t="s">
        <v>11779</v>
      </c>
      <c r="D80" s="4" t="s">
        <v>11820</v>
      </c>
      <c r="E80" s="4" t="s">
        <v>9754</v>
      </c>
      <c r="F80" s="4" t="s">
        <v>11821</v>
      </c>
      <c r="G80" s="4" t="s">
        <v>11845</v>
      </c>
      <c r="H80" s="4" t="s">
        <v>11790</v>
      </c>
      <c r="I80" s="8"/>
      <c r="J80" s="8"/>
      <c r="K80" s="8"/>
      <c r="L80" s="8"/>
      <c r="M80" s="8"/>
      <c r="N80" s="8"/>
    </row>
    <row r="81">
      <c r="A81" s="4" t="s">
        <v>11848</v>
      </c>
      <c r="B81" s="4" t="s">
        <v>8928</v>
      </c>
      <c r="C81" s="4" t="s">
        <v>10582</v>
      </c>
      <c r="D81" s="4" t="s">
        <v>11780</v>
      </c>
      <c r="E81" s="4" t="s">
        <v>10719</v>
      </c>
      <c r="F81" s="4" t="s">
        <v>11842</v>
      </c>
      <c r="G81" s="4" t="s">
        <v>11849</v>
      </c>
      <c r="H81" s="4" t="s">
        <v>11842</v>
      </c>
      <c r="I81" s="8"/>
      <c r="J81" s="8"/>
      <c r="K81" s="8"/>
      <c r="L81" s="8"/>
      <c r="M81" s="8"/>
      <c r="N81" s="8"/>
    </row>
    <row r="82">
      <c r="A82" s="4" t="s">
        <v>11850</v>
      </c>
      <c r="B82" s="4" t="s">
        <v>9909</v>
      </c>
      <c r="C82" s="4" t="s">
        <v>11785</v>
      </c>
      <c r="D82" s="4" t="s">
        <v>11800</v>
      </c>
      <c r="E82" s="4" t="s">
        <v>239</v>
      </c>
      <c r="F82" s="4" t="s">
        <v>11851</v>
      </c>
      <c r="G82" s="4" t="s">
        <v>11851</v>
      </c>
      <c r="H82" s="4" t="s">
        <v>11852</v>
      </c>
      <c r="I82" s="8"/>
      <c r="J82" s="8"/>
      <c r="K82" s="8"/>
      <c r="L82" s="8"/>
      <c r="M82" s="8"/>
      <c r="N82" s="8"/>
    </row>
    <row r="83">
      <c r="A83" s="4" t="s">
        <v>11853</v>
      </c>
      <c r="B83" s="4" t="s">
        <v>9304</v>
      </c>
      <c r="C83" s="4" t="s">
        <v>11792</v>
      </c>
      <c r="D83" s="4" t="s">
        <v>970</v>
      </c>
      <c r="E83" s="4" t="s">
        <v>4402</v>
      </c>
      <c r="F83" s="4" t="s">
        <v>11854</v>
      </c>
      <c r="G83" s="4" t="s">
        <v>11855</v>
      </c>
      <c r="H83" s="4" t="s">
        <v>11854</v>
      </c>
      <c r="I83" s="8"/>
      <c r="J83" s="8"/>
      <c r="K83" s="8"/>
      <c r="L83" s="8"/>
      <c r="M83" s="8"/>
      <c r="N83" s="8"/>
    </row>
    <row r="84">
      <c r="A84" s="4" t="s">
        <v>11856</v>
      </c>
      <c r="B84" s="4" t="s">
        <v>9311</v>
      </c>
      <c r="C84" s="4" t="s">
        <v>11785</v>
      </c>
      <c r="D84" s="4" t="s">
        <v>970</v>
      </c>
      <c r="E84" s="4" t="s">
        <v>5147</v>
      </c>
      <c r="F84" s="4" t="s">
        <v>11854</v>
      </c>
      <c r="G84" s="4" t="s">
        <v>11857</v>
      </c>
      <c r="H84" s="4" t="s">
        <v>11854</v>
      </c>
      <c r="I84" s="8"/>
      <c r="J84" s="8"/>
      <c r="K84" s="8"/>
      <c r="L84" s="8"/>
      <c r="M84" s="8"/>
      <c r="N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>
      <c r="A87" s="443" t="s">
        <v>11858</v>
      </c>
      <c r="F87" s="8"/>
      <c r="G87" s="8"/>
      <c r="H87" s="8"/>
      <c r="I87" s="8"/>
      <c r="J87" s="8"/>
      <c r="K87" s="8"/>
      <c r="L87" s="8"/>
      <c r="M87" s="8"/>
      <c r="N87" s="8"/>
    </row>
    <row r="88">
      <c r="A88" s="251" t="s">
        <v>111</v>
      </c>
      <c r="B88" s="251" t="s">
        <v>112</v>
      </c>
      <c r="C88" s="251" t="s">
        <v>113</v>
      </c>
      <c r="D88" s="251" t="s">
        <v>114</v>
      </c>
      <c r="E88" s="251" t="s">
        <v>4406</v>
      </c>
      <c r="F88" s="8"/>
      <c r="G88" s="8"/>
      <c r="H88" s="8"/>
      <c r="I88" s="8"/>
      <c r="J88" s="8"/>
      <c r="K88" s="8"/>
      <c r="L88" s="8"/>
      <c r="M88" s="8"/>
      <c r="N88" s="8"/>
    </row>
    <row r="89">
      <c r="A89" s="4" t="s">
        <v>117</v>
      </c>
      <c r="B89" s="4" t="s">
        <v>11859</v>
      </c>
      <c r="C89" s="4" t="s">
        <v>11780</v>
      </c>
      <c r="D89" s="4" t="s">
        <v>12</v>
      </c>
      <c r="E89" s="4">
        <v>150000.0</v>
      </c>
      <c r="F89" s="8"/>
      <c r="G89" s="8"/>
      <c r="H89" s="8"/>
      <c r="I89" s="8"/>
      <c r="J89" s="8"/>
      <c r="K89" s="8"/>
      <c r="L89" s="8"/>
      <c r="M89" s="8"/>
      <c r="N89" s="8"/>
    </row>
    <row r="90">
      <c r="A90" s="4" t="s">
        <v>124</v>
      </c>
      <c r="B90" s="4" t="s">
        <v>4402</v>
      </c>
      <c r="C90" s="4" t="s">
        <v>11820</v>
      </c>
      <c r="D90" s="4" t="s">
        <v>13</v>
      </c>
      <c r="E90" s="4">
        <v>150000.0</v>
      </c>
      <c r="F90" s="8"/>
      <c r="G90" s="8"/>
      <c r="H90" s="8"/>
      <c r="I90" s="8"/>
      <c r="J90" s="8"/>
      <c r="K90" s="8"/>
      <c r="L90" s="8"/>
      <c r="M90" s="8"/>
      <c r="N90" s="8"/>
    </row>
    <row r="91">
      <c r="A91" s="4" t="s">
        <v>128</v>
      </c>
      <c r="B91" s="4" t="s">
        <v>11860</v>
      </c>
      <c r="C91" s="4" t="s">
        <v>11861</v>
      </c>
      <c r="D91" s="4" t="s">
        <v>11862</v>
      </c>
      <c r="E91" s="4">
        <v>300000.0</v>
      </c>
      <c r="F91" s="8"/>
      <c r="G91" s="8"/>
      <c r="H91" s="8"/>
      <c r="I91" s="8"/>
      <c r="J91" s="8"/>
      <c r="K91" s="8"/>
      <c r="L91" s="8"/>
      <c r="M91" s="8"/>
      <c r="N91" s="8"/>
    </row>
    <row r="92">
      <c r="A92" s="4" t="s">
        <v>135</v>
      </c>
      <c r="B92" s="4" t="s">
        <v>4402</v>
      </c>
      <c r="C92" s="4" t="s">
        <v>11820</v>
      </c>
      <c r="D92" s="4" t="s">
        <v>13</v>
      </c>
      <c r="E92" s="4">
        <v>300000.0</v>
      </c>
      <c r="F92" s="8"/>
      <c r="G92" s="8"/>
      <c r="H92" s="8"/>
      <c r="I92" s="8"/>
      <c r="J92" s="8"/>
      <c r="K92" s="8"/>
      <c r="L92" s="8"/>
      <c r="M92" s="8"/>
      <c r="N92" s="8"/>
    </row>
    <row r="93">
      <c r="A93" s="4" t="s">
        <v>140</v>
      </c>
      <c r="B93" s="4" t="s">
        <v>268</v>
      </c>
      <c r="C93" s="4" t="s">
        <v>11800</v>
      </c>
      <c r="D93" s="4" t="s">
        <v>4</v>
      </c>
      <c r="E93" s="4">
        <v>540000.0</v>
      </c>
      <c r="F93" s="8"/>
      <c r="G93" s="8"/>
      <c r="H93" s="8"/>
      <c r="I93" s="8"/>
      <c r="J93" s="8"/>
      <c r="K93" s="8"/>
      <c r="L93" s="8"/>
      <c r="M93" s="8"/>
      <c r="N93" s="8"/>
    </row>
    <row r="94">
      <c r="A94" s="4" t="s">
        <v>167</v>
      </c>
      <c r="B94" s="4" t="s">
        <v>11825</v>
      </c>
      <c r="E94" s="4">
        <v>675000.0</v>
      </c>
      <c r="F94" s="8"/>
      <c r="G94" s="8"/>
      <c r="H94" s="8"/>
      <c r="I94" s="8"/>
      <c r="J94" s="8"/>
      <c r="K94" s="8"/>
      <c r="L94" s="8"/>
      <c r="M94" s="8"/>
      <c r="N94" s="8"/>
    </row>
    <row r="95">
      <c r="A95" s="4" t="s">
        <v>170</v>
      </c>
      <c r="B95" s="4" t="s">
        <v>11800</v>
      </c>
      <c r="E95" s="4">
        <v>1200000.0</v>
      </c>
      <c r="F95" s="8"/>
      <c r="G95" s="8"/>
      <c r="H95" s="8"/>
      <c r="I95" s="8"/>
      <c r="J95" s="8"/>
      <c r="K95" s="8"/>
      <c r="L95" s="8"/>
      <c r="M95" s="8"/>
      <c r="N95" s="8"/>
    </row>
    <row r="96">
      <c r="A96" s="4" t="s">
        <v>148</v>
      </c>
      <c r="B96" s="4" t="s">
        <v>970</v>
      </c>
      <c r="E96" s="4">
        <v>2400000.0</v>
      </c>
    </row>
  </sheetData>
  <mergeCells count="7">
    <mergeCell ref="A1:T1"/>
    <mergeCell ref="A30:H30"/>
    <mergeCell ref="A54:H54"/>
    <mergeCell ref="A87:E87"/>
    <mergeCell ref="B94:D94"/>
    <mergeCell ref="B95:D95"/>
    <mergeCell ref="B96:D96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39.88"/>
    <col customWidth="1" min="3" max="3" width="35.13"/>
    <col customWidth="1" min="4" max="4" width="39.25"/>
    <col customWidth="1" min="5" max="5" width="36.63"/>
    <col customWidth="1" min="6" max="6" width="43.75"/>
    <col customWidth="1" min="7" max="7" width="40.25"/>
    <col customWidth="1" min="8" max="8" width="41.25"/>
  </cols>
  <sheetData>
    <row r="1">
      <c r="A1" s="444" t="s">
        <v>11863</v>
      </c>
      <c r="I1" s="445"/>
      <c r="J1" s="445"/>
    </row>
    <row r="2">
      <c r="A2" s="2" t="s">
        <v>11864</v>
      </c>
      <c r="B2" s="2" t="s">
        <v>11865</v>
      </c>
      <c r="C2" s="2" t="s">
        <v>11866</v>
      </c>
      <c r="D2" s="2" t="s">
        <v>11867</v>
      </c>
      <c r="E2" s="2" t="s">
        <v>11868</v>
      </c>
      <c r="F2" s="2" t="s">
        <v>11869</v>
      </c>
      <c r="G2" s="2" t="s">
        <v>11870</v>
      </c>
      <c r="H2" s="2" t="s">
        <v>11871</v>
      </c>
      <c r="I2" s="35"/>
      <c r="J2" s="35"/>
    </row>
    <row r="3">
      <c r="A3" s="50" t="s">
        <v>126</v>
      </c>
      <c r="B3" s="50" t="s">
        <v>687</v>
      </c>
      <c r="C3" s="50" t="s">
        <v>179</v>
      </c>
      <c r="D3" s="50" t="s">
        <v>202</v>
      </c>
      <c r="E3" s="99" t="s">
        <v>880</v>
      </c>
      <c r="F3" s="50" t="s">
        <v>969</v>
      </c>
      <c r="G3" s="50" t="s">
        <v>932</v>
      </c>
      <c r="H3" s="50" t="s">
        <v>970</v>
      </c>
    </row>
    <row r="4">
      <c r="A4" s="446" t="s">
        <v>11872</v>
      </c>
      <c r="B4" s="446" t="s">
        <v>11873</v>
      </c>
      <c r="C4" s="447" t="s">
        <v>11874</v>
      </c>
      <c r="D4" s="446" t="s">
        <v>11875</v>
      </c>
      <c r="E4" s="447" t="s">
        <v>11876</v>
      </c>
      <c r="F4" s="446" t="s">
        <v>11877</v>
      </c>
      <c r="G4" s="446" t="s">
        <v>11878</v>
      </c>
      <c r="H4" s="446" t="s">
        <v>11879</v>
      </c>
    </row>
    <row r="5">
      <c r="A5" s="446" t="s">
        <v>11880</v>
      </c>
      <c r="B5" s="446" t="s">
        <v>11881</v>
      </c>
      <c r="C5" s="447" t="s">
        <v>11882</v>
      </c>
      <c r="D5" s="446" t="s">
        <v>11883</v>
      </c>
      <c r="E5" s="448" t="s">
        <v>11884</v>
      </c>
      <c r="F5" s="446" t="s">
        <v>11885</v>
      </c>
      <c r="G5" s="181" t="s">
        <v>11886</v>
      </c>
      <c r="H5" s="446" t="s">
        <v>11887</v>
      </c>
    </row>
    <row r="6">
      <c r="A6" s="446" t="s">
        <v>11888</v>
      </c>
      <c r="B6" s="181" t="s">
        <v>11889</v>
      </c>
      <c r="C6" s="447" t="s">
        <v>11890</v>
      </c>
      <c r="D6" s="181" t="s">
        <v>11891</v>
      </c>
      <c r="E6" s="447" t="s">
        <v>11892</v>
      </c>
      <c r="F6" s="181" t="s">
        <v>11893</v>
      </c>
      <c r="G6" s="31" t="s">
        <v>11894</v>
      </c>
      <c r="H6" s="446" t="s">
        <v>11891</v>
      </c>
    </row>
    <row r="7">
      <c r="A7" s="181" t="s">
        <v>11895</v>
      </c>
      <c r="B7" s="446" t="s">
        <v>11896</v>
      </c>
      <c r="C7" s="446" t="s">
        <v>11897</v>
      </c>
      <c r="D7" s="446" t="s">
        <v>11898</v>
      </c>
      <c r="E7" s="447" t="s">
        <v>11899</v>
      </c>
      <c r="F7" s="446" t="s">
        <v>11900</v>
      </c>
      <c r="G7" s="446" t="s">
        <v>11901</v>
      </c>
      <c r="H7" s="181" t="s">
        <v>11902</v>
      </c>
    </row>
    <row r="8">
      <c r="A8" s="181" t="s">
        <v>11903</v>
      </c>
      <c r="B8" s="446" t="s">
        <v>11904</v>
      </c>
      <c r="C8" s="181" t="s">
        <v>11905</v>
      </c>
      <c r="D8" s="181" t="s">
        <v>11906</v>
      </c>
      <c r="E8" s="448" t="s">
        <v>11907</v>
      </c>
      <c r="F8" s="446" t="s">
        <v>11908</v>
      </c>
      <c r="G8" s="31" t="s">
        <v>11909</v>
      </c>
      <c r="H8" s="446" t="s">
        <v>11910</v>
      </c>
    </row>
    <row r="9">
      <c r="A9" s="446" t="s">
        <v>11911</v>
      </c>
      <c r="B9" s="446" t="s">
        <v>11912</v>
      </c>
      <c r="C9" s="446" t="s">
        <v>11913</v>
      </c>
      <c r="D9" s="446" t="s">
        <v>11914</v>
      </c>
      <c r="E9" s="447" t="s">
        <v>11915</v>
      </c>
      <c r="F9" s="446" t="s">
        <v>11916</v>
      </c>
      <c r="G9" s="446" t="s">
        <v>11917</v>
      </c>
      <c r="H9" s="446" t="s">
        <v>11918</v>
      </c>
    </row>
    <row r="10">
      <c r="A10" s="446" t="s">
        <v>11919</v>
      </c>
      <c r="B10" s="446" t="s">
        <v>11920</v>
      </c>
      <c r="C10" s="447" t="s">
        <v>11921</v>
      </c>
      <c r="D10" s="446" t="s">
        <v>11922</v>
      </c>
      <c r="E10" s="447" t="s">
        <v>11923</v>
      </c>
      <c r="F10" s="446" t="s">
        <v>11924</v>
      </c>
      <c r="G10" s="181" t="s">
        <v>11925</v>
      </c>
      <c r="H10" s="446" t="s">
        <v>11926</v>
      </c>
    </row>
    <row r="11">
      <c r="A11" s="181" t="s">
        <v>11927</v>
      </c>
      <c r="B11" s="446" t="s">
        <v>11928</v>
      </c>
      <c r="C11" s="447" t="s">
        <v>11929</v>
      </c>
      <c r="D11" s="181" t="s">
        <v>11930</v>
      </c>
      <c r="E11" s="447" t="s">
        <v>11931</v>
      </c>
      <c r="F11" s="446" t="s">
        <v>11932</v>
      </c>
      <c r="G11" s="446" t="s">
        <v>11933</v>
      </c>
      <c r="H11" s="446" t="s">
        <v>11934</v>
      </c>
    </row>
    <row r="12">
      <c r="A12" s="181" t="s">
        <v>11935</v>
      </c>
      <c r="B12" s="446" t="s">
        <v>11936</v>
      </c>
      <c r="C12" s="447" t="s">
        <v>11937</v>
      </c>
      <c r="D12" s="446" t="s">
        <v>11938</v>
      </c>
      <c r="E12" s="448" t="s">
        <v>11939</v>
      </c>
      <c r="F12" s="181" t="s">
        <v>11940</v>
      </c>
      <c r="G12" s="446" t="s">
        <v>11941</v>
      </c>
      <c r="H12" s="181" t="s">
        <v>11939</v>
      </c>
    </row>
    <row r="13">
      <c r="A13" s="181" t="s">
        <v>11942</v>
      </c>
      <c r="B13" s="446" t="s">
        <v>11943</v>
      </c>
      <c r="C13" s="447" t="s">
        <v>11944</v>
      </c>
      <c r="D13" s="181" t="s">
        <v>11945</v>
      </c>
      <c r="E13" s="447" t="s">
        <v>11946</v>
      </c>
      <c r="F13" s="446" t="s">
        <v>11947</v>
      </c>
      <c r="G13" s="181" t="s">
        <v>11948</v>
      </c>
      <c r="H13" s="181" t="s">
        <v>11949</v>
      </c>
    </row>
    <row r="14">
      <c r="A14" s="446" t="s">
        <v>11950</v>
      </c>
      <c r="B14" s="446" t="s">
        <v>11951</v>
      </c>
      <c r="C14" s="448" t="s">
        <v>11952</v>
      </c>
      <c r="D14" s="446" t="s">
        <v>11953</v>
      </c>
      <c r="E14" s="447" t="s">
        <v>11954</v>
      </c>
      <c r="F14" s="181" t="s">
        <v>11955</v>
      </c>
      <c r="G14" s="181" t="s">
        <v>11956</v>
      </c>
      <c r="H14" s="446" t="s">
        <v>11957</v>
      </c>
    </row>
    <row r="15">
      <c r="A15" s="446" t="s">
        <v>11958</v>
      </c>
      <c r="B15" s="181" t="s">
        <v>11959</v>
      </c>
      <c r="C15" s="446" t="s">
        <v>11960</v>
      </c>
      <c r="D15" s="446" t="s">
        <v>11961</v>
      </c>
      <c r="E15" s="447" t="s">
        <v>11962</v>
      </c>
      <c r="F15" s="181" t="s">
        <v>11963</v>
      </c>
      <c r="G15" s="446" t="s">
        <v>11964</v>
      </c>
      <c r="H15" s="446" t="s">
        <v>11965</v>
      </c>
    </row>
    <row r="16">
      <c r="A16" s="446" t="s">
        <v>11966</v>
      </c>
      <c r="B16" s="181" t="s">
        <v>11967</v>
      </c>
      <c r="C16" s="446" t="s">
        <v>11968</v>
      </c>
      <c r="D16" s="446" t="s">
        <v>11969</v>
      </c>
      <c r="E16" s="448" t="s">
        <v>11970</v>
      </c>
      <c r="F16" s="181" t="s">
        <v>11971</v>
      </c>
      <c r="G16" s="181" t="s">
        <v>11972</v>
      </c>
      <c r="H16" s="446" t="s">
        <v>11973</v>
      </c>
    </row>
    <row r="17">
      <c r="A17" s="446" t="s">
        <v>11974</v>
      </c>
      <c r="B17" s="446" t="s">
        <v>11975</v>
      </c>
      <c r="C17" s="446" t="s">
        <v>11976</v>
      </c>
      <c r="D17" s="446" t="s">
        <v>11977</v>
      </c>
      <c r="E17" s="447" t="s">
        <v>11978</v>
      </c>
      <c r="F17" s="446" t="s">
        <v>11979</v>
      </c>
      <c r="G17" s="181" t="s">
        <v>11978</v>
      </c>
      <c r="H17" s="446" t="s">
        <v>11980</v>
      </c>
    </row>
    <row r="18">
      <c r="A18" s="446" t="s">
        <v>11981</v>
      </c>
      <c r="B18" s="181" t="s">
        <v>11982</v>
      </c>
      <c r="C18" s="446" t="s">
        <v>11983</v>
      </c>
      <c r="D18" s="181" t="s">
        <v>11984</v>
      </c>
      <c r="E18" s="447" t="s">
        <v>11985</v>
      </c>
      <c r="F18" s="446" t="s">
        <v>11986</v>
      </c>
      <c r="G18" s="446" t="s">
        <v>11987</v>
      </c>
      <c r="H18" s="446" t="s">
        <v>11988</v>
      </c>
    </row>
    <row r="19">
      <c r="A19" s="181" t="s">
        <v>11989</v>
      </c>
      <c r="B19" s="446" t="s">
        <v>11990</v>
      </c>
      <c r="C19" s="181" t="s">
        <v>11991</v>
      </c>
      <c r="D19" s="446" t="s">
        <v>11992</v>
      </c>
      <c r="E19" s="448" t="s">
        <v>11993</v>
      </c>
      <c r="F19" s="446" t="s">
        <v>11994</v>
      </c>
      <c r="G19" s="181" t="s">
        <v>11995</v>
      </c>
      <c r="H19" s="446" t="s">
        <v>11996</v>
      </c>
    </row>
    <row r="20">
      <c r="A20" s="446" t="s">
        <v>11997</v>
      </c>
      <c r="B20" s="446" t="s">
        <v>11998</v>
      </c>
      <c r="C20" s="446" t="s">
        <v>11999</v>
      </c>
      <c r="E20" s="446" t="s">
        <v>12000</v>
      </c>
      <c r="F20" s="446" t="s">
        <v>12001</v>
      </c>
      <c r="G20" s="181" t="s">
        <v>12002</v>
      </c>
      <c r="H20" s="446" t="s">
        <v>12003</v>
      </c>
    </row>
    <row r="21">
      <c r="A21" s="181" t="s">
        <v>12004</v>
      </c>
      <c r="B21" s="446" t="s">
        <v>12005</v>
      </c>
      <c r="C21" s="446" t="s">
        <v>12006</v>
      </c>
      <c r="E21" s="446" t="s">
        <v>12007</v>
      </c>
      <c r="F21" s="446" t="s">
        <v>12008</v>
      </c>
      <c r="G21" s="446" t="s">
        <v>12009</v>
      </c>
      <c r="H21" s="446" t="s">
        <v>12010</v>
      </c>
    </row>
    <row r="22">
      <c r="B22" s="446" t="s">
        <v>12011</v>
      </c>
      <c r="G22" s="446" t="s">
        <v>12012</v>
      </c>
      <c r="H22" s="446" t="s">
        <v>12013</v>
      </c>
    </row>
    <row r="23">
      <c r="B23" s="446" t="s">
        <v>12014</v>
      </c>
      <c r="G23" s="446" t="s">
        <v>12015</v>
      </c>
      <c r="H23" s="446" t="s">
        <v>12016</v>
      </c>
    </row>
    <row r="24">
      <c r="G24" s="31" t="s">
        <v>12017</v>
      </c>
    </row>
    <row r="28">
      <c r="A28" s="444" t="s">
        <v>12018</v>
      </c>
    </row>
    <row r="29">
      <c r="A29" s="2" t="s">
        <v>11864</v>
      </c>
      <c r="B29" s="2" t="s">
        <v>11865</v>
      </c>
      <c r="C29" s="2" t="s">
        <v>11866</v>
      </c>
      <c r="D29" s="2" t="s">
        <v>11867</v>
      </c>
      <c r="E29" s="2" t="s">
        <v>11868</v>
      </c>
      <c r="F29" s="2" t="s">
        <v>11869</v>
      </c>
      <c r="G29" s="2" t="s">
        <v>11870</v>
      </c>
      <c r="H29" s="2" t="s">
        <v>11871</v>
      </c>
    </row>
    <row r="30">
      <c r="A30" s="50" t="s">
        <v>126</v>
      </c>
      <c r="B30" s="50" t="s">
        <v>687</v>
      </c>
      <c r="C30" s="50" t="s">
        <v>179</v>
      </c>
      <c r="D30" s="50" t="s">
        <v>202</v>
      </c>
      <c r="E30" s="99" t="s">
        <v>880</v>
      </c>
      <c r="F30" s="50" t="s">
        <v>969</v>
      </c>
      <c r="G30" s="50" t="s">
        <v>932</v>
      </c>
      <c r="H30" s="50" t="s">
        <v>970</v>
      </c>
    </row>
    <row r="31">
      <c r="A31" s="45" t="s">
        <v>11872</v>
      </c>
      <c r="B31" s="31" t="s">
        <v>12019</v>
      </c>
      <c r="C31" s="75" t="s">
        <v>11874</v>
      </c>
      <c r="D31" s="31" t="s">
        <v>11875</v>
      </c>
      <c r="E31" s="75" t="s">
        <v>11876</v>
      </c>
      <c r="F31" s="31" t="s">
        <v>11877</v>
      </c>
      <c r="G31" s="31" t="s">
        <v>11878</v>
      </c>
      <c r="H31" s="45" t="s">
        <v>11879</v>
      </c>
    </row>
    <row r="32">
      <c r="A32" s="45" t="s">
        <v>11880</v>
      </c>
      <c r="B32" s="45" t="s">
        <v>12020</v>
      </c>
      <c r="C32" s="70" t="s">
        <v>11882</v>
      </c>
      <c r="D32" s="45" t="s">
        <v>11883</v>
      </c>
      <c r="E32" s="70" t="s">
        <v>12021</v>
      </c>
      <c r="F32" s="45" t="s">
        <v>12022</v>
      </c>
      <c r="H32" s="45" t="s">
        <v>11887</v>
      </c>
    </row>
    <row r="33">
      <c r="A33" s="45" t="s">
        <v>11888</v>
      </c>
      <c r="B33" s="45" t="s">
        <v>12023</v>
      </c>
      <c r="C33" s="70" t="s">
        <v>11890</v>
      </c>
      <c r="D33" s="45" t="s">
        <v>12024</v>
      </c>
      <c r="E33" s="70" t="s">
        <v>12025</v>
      </c>
      <c r="F33" s="45" t="s">
        <v>12026</v>
      </c>
      <c r="H33" s="45" t="s">
        <v>11891</v>
      </c>
    </row>
    <row r="34">
      <c r="A34" s="45" t="s">
        <v>12027</v>
      </c>
      <c r="B34" s="45" t="s">
        <v>12028</v>
      </c>
      <c r="C34" s="45" t="s">
        <v>11897</v>
      </c>
      <c r="D34" s="45" t="s">
        <v>12029</v>
      </c>
      <c r="E34" s="70" t="s">
        <v>12030</v>
      </c>
      <c r="F34" s="45" t="s">
        <v>12031</v>
      </c>
      <c r="H34" s="45" t="s">
        <v>12032</v>
      </c>
    </row>
    <row r="35">
      <c r="A35" s="45" t="s">
        <v>12033</v>
      </c>
      <c r="B35" s="45" t="s">
        <v>12034</v>
      </c>
      <c r="C35" s="45" t="s">
        <v>12035</v>
      </c>
      <c r="D35" s="45" t="s">
        <v>12036</v>
      </c>
      <c r="E35" s="70" t="s">
        <v>12037</v>
      </c>
      <c r="F35" s="45" t="s">
        <v>12038</v>
      </c>
      <c r="H35" s="45" t="s">
        <v>12039</v>
      </c>
    </row>
    <row r="36">
      <c r="A36" s="45" t="s">
        <v>12040</v>
      </c>
      <c r="B36" s="45" t="s">
        <v>12041</v>
      </c>
      <c r="C36" s="70" t="s">
        <v>12042</v>
      </c>
      <c r="D36" s="45" t="s">
        <v>12043</v>
      </c>
      <c r="E36" s="70" t="s">
        <v>12044</v>
      </c>
      <c r="F36" s="45" t="s">
        <v>12045</v>
      </c>
      <c r="H36" s="45" t="s">
        <v>12046</v>
      </c>
    </row>
    <row r="37">
      <c r="A37" s="45" t="s">
        <v>12047</v>
      </c>
      <c r="B37" s="45" t="s">
        <v>12048</v>
      </c>
      <c r="C37" s="70" t="s">
        <v>12049</v>
      </c>
      <c r="D37" s="45" t="s">
        <v>12050</v>
      </c>
      <c r="E37" s="70" t="s">
        <v>12051</v>
      </c>
      <c r="F37" s="45" t="s">
        <v>12052</v>
      </c>
      <c r="H37" s="45" t="s">
        <v>12053</v>
      </c>
    </row>
    <row r="38">
      <c r="A38" s="45" t="s">
        <v>12054</v>
      </c>
      <c r="B38" s="45" t="s">
        <v>12055</v>
      </c>
      <c r="C38" s="31" t="s">
        <v>11929</v>
      </c>
      <c r="D38" s="45" t="s">
        <v>12056</v>
      </c>
      <c r="E38" s="70" t="s">
        <v>12057</v>
      </c>
      <c r="F38" s="45" t="s">
        <v>12058</v>
      </c>
      <c r="H38" s="45" t="s">
        <v>12059</v>
      </c>
    </row>
    <row r="39">
      <c r="A39" s="45" t="s">
        <v>12060</v>
      </c>
      <c r="B39" s="45" t="s">
        <v>12061</v>
      </c>
      <c r="C39" s="70" t="s">
        <v>12062</v>
      </c>
      <c r="D39" s="45" t="s">
        <v>12063</v>
      </c>
      <c r="E39" s="70" t="s">
        <v>12064</v>
      </c>
      <c r="F39" s="45" t="s">
        <v>12065</v>
      </c>
      <c r="H39" s="45" t="s">
        <v>12066</v>
      </c>
    </row>
    <row r="40">
      <c r="A40" s="45" t="s">
        <v>12067</v>
      </c>
      <c r="B40" s="45" t="s">
        <v>12068</v>
      </c>
      <c r="C40" s="45" t="s">
        <v>12069</v>
      </c>
      <c r="D40" s="45" t="s">
        <v>12070</v>
      </c>
      <c r="E40" s="70" t="s">
        <v>12071</v>
      </c>
      <c r="F40" s="45" t="s">
        <v>12072</v>
      </c>
      <c r="H40" s="45" t="s">
        <v>12073</v>
      </c>
    </row>
    <row r="41">
      <c r="A41" s="45" t="s">
        <v>12074</v>
      </c>
      <c r="B41" s="45" t="s">
        <v>12075</v>
      </c>
      <c r="C41" s="45" t="s">
        <v>12076</v>
      </c>
      <c r="D41" s="45" t="s">
        <v>11956</v>
      </c>
      <c r="E41" s="45" t="s">
        <v>12077</v>
      </c>
      <c r="F41" s="45" t="s">
        <v>12078</v>
      </c>
      <c r="H41" s="45" t="s">
        <v>12079</v>
      </c>
    </row>
    <row r="42">
      <c r="A42" s="31" t="s">
        <v>12080</v>
      </c>
      <c r="B42" s="45" t="s">
        <v>12081</v>
      </c>
      <c r="C42" s="45" t="s">
        <v>12082</v>
      </c>
      <c r="D42" s="31" t="s">
        <v>12083</v>
      </c>
      <c r="E42" s="45" t="s">
        <v>12084</v>
      </c>
      <c r="F42" s="45" t="s">
        <v>12085</v>
      </c>
      <c r="H42" s="45" t="s">
        <v>12086</v>
      </c>
    </row>
    <row r="43">
      <c r="A43" s="31" t="s">
        <v>12087</v>
      </c>
      <c r="B43" s="45" t="s">
        <v>12088</v>
      </c>
      <c r="C43" s="45" t="s">
        <v>12089</v>
      </c>
      <c r="D43" s="31" t="s">
        <v>12090</v>
      </c>
      <c r="E43" s="31" t="s">
        <v>12091</v>
      </c>
      <c r="F43" s="45" t="s">
        <v>12092</v>
      </c>
      <c r="H43" s="45" t="s">
        <v>12093</v>
      </c>
    </row>
    <row r="44">
      <c r="A44" s="31" t="s">
        <v>12094</v>
      </c>
      <c r="B44" s="45" t="s">
        <v>12095</v>
      </c>
      <c r="C44" s="45" t="s">
        <v>12096</v>
      </c>
      <c r="D44" s="31" t="s">
        <v>12097</v>
      </c>
      <c r="F44" s="31" t="s">
        <v>12098</v>
      </c>
      <c r="H44" s="45" t="s">
        <v>12099</v>
      </c>
    </row>
    <row r="45">
      <c r="A45" s="31" t="s">
        <v>12100</v>
      </c>
      <c r="B45" s="45" t="s">
        <v>12101</v>
      </c>
      <c r="C45" s="45" t="s">
        <v>12102</v>
      </c>
      <c r="D45" s="31" t="s">
        <v>12103</v>
      </c>
      <c r="F45" s="31" t="s">
        <v>12104</v>
      </c>
      <c r="H45" s="45" t="s">
        <v>12105</v>
      </c>
    </row>
    <row r="46">
      <c r="A46" s="31" t="s">
        <v>12106</v>
      </c>
      <c r="B46" s="45" t="s">
        <v>12107</v>
      </c>
      <c r="C46" s="31" t="s">
        <v>12108</v>
      </c>
      <c r="D46" s="31" t="s">
        <v>12109</v>
      </c>
      <c r="F46" s="31" t="s">
        <v>12110</v>
      </c>
      <c r="H46" s="45" t="s">
        <v>12111</v>
      </c>
    </row>
    <row r="47">
      <c r="A47" s="31" t="s">
        <v>12112</v>
      </c>
      <c r="B47" s="31" t="s">
        <v>12113</v>
      </c>
      <c r="C47" s="31" t="s">
        <v>12114</v>
      </c>
      <c r="D47" s="31" t="s">
        <v>12115</v>
      </c>
      <c r="F47" s="31" t="s">
        <v>12116</v>
      </c>
      <c r="H47" s="45" t="s">
        <v>12117</v>
      </c>
    </row>
    <row r="48">
      <c r="A48" s="31" t="s">
        <v>12118</v>
      </c>
      <c r="B48" s="31" t="s">
        <v>12119</v>
      </c>
      <c r="C48" s="31" t="s">
        <v>12120</v>
      </c>
      <c r="D48" s="31" t="s">
        <v>12121</v>
      </c>
      <c r="F48" s="31" t="s">
        <v>12122</v>
      </c>
    </row>
    <row r="49">
      <c r="A49" s="31" t="s">
        <v>12123</v>
      </c>
      <c r="B49" s="31" t="s">
        <v>12124</v>
      </c>
      <c r="C49" s="31" t="s">
        <v>12125</v>
      </c>
      <c r="D49" s="31" t="s">
        <v>12126</v>
      </c>
    </row>
    <row r="50">
      <c r="A50" s="31" t="s">
        <v>12127</v>
      </c>
      <c r="B50" s="31" t="s">
        <v>12128</v>
      </c>
      <c r="C50" s="31" t="s">
        <v>12129</v>
      </c>
      <c r="D50" s="31" t="s">
        <v>12130</v>
      </c>
    </row>
  </sheetData>
  <mergeCells count="2">
    <mergeCell ref="A1:H1"/>
    <mergeCell ref="A28:H28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4" max="4" width="34.75"/>
    <col customWidth="1" min="5" max="5" width="24.25"/>
    <col customWidth="1" min="6" max="6" width="16.0"/>
    <col customWidth="1" min="7" max="7" width="14.5"/>
    <col customWidth="1" min="8" max="8" width="15.5"/>
  </cols>
  <sheetData>
    <row r="1">
      <c r="A1" s="1" t="s">
        <v>12131</v>
      </c>
      <c r="D1" s="1" t="s">
        <v>12132</v>
      </c>
    </row>
    <row r="2">
      <c r="A2" s="449" t="s">
        <v>12133</v>
      </c>
      <c r="B2" s="310" t="s">
        <v>9130</v>
      </c>
      <c r="D2" s="310" t="s">
        <v>12134</v>
      </c>
      <c r="E2" s="310" t="s">
        <v>12135</v>
      </c>
    </row>
    <row r="3">
      <c r="B3" s="310" t="s">
        <v>9109</v>
      </c>
      <c r="D3" s="310" t="s">
        <v>12136</v>
      </c>
      <c r="E3" s="310" t="s">
        <v>12137</v>
      </c>
    </row>
    <row r="4">
      <c r="B4" s="310" t="s">
        <v>12138</v>
      </c>
      <c r="D4" s="450" t="s">
        <v>12139</v>
      </c>
      <c r="E4" s="450" t="s">
        <v>12140</v>
      </c>
    </row>
    <row r="5">
      <c r="B5" s="310" t="s">
        <v>9102</v>
      </c>
      <c r="D5" s="450" t="s">
        <v>12141</v>
      </c>
      <c r="E5" s="450" t="s">
        <v>12142</v>
      </c>
    </row>
    <row r="6">
      <c r="B6" s="310">
        <v>100.0</v>
      </c>
      <c r="D6" s="450" t="s">
        <v>12143</v>
      </c>
      <c r="E6" s="450" t="s">
        <v>12144</v>
      </c>
    </row>
    <row r="7">
      <c r="B7" s="310" t="s">
        <v>12145</v>
      </c>
      <c r="D7" s="451"/>
      <c r="E7" s="450" t="s">
        <v>12146</v>
      </c>
    </row>
    <row r="8">
      <c r="B8" s="310" t="s">
        <v>12147</v>
      </c>
      <c r="D8" s="451"/>
      <c r="E8" s="450" t="s">
        <v>12148</v>
      </c>
    </row>
    <row r="9">
      <c r="D9" s="451"/>
      <c r="E9" s="450" t="s">
        <v>12149</v>
      </c>
    </row>
    <row r="10">
      <c r="D10" s="451"/>
      <c r="E10" s="450" t="s">
        <v>12150</v>
      </c>
    </row>
    <row r="11">
      <c r="D11" s="310" t="s">
        <v>12151</v>
      </c>
    </row>
    <row r="12">
      <c r="D12" s="310" t="s">
        <v>12152</v>
      </c>
    </row>
    <row r="14">
      <c r="A14" s="444" t="s">
        <v>12153</v>
      </c>
      <c r="I14" s="160"/>
    </row>
    <row r="15">
      <c r="A15" s="310" t="s">
        <v>4405</v>
      </c>
      <c r="B15" s="310" t="s">
        <v>12154</v>
      </c>
      <c r="C15" s="310" t="s">
        <v>12155</v>
      </c>
      <c r="D15" s="310" t="s">
        <v>12156</v>
      </c>
      <c r="E15" s="310" t="s">
        <v>12157</v>
      </c>
      <c r="F15" s="310" t="s">
        <v>12158</v>
      </c>
      <c r="G15" s="310" t="s">
        <v>12159</v>
      </c>
      <c r="H15" s="310" t="s">
        <v>439</v>
      </c>
    </row>
    <row r="16">
      <c r="A16" s="4" t="s">
        <v>5</v>
      </c>
      <c r="B16" s="4">
        <v>14.0</v>
      </c>
      <c r="C16" s="4">
        <v>9.0</v>
      </c>
      <c r="D16" s="4" t="s">
        <v>12160</v>
      </c>
      <c r="E16" s="4">
        <f t="shared" ref="E16:E42" si="1">(C16/B16)*100</f>
        <v>64.28571429</v>
      </c>
      <c r="F16" s="4">
        <v>0.0</v>
      </c>
      <c r="G16" s="8">
        <f t="shared" ref="G16:G42" si="2">E16*6</f>
        <v>385.7142857</v>
      </c>
      <c r="H16" s="452">
        <f t="shared" ref="H16:H42" si="3">F16+G16</f>
        <v>385.7142857</v>
      </c>
    </row>
    <row r="17">
      <c r="A17" s="4" t="s">
        <v>6</v>
      </c>
      <c r="B17" s="4">
        <v>17.0</v>
      </c>
      <c r="C17" s="4">
        <v>9.0</v>
      </c>
      <c r="D17" s="4" t="s">
        <v>12160</v>
      </c>
      <c r="E17" s="4">
        <f t="shared" si="1"/>
        <v>52.94117647</v>
      </c>
      <c r="F17" s="4">
        <v>0.0</v>
      </c>
      <c r="G17" s="8">
        <f t="shared" si="2"/>
        <v>317.6470588</v>
      </c>
      <c r="H17" s="452">
        <f t="shared" si="3"/>
        <v>317.6470588</v>
      </c>
    </row>
    <row r="18">
      <c r="A18" s="4" t="s">
        <v>10</v>
      </c>
      <c r="B18" s="4">
        <v>6.0</v>
      </c>
      <c r="C18" s="4">
        <v>3.0</v>
      </c>
      <c r="D18" s="4" t="s">
        <v>12160</v>
      </c>
      <c r="E18" s="4">
        <f t="shared" si="1"/>
        <v>50</v>
      </c>
      <c r="F18" s="4">
        <v>0.0</v>
      </c>
      <c r="G18" s="8">
        <f t="shared" si="2"/>
        <v>300</v>
      </c>
      <c r="H18" s="452">
        <f t="shared" si="3"/>
        <v>300</v>
      </c>
    </row>
    <row r="19">
      <c r="A19" s="4" t="s">
        <v>17</v>
      </c>
      <c r="B19" s="4">
        <v>18.0</v>
      </c>
      <c r="C19" s="4">
        <v>9.0</v>
      </c>
      <c r="D19" s="4" t="s">
        <v>12160</v>
      </c>
      <c r="E19" s="4">
        <f t="shared" si="1"/>
        <v>50</v>
      </c>
      <c r="F19" s="4">
        <v>0.0</v>
      </c>
      <c r="G19" s="8">
        <f t="shared" si="2"/>
        <v>300</v>
      </c>
      <c r="H19" s="452">
        <f t="shared" si="3"/>
        <v>300</v>
      </c>
    </row>
    <row r="20">
      <c r="A20" s="4" t="s">
        <v>12</v>
      </c>
      <c r="B20" s="4">
        <v>11.0</v>
      </c>
      <c r="C20" s="4">
        <v>4.0</v>
      </c>
      <c r="D20" s="4" t="s">
        <v>12160</v>
      </c>
      <c r="E20" s="4">
        <f t="shared" si="1"/>
        <v>36.36363636</v>
      </c>
      <c r="F20" s="4">
        <v>0.0</v>
      </c>
      <c r="G20" s="8">
        <f t="shared" si="2"/>
        <v>218.1818182</v>
      </c>
      <c r="H20" s="452">
        <f t="shared" si="3"/>
        <v>218.1818182</v>
      </c>
    </row>
    <row r="21">
      <c r="A21" s="4" t="s">
        <v>9</v>
      </c>
      <c r="B21" s="4">
        <v>11.0</v>
      </c>
      <c r="C21" s="4">
        <v>5.0</v>
      </c>
      <c r="D21" s="4" t="s">
        <v>12160</v>
      </c>
      <c r="E21" s="4">
        <f t="shared" si="1"/>
        <v>45.45454545</v>
      </c>
      <c r="F21" s="4">
        <v>0.0</v>
      </c>
      <c r="G21" s="8">
        <f t="shared" si="2"/>
        <v>272.7272727</v>
      </c>
      <c r="H21" s="452">
        <f t="shared" si="3"/>
        <v>272.7272727</v>
      </c>
    </row>
    <row r="22">
      <c r="A22" s="4" t="s">
        <v>4</v>
      </c>
      <c r="B22" s="4">
        <v>3.0</v>
      </c>
      <c r="C22" s="4">
        <v>1.0</v>
      </c>
      <c r="D22" s="4" t="s">
        <v>12160</v>
      </c>
      <c r="E22" s="4">
        <f t="shared" si="1"/>
        <v>33.33333333</v>
      </c>
      <c r="F22" s="4">
        <v>0.0</v>
      </c>
      <c r="G22" s="8">
        <f t="shared" si="2"/>
        <v>200</v>
      </c>
      <c r="H22" s="452">
        <f t="shared" si="3"/>
        <v>200</v>
      </c>
    </row>
    <row r="23">
      <c r="A23" s="4" t="s">
        <v>14</v>
      </c>
      <c r="B23" s="4">
        <v>3.0</v>
      </c>
      <c r="C23" s="4">
        <v>1.0</v>
      </c>
      <c r="D23" s="4" t="s">
        <v>12160</v>
      </c>
      <c r="E23" s="4">
        <f t="shared" si="1"/>
        <v>33.33333333</v>
      </c>
      <c r="F23" s="4">
        <v>0.0</v>
      </c>
      <c r="G23" s="8">
        <f t="shared" si="2"/>
        <v>200</v>
      </c>
      <c r="H23" s="452">
        <f t="shared" si="3"/>
        <v>200</v>
      </c>
    </row>
    <row r="24">
      <c r="A24" s="4" t="s">
        <v>7</v>
      </c>
      <c r="B24" s="4">
        <v>0.0</v>
      </c>
      <c r="C24" s="4">
        <v>0.0</v>
      </c>
      <c r="D24" s="4" t="s">
        <v>12160</v>
      </c>
      <c r="E24" s="4" t="str">
        <f t="shared" si="1"/>
        <v>#DIV/0!</v>
      </c>
      <c r="F24" s="4">
        <v>0.0</v>
      </c>
      <c r="G24" s="8" t="str">
        <f t="shared" si="2"/>
        <v>#DIV/0!</v>
      </c>
      <c r="H24" s="452" t="str">
        <f t="shared" si="3"/>
        <v>#DIV/0!</v>
      </c>
    </row>
    <row r="25" ht="15.75" customHeight="1">
      <c r="A25" s="4" t="s">
        <v>8</v>
      </c>
      <c r="B25" s="4">
        <v>8.0</v>
      </c>
      <c r="C25" s="4">
        <v>3.0</v>
      </c>
      <c r="D25" s="4" t="s">
        <v>12160</v>
      </c>
      <c r="E25" s="4">
        <f t="shared" si="1"/>
        <v>37.5</v>
      </c>
      <c r="F25" s="4">
        <v>0.0</v>
      </c>
      <c r="G25" s="8">
        <f t="shared" si="2"/>
        <v>225</v>
      </c>
      <c r="H25" s="452">
        <f t="shared" si="3"/>
        <v>225</v>
      </c>
    </row>
    <row r="26">
      <c r="A26" s="4" t="s">
        <v>11</v>
      </c>
      <c r="B26" s="4">
        <v>0.0</v>
      </c>
      <c r="C26" s="4">
        <v>0.0</v>
      </c>
      <c r="D26" s="4" t="s">
        <v>12160</v>
      </c>
      <c r="E26" s="4" t="str">
        <f t="shared" si="1"/>
        <v>#DIV/0!</v>
      </c>
      <c r="F26" s="4">
        <v>0.0</v>
      </c>
      <c r="G26" s="8" t="str">
        <f t="shared" si="2"/>
        <v>#DIV/0!</v>
      </c>
      <c r="H26" s="452" t="str">
        <f t="shared" si="3"/>
        <v>#DIV/0!</v>
      </c>
    </row>
    <row r="27">
      <c r="A27" s="4" t="s">
        <v>13</v>
      </c>
      <c r="B27" s="4">
        <v>1.0</v>
      </c>
      <c r="C27" s="4">
        <v>1.0</v>
      </c>
      <c r="D27" s="4" t="s">
        <v>12160</v>
      </c>
      <c r="E27" s="4">
        <f t="shared" si="1"/>
        <v>100</v>
      </c>
      <c r="F27" s="4">
        <v>0.0</v>
      </c>
      <c r="G27" s="8">
        <f t="shared" si="2"/>
        <v>600</v>
      </c>
      <c r="H27" s="452">
        <f t="shared" si="3"/>
        <v>600</v>
      </c>
    </row>
    <row r="28">
      <c r="A28" s="4" t="s">
        <v>15</v>
      </c>
      <c r="B28" s="4">
        <v>0.0</v>
      </c>
      <c r="C28" s="4">
        <v>0.0</v>
      </c>
      <c r="D28" s="4" t="s">
        <v>12160</v>
      </c>
      <c r="E28" s="4" t="str">
        <f t="shared" si="1"/>
        <v>#DIV/0!</v>
      </c>
      <c r="F28" s="4">
        <v>0.0</v>
      </c>
      <c r="G28" s="8" t="str">
        <f t="shared" si="2"/>
        <v>#DIV/0!</v>
      </c>
      <c r="H28" s="452" t="str">
        <f t="shared" si="3"/>
        <v>#DIV/0!</v>
      </c>
    </row>
    <row r="29">
      <c r="A29" s="4" t="s">
        <v>16</v>
      </c>
      <c r="B29" s="4">
        <v>0.0</v>
      </c>
      <c r="C29" s="4">
        <v>0.0</v>
      </c>
      <c r="D29" s="4" t="s">
        <v>12160</v>
      </c>
      <c r="E29" s="4" t="str">
        <f t="shared" si="1"/>
        <v>#DIV/0!</v>
      </c>
      <c r="F29" s="4">
        <v>0.0</v>
      </c>
      <c r="G29" s="8" t="str">
        <f t="shared" si="2"/>
        <v>#DIV/0!</v>
      </c>
      <c r="H29" s="452" t="str">
        <f t="shared" si="3"/>
        <v>#DIV/0!</v>
      </c>
    </row>
    <row r="30">
      <c r="A30" s="4" t="s">
        <v>19</v>
      </c>
      <c r="B30" s="4">
        <v>0.0</v>
      </c>
      <c r="C30" s="4">
        <v>0.0</v>
      </c>
      <c r="D30" s="4" t="s">
        <v>12160</v>
      </c>
      <c r="E30" s="4" t="str">
        <f t="shared" si="1"/>
        <v>#DIV/0!</v>
      </c>
      <c r="F30" s="4">
        <v>0.0</v>
      </c>
      <c r="G30" s="8" t="str">
        <f t="shared" si="2"/>
        <v>#DIV/0!</v>
      </c>
      <c r="H30" s="452" t="str">
        <f t="shared" si="3"/>
        <v>#DIV/0!</v>
      </c>
    </row>
    <row r="31">
      <c r="A31" s="4" t="s">
        <v>18</v>
      </c>
      <c r="B31" s="4">
        <v>7.0</v>
      </c>
      <c r="C31" s="4">
        <v>3.0</v>
      </c>
      <c r="D31" s="4" t="s">
        <v>12160</v>
      </c>
      <c r="E31" s="4">
        <f t="shared" si="1"/>
        <v>42.85714286</v>
      </c>
      <c r="F31" s="4">
        <v>0.0</v>
      </c>
      <c r="G31" s="8">
        <f t="shared" si="2"/>
        <v>257.1428571</v>
      </c>
      <c r="H31" s="452">
        <f t="shared" si="3"/>
        <v>257.1428571</v>
      </c>
    </row>
    <row r="32">
      <c r="A32" s="4" t="s">
        <v>103</v>
      </c>
      <c r="B32" s="4">
        <v>3.0</v>
      </c>
      <c r="C32" s="4">
        <v>0.0</v>
      </c>
      <c r="D32" s="4" t="s">
        <v>12160</v>
      </c>
      <c r="E32" s="4">
        <f t="shared" si="1"/>
        <v>0</v>
      </c>
      <c r="F32" s="4">
        <v>0.0</v>
      </c>
      <c r="G32" s="8">
        <f t="shared" si="2"/>
        <v>0</v>
      </c>
      <c r="H32" s="452">
        <f t="shared" si="3"/>
        <v>0</v>
      </c>
    </row>
    <row r="33">
      <c r="A33" s="4" t="s">
        <v>104</v>
      </c>
      <c r="B33" s="4">
        <v>0.0</v>
      </c>
      <c r="C33" s="4">
        <v>0.0</v>
      </c>
      <c r="D33" s="4" t="s">
        <v>12160</v>
      </c>
      <c r="E33" s="4" t="str">
        <f t="shared" si="1"/>
        <v>#DIV/0!</v>
      </c>
      <c r="F33" s="4">
        <v>0.0</v>
      </c>
      <c r="G33" s="8" t="str">
        <f t="shared" si="2"/>
        <v>#DIV/0!</v>
      </c>
      <c r="H33" s="452" t="str">
        <f t="shared" si="3"/>
        <v>#DIV/0!</v>
      </c>
    </row>
    <row r="34">
      <c r="A34" s="4" t="s">
        <v>105</v>
      </c>
      <c r="B34" s="4">
        <v>0.0</v>
      </c>
      <c r="C34" s="4">
        <v>0.0</v>
      </c>
      <c r="D34" s="4" t="s">
        <v>12160</v>
      </c>
      <c r="E34" s="4" t="str">
        <f t="shared" si="1"/>
        <v>#DIV/0!</v>
      </c>
      <c r="F34" s="4">
        <v>0.0</v>
      </c>
      <c r="G34" s="8" t="str">
        <f t="shared" si="2"/>
        <v>#DIV/0!</v>
      </c>
      <c r="H34" s="452" t="str">
        <f t="shared" si="3"/>
        <v>#DIV/0!</v>
      </c>
    </row>
    <row r="35">
      <c r="A35" s="4" t="s">
        <v>115</v>
      </c>
      <c r="B35" s="4">
        <v>6.0</v>
      </c>
      <c r="C35" s="4">
        <v>3.0</v>
      </c>
      <c r="D35" s="4" t="s">
        <v>12160</v>
      </c>
      <c r="E35" s="4">
        <f t="shared" si="1"/>
        <v>50</v>
      </c>
      <c r="F35" s="4">
        <v>0.0</v>
      </c>
      <c r="G35" s="8">
        <f t="shared" si="2"/>
        <v>300</v>
      </c>
      <c r="H35" s="452">
        <f t="shared" si="3"/>
        <v>300</v>
      </c>
    </row>
    <row r="36">
      <c r="A36" s="4" t="s">
        <v>109</v>
      </c>
      <c r="B36" s="4">
        <v>13.0</v>
      </c>
      <c r="C36" s="4">
        <v>7.0</v>
      </c>
      <c r="D36" s="4" t="s">
        <v>12160</v>
      </c>
      <c r="E36" s="4">
        <f t="shared" si="1"/>
        <v>53.84615385</v>
      </c>
      <c r="F36" s="4">
        <v>0.0</v>
      </c>
      <c r="G36" s="8">
        <f t="shared" si="2"/>
        <v>323.0769231</v>
      </c>
      <c r="H36" s="452">
        <f t="shared" si="3"/>
        <v>323.0769231</v>
      </c>
    </row>
    <row r="37">
      <c r="A37" s="4" t="s">
        <v>106</v>
      </c>
      <c r="B37" s="4">
        <v>0.0</v>
      </c>
      <c r="C37" s="4">
        <v>0.0</v>
      </c>
      <c r="D37" s="4" t="s">
        <v>12160</v>
      </c>
      <c r="E37" s="4" t="str">
        <f t="shared" si="1"/>
        <v>#DIV/0!</v>
      </c>
      <c r="F37" s="4">
        <v>0.0</v>
      </c>
      <c r="G37" s="8" t="str">
        <f t="shared" si="2"/>
        <v>#DIV/0!</v>
      </c>
      <c r="H37" s="452" t="str">
        <f t="shared" si="3"/>
        <v>#DIV/0!</v>
      </c>
    </row>
    <row r="38">
      <c r="A38" s="4" t="s">
        <v>120</v>
      </c>
      <c r="B38" s="4">
        <v>5.0</v>
      </c>
      <c r="C38" s="4">
        <v>3.0</v>
      </c>
      <c r="D38" s="4" t="s">
        <v>12160</v>
      </c>
      <c r="E38" s="4">
        <f t="shared" si="1"/>
        <v>60</v>
      </c>
      <c r="F38" s="4">
        <v>0.0</v>
      </c>
      <c r="G38" s="8">
        <f t="shared" si="2"/>
        <v>360</v>
      </c>
      <c r="H38" s="452">
        <f t="shared" si="3"/>
        <v>360</v>
      </c>
    </row>
    <row r="39">
      <c r="A39" s="4" t="s">
        <v>9277</v>
      </c>
      <c r="B39" s="4">
        <v>4.0</v>
      </c>
      <c r="C39" s="4">
        <v>1.0</v>
      </c>
      <c r="D39" s="4" t="s">
        <v>12160</v>
      </c>
      <c r="E39" s="4">
        <f t="shared" si="1"/>
        <v>25</v>
      </c>
      <c r="F39" s="4">
        <v>0.0</v>
      </c>
      <c r="G39" s="8">
        <f t="shared" si="2"/>
        <v>150</v>
      </c>
      <c r="H39" s="452">
        <f t="shared" si="3"/>
        <v>150</v>
      </c>
    </row>
    <row r="40">
      <c r="A40" s="4" t="s">
        <v>107</v>
      </c>
      <c r="B40" s="4">
        <v>1.0</v>
      </c>
      <c r="C40" s="4">
        <v>0.0</v>
      </c>
      <c r="D40" s="4" t="s">
        <v>12160</v>
      </c>
      <c r="E40" s="4">
        <f t="shared" si="1"/>
        <v>0</v>
      </c>
      <c r="F40" s="4">
        <v>0.0</v>
      </c>
      <c r="G40" s="8">
        <f t="shared" si="2"/>
        <v>0</v>
      </c>
      <c r="H40" s="452">
        <f t="shared" si="3"/>
        <v>0</v>
      </c>
    </row>
    <row r="41">
      <c r="A41" s="4" t="s">
        <v>123</v>
      </c>
      <c r="B41" s="4">
        <v>5.0</v>
      </c>
      <c r="C41" s="4">
        <v>5.0</v>
      </c>
      <c r="D41" s="4" t="s">
        <v>12160</v>
      </c>
      <c r="E41" s="4">
        <f t="shared" si="1"/>
        <v>100</v>
      </c>
      <c r="F41" s="4">
        <v>0.0</v>
      </c>
      <c r="G41" s="8">
        <f t="shared" si="2"/>
        <v>600</v>
      </c>
      <c r="H41" s="452">
        <f t="shared" si="3"/>
        <v>600</v>
      </c>
    </row>
    <row r="42">
      <c r="A42" s="4" t="s">
        <v>9274</v>
      </c>
      <c r="B42" s="4">
        <v>3.0</v>
      </c>
      <c r="C42" s="4">
        <v>3.0</v>
      </c>
      <c r="D42" s="4" t="s">
        <v>12160</v>
      </c>
      <c r="E42" s="4">
        <f t="shared" si="1"/>
        <v>100</v>
      </c>
      <c r="F42" s="4">
        <v>0.0</v>
      </c>
      <c r="G42" s="8">
        <f t="shared" si="2"/>
        <v>600</v>
      </c>
      <c r="H42" s="452">
        <f t="shared" si="3"/>
        <v>600</v>
      </c>
    </row>
    <row r="44">
      <c r="A44" s="444" t="s">
        <v>12161</v>
      </c>
      <c r="I44" s="160"/>
    </row>
    <row r="45">
      <c r="A45" s="310" t="s">
        <v>4405</v>
      </c>
      <c r="B45" s="310" t="s">
        <v>12154</v>
      </c>
      <c r="C45" s="310" t="s">
        <v>12155</v>
      </c>
      <c r="D45" s="310" t="s">
        <v>12156</v>
      </c>
      <c r="E45" s="310" t="s">
        <v>12157</v>
      </c>
      <c r="F45" s="310" t="s">
        <v>12158</v>
      </c>
      <c r="G45" s="310" t="s">
        <v>12159</v>
      </c>
      <c r="H45" s="310" t="s">
        <v>439</v>
      </c>
    </row>
    <row r="46">
      <c r="A46" s="4" t="s">
        <v>13</v>
      </c>
      <c r="B46" s="4">
        <v>9.0</v>
      </c>
      <c r="C46" s="4">
        <v>6.0</v>
      </c>
      <c r="D46" s="4" t="s">
        <v>12162</v>
      </c>
      <c r="E46" s="4">
        <f t="shared" ref="E46:E72" si="4">(C46/B46)*100</f>
        <v>66.66666667</v>
      </c>
      <c r="F46" s="4">
        <v>100.0</v>
      </c>
      <c r="G46" s="8">
        <f t="shared" ref="G46:G72" si="5">E46*6</f>
        <v>400</v>
      </c>
      <c r="H46" s="452">
        <f t="shared" ref="H46:H72" si="6">F46+G46</f>
        <v>500</v>
      </c>
    </row>
    <row r="47">
      <c r="A47" s="4" t="s">
        <v>17</v>
      </c>
      <c r="B47" s="4">
        <v>34.0</v>
      </c>
      <c r="C47" s="4">
        <v>18.0</v>
      </c>
      <c r="D47" s="4" t="s">
        <v>12160</v>
      </c>
      <c r="E47" s="4">
        <f t="shared" si="4"/>
        <v>52.94117647</v>
      </c>
      <c r="F47" s="4">
        <v>0.0</v>
      </c>
      <c r="G47" s="8">
        <f t="shared" si="5"/>
        <v>317.6470588</v>
      </c>
      <c r="H47" s="452">
        <f t="shared" si="6"/>
        <v>317.6470588</v>
      </c>
    </row>
    <row r="48">
      <c r="A48" s="4" t="s">
        <v>6</v>
      </c>
      <c r="B48" s="4">
        <v>38.0</v>
      </c>
      <c r="C48" s="4">
        <v>22.0</v>
      </c>
      <c r="D48" s="4" t="s">
        <v>12163</v>
      </c>
      <c r="E48" s="4">
        <f t="shared" si="4"/>
        <v>57.89473684</v>
      </c>
      <c r="F48" s="4">
        <v>70.0</v>
      </c>
      <c r="G48" s="8">
        <f t="shared" si="5"/>
        <v>347.3684211</v>
      </c>
      <c r="H48" s="452">
        <f t="shared" si="6"/>
        <v>417.3684211</v>
      </c>
    </row>
    <row r="49">
      <c r="A49" s="4" t="s">
        <v>8</v>
      </c>
      <c r="B49" s="4">
        <v>10.0</v>
      </c>
      <c r="C49" s="4">
        <v>7.0</v>
      </c>
      <c r="D49" s="4" t="s">
        <v>12160</v>
      </c>
      <c r="E49" s="4">
        <f t="shared" si="4"/>
        <v>70</v>
      </c>
      <c r="F49" s="4">
        <v>0.0</v>
      </c>
      <c r="G49" s="8">
        <f t="shared" si="5"/>
        <v>420</v>
      </c>
      <c r="H49" s="452">
        <f t="shared" si="6"/>
        <v>420</v>
      </c>
    </row>
    <row r="50">
      <c r="A50" s="4" t="s">
        <v>4</v>
      </c>
      <c r="B50" s="4">
        <v>24.0</v>
      </c>
      <c r="C50" s="4">
        <v>12.0</v>
      </c>
      <c r="D50" s="4" t="s">
        <v>12160</v>
      </c>
      <c r="E50" s="4">
        <f t="shared" si="4"/>
        <v>50</v>
      </c>
      <c r="F50" s="4">
        <v>0.0</v>
      </c>
      <c r="G50" s="8">
        <f t="shared" si="5"/>
        <v>300</v>
      </c>
      <c r="H50" s="452">
        <f t="shared" si="6"/>
        <v>300</v>
      </c>
    </row>
    <row r="51">
      <c r="A51" s="4" t="s">
        <v>5</v>
      </c>
      <c r="B51" s="4">
        <v>10.0</v>
      </c>
      <c r="C51" s="4">
        <v>5.0</v>
      </c>
      <c r="D51" s="4" t="s">
        <v>12160</v>
      </c>
      <c r="E51" s="4">
        <f t="shared" si="4"/>
        <v>50</v>
      </c>
      <c r="F51" s="4">
        <v>0.0</v>
      </c>
      <c r="G51" s="8">
        <f t="shared" si="5"/>
        <v>300</v>
      </c>
      <c r="H51" s="452">
        <f t="shared" si="6"/>
        <v>300</v>
      </c>
    </row>
    <row r="52">
      <c r="A52" s="4" t="s">
        <v>10</v>
      </c>
      <c r="B52" s="4">
        <v>20.0</v>
      </c>
      <c r="C52" s="4">
        <v>12.0</v>
      </c>
      <c r="D52" s="4" t="s">
        <v>12160</v>
      </c>
      <c r="E52" s="4">
        <f t="shared" si="4"/>
        <v>60</v>
      </c>
      <c r="F52" s="4">
        <v>0.0</v>
      </c>
      <c r="G52" s="8">
        <f t="shared" si="5"/>
        <v>360</v>
      </c>
      <c r="H52" s="452">
        <f t="shared" si="6"/>
        <v>360</v>
      </c>
    </row>
    <row r="53">
      <c r="A53" s="4" t="s">
        <v>7</v>
      </c>
      <c r="B53" s="4">
        <v>23.0</v>
      </c>
      <c r="C53" s="4">
        <v>11.0</v>
      </c>
      <c r="D53" s="4" t="s">
        <v>12160</v>
      </c>
      <c r="E53" s="4">
        <f t="shared" si="4"/>
        <v>47.82608696</v>
      </c>
      <c r="F53" s="4">
        <v>0.0</v>
      </c>
      <c r="G53" s="8">
        <f t="shared" si="5"/>
        <v>286.9565217</v>
      </c>
      <c r="H53" s="452">
        <f t="shared" si="6"/>
        <v>286.9565217</v>
      </c>
    </row>
    <row r="54">
      <c r="A54" s="4" t="s">
        <v>11</v>
      </c>
      <c r="B54" s="4">
        <v>9.0</v>
      </c>
      <c r="C54" s="4">
        <v>3.0</v>
      </c>
      <c r="D54" s="4" t="s">
        <v>12160</v>
      </c>
      <c r="E54" s="4">
        <f t="shared" si="4"/>
        <v>33.33333333</v>
      </c>
      <c r="F54" s="4">
        <v>0.0</v>
      </c>
      <c r="G54" s="8">
        <f t="shared" si="5"/>
        <v>200</v>
      </c>
      <c r="H54" s="452">
        <f t="shared" si="6"/>
        <v>200</v>
      </c>
    </row>
    <row r="55">
      <c r="A55" s="4" t="s">
        <v>12</v>
      </c>
      <c r="B55" s="4">
        <v>6.0</v>
      </c>
      <c r="C55" s="4">
        <v>2.0</v>
      </c>
      <c r="D55" s="4" t="s">
        <v>12160</v>
      </c>
      <c r="E55" s="4">
        <f t="shared" si="4"/>
        <v>33.33333333</v>
      </c>
      <c r="F55" s="4">
        <v>0.0</v>
      </c>
      <c r="G55" s="8">
        <f t="shared" si="5"/>
        <v>200</v>
      </c>
      <c r="H55" s="452">
        <f t="shared" si="6"/>
        <v>200</v>
      </c>
    </row>
    <row r="56">
      <c r="A56" s="4" t="s">
        <v>9</v>
      </c>
      <c r="B56" s="4">
        <v>16.0</v>
      </c>
      <c r="C56" s="4">
        <v>5.0</v>
      </c>
      <c r="D56" s="4" t="s">
        <v>12160</v>
      </c>
      <c r="E56" s="4">
        <f t="shared" si="4"/>
        <v>31.25</v>
      </c>
      <c r="F56" s="4">
        <v>0.0</v>
      </c>
      <c r="G56" s="8">
        <f t="shared" si="5"/>
        <v>187.5</v>
      </c>
      <c r="H56" s="452">
        <f t="shared" si="6"/>
        <v>187.5</v>
      </c>
    </row>
    <row r="57">
      <c r="A57" s="4" t="s">
        <v>15</v>
      </c>
      <c r="B57" s="4">
        <v>9.0</v>
      </c>
      <c r="C57" s="4">
        <v>5.0</v>
      </c>
      <c r="D57" s="4" t="s">
        <v>12160</v>
      </c>
      <c r="E57" s="4">
        <f t="shared" si="4"/>
        <v>55.55555556</v>
      </c>
      <c r="F57" s="4">
        <v>0.0</v>
      </c>
      <c r="G57" s="8">
        <f t="shared" si="5"/>
        <v>333.3333333</v>
      </c>
      <c r="H57" s="452">
        <f t="shared" si="6"/>
        <v>333.3333333</v>
      </c>
    </row>
    <row r="58">
      <c r="A58" s="4" t="s">
        <v>16</v>
      </c>
      <c r="B58" s="4">
        <v>14.0</v>
      </c>
      <c r="C58" s="4">
        <v>4.0</v>
      </c>
      <c r="D58" s="4" t="s">
        <v>12160</v>
      </c>
      <c r="E58" s="4">
        <f t="shared" si="4"/>
        <v>28.57142857</v>
      </c>
      <c r="F58" s="4">
        <v>0.0</v>
      </c>
      <c r="G58" s="8">
        <f t="shared" si="5"/>
        <v>171.4285714</v>
      </c>
      <c r="H58" s="452">
        <f t="shared" si="6"/>
        <v>171.4285714</v>
      </c>
    </row>
    <row r="59">
      <c r="A59" s="4" t="s">
        <v>14</v>
      </c>
      <c r="B59" s="4">
        <v>1.0</v>
      </c>
      <c r="C59" s="4">
        <v>1.0</v>
      </c>
      <c r="D59" s="4" t="s">
        <v>12160</v>
      </c>
      <c r="E59" s="4">
        <f t="shared" si="4"/>
        <v>100</v>
      </c>
      <c r="F59" s="4">
        <v>0.0</v>
      </c>
      <c r="G59" s="8">
        <f t="shared" si="5"/>
        <v>600</v>
      </c>
      <c r="H59" s="452">
        <f t="shared" si="6"/>
        <v>600</v>
      </c>
    </row>
    <row r="60">
      <c r="A60" s="4" t="s">
        <v>19</v>
      </c>
      <c r="B60" s="4">
        <v>12.0</v>
      </c>
      <c r="C60" s="4">
        <v>7.0</v>
      </c>
      <c r="D60" s="4" t="s">
        <v>12160</v>
      </c>
      <c r="E60" s="4">
        <f t="shared" si="4"/>
        <v>58.33333333</v>
      </c>
      <c r="F60" s="4">
        <v>0.0</v>
      </c>
      <c r="G60" s="8">
        <f t="shared" si="5"/>
        <v>350</v>
      </c>
      <c r="H60" s="452">
        <f t="shared" si="6"/>
        <v>350</v>
      </c>
    </row>
    <row r="61">
      <c r="A61" s="4" t="s">
        <v>18</v>
      </c>
      <c r="B61" s="4">
        <v>8.0</v>
      </c>
      <c r="C61" s="4">
        <v>3.0</v>
      </c>
      <c r="D61" s="4" t="s">
        <v>12160</v>
      </c>
      <c r="E61" s="4">
        <f t="shared" si="4"/>
        <v>37.5</v>
      </c>
      <c r="F61" s="4">
        <v>0.0</v>
      </c>
      <c r="G61" s="8">
        <f t="shared" si="5"/>
        <v>225</v>
      </c>
      <c r="H61" s="452">
        <f t="shared" si="6"/>
        <v>225</v>
      </c>
    </row>
    <row r="62">
      <c r="A62" s="4" t="s">
        <v>103</v>
      </c>
      <c r="B62" s="4">
        <v>9.0</v>
      </c>
      <c r="C62" s="4">
        <v>5.0</v>
      </c>
      <c r="D62" s="4" t="s">
        <v>12160</v>
      </c>
      <c r="E62" s="4">
        <f t="shared" si="4"/>
        <v>55.55555556</v>
      </c>
      <c r="F62" s="4">
        <v>0.0</v>
      </c>
      <c r="G62" s="8">
        <f t="shared" si="5"/>
        <v>333.3333333</v>
      </c>
      <c r="H62" s="452">
        <f t="shared" si="6"/>
        <v>333.3333333</v>
      </c>
    </row>
    <row r="63">
      <c r="A63" s="4" t="s">
        <v>104</v>
      </c>
      <c r="B63" s="4">
        <v>0.0</v>
      </c>
      <c r="C63" s="4">
        <v>0.0</v>
      </c>
      <c r="D63" s="4" t="s">
        <v>12160</v>
      </c>
      <c r="E63" s="4" t="str">
        <f t="shared" si="4"/>
        <v>#DIV/0!</v>
      </c>
      <c r="F63" s="4">
        <v>0.0</v>
      </c>
      <c r="G63" s="8" t="str">
        <f t="shared" si="5"/>
        <v>#DIV/0!</v>
      </c>
      <c r="H63" s="452" t="str">
        <f t="shared" si="6"/>
        <v>#DIV/0!</v>
      </c>
    </row>
    <row r="64">
      <c r="A64" s="4" t="s">
        <v>105</v>
      </c>
      <c r="B64" s="4">
        <v>16.0</v>
      </c>
      <c r="C64" s="4">
        <v>9.0</v>
      </c>
      <c r="D64" s="4" t="s">
        <v>12160</v>
      </c>
      <c r="E64" s="4">
        <f t="shared" si="4"/>
        <v>56.25</v>
      </c>
      <c r="F64" s="4">
        <v>0.0</v>
      </c>
      <c r="G64" s="8">
        <f t="shared" si="5"/>
        <v>337.5</v>
      </c>
      <c r="H64" s="452">
        <f t="shared" si="6"/>
        <v>337.5</v>
      </c>
    </row>
    <row r="65">
      <c r="A65" s="4" t="s">
        <v>115</v>
      </c>
      <c r="B65" s="4">
        <v>11.0</v>
      </c>
      <c r="C65" s="4">
        <v>6.0</v>
      </c>
      <c r="D65" s="4" t="s">
        <v>12160</v>
      </c>
      <c r="E65" s="4">
        <f t="shared" si="4"/>
        <v>54.54545455</v>
      </c>
      <c r="F65" s="4">
        <v>0.0</v>
      </c>
      <c r="G65" s="8">
        <f t="shared" si="5"/>
        <v>327.2727273</v>
      </c>
      <c r="H65" s="452">
        <f t="shared" si="6"/>
        <v>327.2727273</v>
      </c>
    </row>
    <row r="66">
      <c r="A66" s="4" t="s">
        <v>109</v>
      </c>
      <c r="B66" s="4">
        <v>3.0</v>
      </c>
      <c r="C66" s="4">
        <v>2.0</v>
      </c>
      <c r="D66" s="4" t="s">
        <v>12160</v>
      </c>
      <c r="E66" s="4">
        <f t="shared" si="4"/>
        <v>66.66666667</v>
      </c>
      <c r="F66" s="4">
        <v>0.0</v>
      </c>
      <c r="G66" s="8">
        <f t="shared" si="5"/>
        <v>400</v>
      </c>
      <c r="H66" s="452">
        <f t="shared" si="6"/>
        <v>400</v>
      </c>
    </row>
    <row r="67">
      <c r="A67" s="4" t="s">
        <v>106</v>
      </c>
      <c r="B67" s="4">
        <v>0.0</v>
      </c>
      <c r="C67" s="4">
        <v>0.0</v>
      </c>
      <c r="D67" s="4" t="s">
        <v>12160</v>
      </c>
      <c r="E67" s="4" t="str">
        <f t="shared" si="4"/>
        <v>#DIV/0!</v>
      </c>
      <c r="F67" s="4">
        <v>0.0</v>
      </c>
      <c r="G67" s="8" t="str">
        <f t="shared" si="5"/>
        <v>#DIV/0!</v>
      </c>
      <c r="H67" s="452" t="str">
        <f t="shared" si="6"/>
        <v>#DIV/0!</v>
      </c>
    </row>
    <row r="68">
      <c r="A68" s="4" t="s">
        <v>120</v>
      </c>
      <c r="B68" s="4">
        <v>2.0</v>
      </c>
      <c r="C68" s="4">
        <v>1.0</v>
      </c>
      <c r="D68" s="4" t="s">
        <v>12160</v>
      </c>
      <c r="E68" s="4">
        <f t="shared" si="4"/>
        <v>50</v>
      </c>
      <c r="F68" s="4">
        <v>0.0</v>
      </c>
      <c r="G68" s="8">
        <f t="shared" si="5"/>
        <v>300</v>
      </c>
      <c r="H68" s="452">
        <f t="shared" si="6"/>
        <v>300</v>
      </c>
    </row>
    <row r="69">
      <c r="A69" s="4" t="s">
        <v>9277</v>
      </c>
      <c r="B69" s="4">
        <v>4.0</v>
      </c>
      <c r="C69" s="4">
        <v>2.0</v>
      </c>
      <c r="D69" s="4" t="s">
        <v>12160</v>
      </c>
      <c r="E69" s="4">
        <f t="shared" si="4"/>
        <v>50</v>
      </c>
      <c r="F69" s="4">
        <v>0.0</v>
      </c>
      <c r="G69" s="8">
        <f t="shared" si="5"/>
        <v>300</v>
      </c>
      <c r="H69" s="452">
        <f t="shared" si="6"/>
        <v>300</v>
      </c>
    </row>
    <row r="70">
      <c r="A70" s="4" t="s">
        <v>107</v>
      </c>
      <c r="B70" s="4">
        <v>0.0</v>
      </c>
      <c r="C70" s="4">
        <v>0.0</v>
      </c>
      <c r="D70" s="4" t="s">
        <v>12160</v>
      </c>
      <c r="E70" s="4" t="str">
        <f t="shared" si="4"/>
        <v>#DIV/0!</v>
      </c>
      <c r="F70" s="4">
        <v>0.0</v>
      </c>
      <c r="G70" s="8" t="str">
        <f t="shared" si="5"/>
        <v>#DIV/0!</v>
      </c>
      <c r="H70" s="452" t="str">
        <f t="shared" si="6"/>
        <v>#DIV/0!</v>
      </c>
    </row>
    <row r="71">
      <c r="A71" s="4" t="s">
        <v>123</v>
      </c>
      <c r="B71" s="4">
        <v>0.0</v>
      </c>
      <c r="C71" s="4">
        <v>0.0</v>
      </c>
      <c r="D71" s="4" t="s">
        <v>12160</v>
      </c>
      <c r="E71" s="4" t="str">
        <f t="shared" si="4"/>
        <v>#DIV/0!</v>
      </c>
      <c r="F71" s="4">
        <v>0.0</v>
      </c>
      <c r="G71" s="8" t="str">
        <f t="shared" si="5"/>
        <v>#DIV/0!</v>
      </c>
      <c r="H71" s="452" t="str">
        <f t="shared" si="6"/>
        <v>#DIV/0!</v>
      </c>
    </row>
    <row r="72">
      <c r="A72" s="4" t="s">
        <v>9274</v>
      </c>
      <c r="B72" s="4">
        <v>3.0</v>
      </c>
      <c r="C72" s="4">
        <v>1.0</v>
      </c>
      <c r="D72" s="4" t="s">
        <v>12160</v>
      </c>
      <c r="E72" s="4">
        <f t="shared" si="4"/>
        <v>33.33333333</v>
      </c>
      <c r="F72" s="4">
        <v>0.0</v>
      </c>
      <c r="G72" s="8">
        <f t="shared" si="5"/>
        <v>200</v>
      </c>
      <c r="H72" s="452">
        <f t="shared" si="6"/>
        <v>200</v>
      </c>
    </row>
    <row r="74">
      <c r="A74" s="444" t="s">
        <v>12164</v>
      </c>
    </row>
    <row r="75">
      <c r="A75" s="310" t="s">
        <v>4405</v>
      </c>
      <c r="B75" s="310" t="s">
        <v>12154</v>
      </c>
      <c r="C75" s="310" t="s">
        <v>12155</v>
      </c>
      <c r="D75" s="310" t="s">
        <v>12156</v>
      </c>
      <c r="E75" s="310" t="s">
        <v>12157</v>
      </c>
      <c r="F75" s="310" t="s">
        <v>12158</v>
      </c>
      <c r="G75" s="310" t="s">
        <v>12159</v>
      </c>
      <c r="H75" s="310" t="s">
        <v>439</v>
      </c>
    </row>
    <row r="76">
      <c r="A76" s="4" t="s">
        <v>6</v>
      </c>
      <c r="B76" s="4">
        <v>47.0</v>
      </c>
      <c r="C76" s="4">
        <v>25.0</v>
      </c>
      <c r="D76" s="4" t="s">
        <v>12165</v>
      </c>
      <c r="E76" s="4">
        <f t="shared" ref="E76:E102" si="7">(C76/B76)*100</f>
        <v>53.19148936</v>
      </c>
      <c r="F76" s="4">
        <f>70+50</f>
        <v>120</v>
      </c>
      <c r="G76" s="8">
        <f t="shared" ref="G76:G102" si="8">E76*6</f>
        <v>319.1489362</v>
      </c>
      <c r="H76" s="452">
        <f t="shared" ref="H76:H102" si="9">F76+G76</f>
        <v>439.1489362</v>
      </c>
    </row>
    <row r="77">
      <c r="A77" s="4" t="s">
        <v>13</v>
      </c>
      <c r="B77" s="4">
        <v>38.0</v>
      </c>
      <c r="C77" s="4">
        <v>19.0</v>
      </c>
      <c r="D77" s="4" t="s">
        <v>12166</v>
      </c>
      <c r="E77" s="4">
        <f t="shared" si="7"/>
        <v>50</v>
      </c>
      <c r="F77" s="4">
        <v>100.0</v>
      </c>
      <c r="G77" s="8">
        <f t="shared" si="8"/>
        <v>300</v>
      </c>
      <c r="H77" s="452">
        <f t="shared" si="9"/>
        <v>400</v>
      </c>
    </row>
    <row r="78">
      <c r="A78" s="4" t="s">
        <v>4</v>
      </c>
      <c r="B78" s="4">
        <v>40.0</v>
      </c>
      <c r="C78" s="4">
        <v>23.0</v>
      </c>
      <c r="D78" s="4" t="s">
        <v>12160</v>
      </c>
      <c r="E78" s="4">
        <f t="shared" si="7"/>
        <v>57.5</v>
      </c>
      <c r="F78" s="4">
        <v>0.0</v>
      </c>
      <c r="G78" s="8">
        <f t="shared" si="8"/>
        <v>345</v>
      </c>
      <c r="H78" s="452">
        <f t="shared" si="9"/>
        <v>345</v>
      </c>
    </row>
    <row r="79">
      <c r="A79" s="4" t="s">
        <v>11</v>
      </c>
      <c r="B79" s="4">
        <v>66.0</v>
      </c>
      <c r="C79" s="4">
        <v>35.0</v>
      </c>
      <c r="D79" s="4" t="s">
        <v>12167</v>
      </c>
      <c r="E79" s="4">
        <f t="shared" si="7"/>
        <v>53.03030303</v>
      </c>
      <c r="F79" s="4">
        <v>25.0</v>
      </c>
      <c r="G79" s="8">
        <f t="shared" si="8"/>
        <v>318.1818182</v>
      </c>
      <c r="H79" s="452">
        <f t="shared" si="9"/>
        <v>343.1818182</v>
      </c>
    </row>
    <row r="80">
      <c r="A80" s="4" t="s">
        <v>10</v>
      </c>
      <c r="B80" s="4">
        <v>44.0</v>
      </c>
      <c r="C80" s="4">
        <v>24.0</v>
      </c>
      <c r="D80" s="4" t="s">
        <v>12160</v>
      </c>
      <c r="E80" s="4">
        <f t="shared" si="7"/>
        <v>54.54545455</v>
      </c>
      <c r="F80" s="4">
        <v>0.0</v>
      </c>
      <c r="G80" s="8">
        <f t="shared" si="8"/>
        <v>327.2727273</v>
      </c>
      <c r="H80" s="452">
        <f t="shared" si="9"/>
        <v>327.2727273</v>
      </c>
    </row>
    <row r="81">
      <c r="A81" s="4" t="s">
        <v>7</v>
      </c>
      <c r="B81" s="4">
        <v>13.0</v>
      </c>
      <c r="C81" s="4">
        <v>7.0</v>
      </c>
      <c r="D81" s="4" t="s">
        <v>12160</v>
      </c>
      <c r="E81" s="4">
        <f t="shared" si="7"/>
        <v>53.84615385</v>
      </c>
      <c r="F81" s="4">
        <v>0.0</v>
      </c>
      <c r="G81" s="8">
        <f t="shared" si="8"/>
        <v>323.0769231</v>
      </c>
      <c r="H81" s="452">
        <f t="shared" si="9"/>
        <v>323.0769231</v>
      </c>
    </row>
    <row r="82">
      <c r="A82" s="4" t="s">
        <v>8</v>
      </c>
      <c r="B82" s="4">
        <v>18.0</v>
      </c>
      <c r="C82" s="4">
        <v>11.0</v>
      </c>
      <c r="D82" s="4" t="s">
        <v>12168</v>
      </c>
      <c r="E82" s="4">
        <f t="shared" si="7"/>
        <v>61.11111111</v>
      </c>
      <c r="F82" s="4">
        <v>70.0</v>
      </c>
      <c r="G82" s="8">
        <f t="shared" si="8"/>
        <v>366.6666667</v>
      </c>
      <c r="H82" s="452">
        <f t="shared" si="9"/>
        <v>436.6666667</v>
      </c>
    </row>
    <row r="83">
      <c r="A83" s="4" t="s">
        <v>17</v>
      </c>
      <c r="B83" s="4">
        <v>95.0</v>
      </c>
      <c r="C83" s="4">
        <v>54.0</v>
      </c>
      <c r="D83" s="4" t="s">
        <v>12160</v>
      </c>
      <c r="E83" s="4">
        <f t="shared" si="7"/>
        <v>56.84210526</v>
      </c>
      <c r="F83" s="4">
        <v>0.0</v>
      </c>
      <c r="G83" s="8">
        <f t="shared" si="8"/>
        <v>341.0526316</v>
      </c>
      <c r="H83" s="452">
        <f t="shared" si="9"/>
        <v>341.0526316</v>
      </c>
    </row>
    <row r="84">
      <c r="A84" s="4" t="s">
        <v>15</v>
      </c>
      <c r="B84" s="4">
        <v>33.0</v>
      </c>
      <c r="C84" s="4">
        <v>18.0</v>
      </c>
      <c r="D84" s="4" t="s">
        <v>12160</v>
      </c>
      <c r="E84" s="4">
        <f t="shared" si="7"/>
        <v>54.54545455</v>
      </c>
      <c r="F84" s="4">
        <v>0.0</v>
      </c>
      <c r="G84" s="8">
        <f t="shared" si="8"/>
        <v>327.2727273</v>
      </c>
      <c r="H84" s="452">
        <f t="shared" si="9"/>
        <v>327.2727273</v>
      </c>
    </row>
    <row r="85">
      <c r="A85" s="4" t="s">
        <v>12</v>
      </c>
      <c r="B85" s="4">
        <v>44.0</v>
      </c>
      <c r="C85" s="4">
        <v>20.0</v>
      </c>
      <c r="D85" s="4" t="s">
        <v>12160</v>
      </c>
      <c r="E85" s="4">
        <f t="shared" si="7"/>
        <v>45.45454545</v>
      </c>
      <c r="F85" s="4">
        <v>0.0</v>
      </c>
      <c r="G85" s="8">
        <f t="shared" si="8"/>
        <v>272.7272727</v>
      </c>
      <c r="H85" s="452">
        <f t="shared" si="9"/>
        <v>272.7272727</v>
      </c>
    </row>
    <row r="86">
      <c r="A86" s="4" t="s">
        <v>9</v>
      </c>
      <c r="B86" s="4">
        <v>49.0</v>
      </c>
      <c r="C86" s="4">
        <v>18.0</v>
      </c>
      <c r="D86" s="4" t="s">
        <v>12160</v>
      </c>
      <c r="E86" s="4">
        <f t="shared" si="7"/>
        <v>36.73469388</v>
      </c>
      <c r="F86" s="4">
        <v>0.0</v>
      </c>
      <c r="G86" s="8">
        <f t="shared" si="8"/>
        <v>220.4081633</v>
      </c>
      <c r="H86" s="452">
        <f t="shared" si="9"/>
        <v>220.4081633</v>
      </c>
    </row>
    <row r="87">
      <c r="A87" s="4" t="s">
        <v>16</v>
      </c>
      <c r="B87" s="4">
        <v>5.0</v>
      </c>
      <c r="C87" s="4">
        <v>1.0</v>
      </c>
      <c r="D87" s="4" t="s">
        <v>12160</v>
      </c>
      <c r="E87" s="4">
        <f t="shared" si="7"/>
        <v>20</v>
      </c>
      <c r="F87" s="4">
        <v>0.0</v>
      </c>
      <c r="G87" s="8">
        <f t="shared" si="8"/>
        <v>120</v>
      </c>
      <c r="H87" s="452">
        <f t="shared" si="9"/>
        <v>120</v>
      </c>
    </row>
    <row r="88">
      <c r="A88" s="4" t="s">
        <v>5</v>
      </c>
      <c r="B88" s="4">
        <v>20.0</v>
      </c>
      <c r="C88" s="4">
        <v>6.0</v>
      </c>
      <c r="D88" s="4" t="s">
        <v>12169</v>
      </c>
      <c r="E88" s="4">
        <f t="shared" si="7"/>
        <v>30</v>
      </c>
      <c r="F88" s="4">
        <v>100.0</v>
      </c>
      <c r="G88" s="8">
        <f t="shared" si="8"/>
        <v>180</v>
      </c>
      <c r="H88" s="452">
        <f t="shared" si="9"/>
        <v>280</v>
      </c>
    </row>
    <row r="89">
      <c r="A89" s="4" t="s">
        <v>14</v>
      </c>
      <c r="B89" s="4">
        <v>0.0</v>
      </c>
      <c r="C89" s="4">
        <v>0.0</v>
      </c>
      <c r="D89" s="4" t="s">
        <v>12160</v>
      </c>
      <c r="E89" s="4" t="str">
        <f t="shared" si="7"/>
        <v>#DIV/0!</v>
      </c>
      <c r="F89" s="4">
        <v>0.0</v>
      </c>
      <c r="G89" s="8" t="str">
        <f t="shared" si="8"/>
        <v>#DIV/0!</v>
      </c>
      <c r="H89" s="452" t="str">
        <f t="shared" si="9"/>
        <v>#DIV/0!</v>
      </c>
    </row>
    <row r="90">
      <c r="A90" s="4" t="s">
        <v>19</v>
      </c>
      <c r="B90" s="4">
        <v>17.0</v>
      </c>
      <c r="C90" s="4">
        <v>5.0</v>
      </c>
      <c r="D90" s="4" t="s">
        <v>12160</v>
      </c>
      <c r="E90" s="4">
        <f t="shared" si="7"/>
        <v>29.41176471</v>
      </c>
      <c r="F90" s="4">
        <v>0.0</v>
      </c>
      <c r="G90" s="8">
        <f t="shared" si="8"/>
        <v>176.4705882</v>
      </c>
      <c r="H90" s="452">
        <f t="shared" si="9"/>
        <v>176.4705882</v>
      </c>
    </row>
    <row r="91">
      <c r="A91" s="4" t="s">
        <v>18</v>
      </c>
      <c r="B91" s="4">
        <v>9.0</v>
      </c>
      <c r="C91" s="4">
        <v>2.0</v>
      </c>
      <c r="D91" s="4" t="s">
        <v>12160</v>
      </c>
      <c r="E91" s="4">
        <f t="shared" si="7"/>
        <v>22.22222222</v>
      </c>
      <c r="F91" s="4">
        <v>0.0</v>
      </c>
      <c r="G91" s="8">
        <f t="shared" si="8"/>
        <v>133.3333333</v>
      </c>
      <c r="H91" s="452">
        <f t="shared" si="9"/>
        <v>133.3333333</v>
      </c>
    </row>
    <row r="92">
      <c r="A92" s="4" t="s">
        <v>103</v>
      </c>
      <c r="B92" s="4">
        <v>13.0</v>
      </c>
      <c r="C92" s="4">
        <v>7.0</v>
      </c>
      <c r="D92" s="4" t="s">
        <v>12160</v>
      </c>
      <c r="E92" s="4">
        <f t="shared" si="7"/>
        <v>53.84615385</v>
      </c>
      <c r="F92" s="4">
        <v>0.0</v>
      </c>
      <c r="G92" s="8">
        <f t="shared" si="8"/>
        <v>323.0769231</v>
      </c>
      <c r="H92" s="452">
        <f t="shared" si="9"/>
        <v>323.0769231</v>
      </c>
    </row>
    <row r="93">
      <c r="A93" s="4" t="s">
        <v>104</v>
      </c>
      <c r="B93" s="4">
        <v>10.0</v>
      </c>
      <c r="C93" s="4">
        <v>2.0</v>
      </c>
      <c r="D93" s="4" t="s">
        <v>12160</v>
      </c>
      <c r="E93" s="4">
        <f t="shared" si="7"/>
        <v>20</v>
      </c>
      <c r="F93" s="4">
        <v>0.0</v>
      </c>
      <c r="G93" s="8">
        <f t="shared" si="8"/>
        <v>120</v>
      </c>
      <c r="H93" s="452">
        <f t="shared" si="9"/>
        <v>120</v>
      </c>
    </row>
    <row r="94">
      <c r="A94" s="4" t="s">
        <v>105</v>
      </c>
      <c r="B94" s="4">
        <v>9.0</v>
      </c>
      <c r="C94" s="4">
        <v>5.0</v>
      </c>
      <c r="D94" s="4" t="s">
        <v>12160</v>
      </c>
      <c r="E94" s="4">
        <f t="shared" si="7"/>
        <v>55.55555556</v>
      </c>
      <c r="F94" s="4">
        <v>0.0</v>
      </c>
      <c r="G94" s="8">
        <f t="shared" si="8"/>
        <v>333.3333333</v>
      </c>
      <c r="H94" s="452">
        <f t="shared" si="9"/>
        <v>333.3333333</v>
      </c>
    </row>
    <row r="95">
      <c r="A95" s="4" t="s">
        <v>115</v>
      </c>
      <c r="B95" s="4">
        <v>0.0</v>
      </c>
      <c r="C95" s="4">
        <v>0.0</v>
      </c>
      <c r="D95" s="4" t="s">
        <v>12160</v>
      </c>
      <c r="E95" s="4" t="str">
        <f t="shared" si="7"/>
        <v>#DIV/0!</v>
      </c>
      <c r="F95" s="4">
        <v>0.0</v>
      </c>
      <c r="G95" s="8" t="str">
        <f t="shared" si="8"/>
        <v>#DIV/0!</v>
      </c>
      <c r="H95" s="452" t="str">
        <f t="shared" si="9"/>
        <v>#DIV/0!</v>
      </c>
    </row>
    <row r="96">
      <c r="A96" s="4" t="s">
        <v>109</v>
      </c>
      <c r="B96" s="4">
        <v>0.0</v>
      </c>
      <c r="C96" s="4">
        <v>0.0</v>
      </c>
      <c r="D96" s="4" t="s">
        <v>12160</v>
      </c>
      <c r="E96" s="4" t="str">
        <f t="shared" si="7"/>
        <v>#DIV/0!</v>
      </c>
      <c r="F96" s="4">
        <v>0.0</v>
      </c>
      <c r="G96" s="8" t="str">
        <f t="shared" si="8"/>
        <v>#DIV/0!</v>
      </c>
      <c r="H96" s="452" t="str">
        <f t="shared" si="9"/>
        <v>#DIV/0!</v>
      </c>
    </row>
    <row r="97">
      <c r="A97" s="4" t="s">
        <v>106</v>
      </c>
      <c r="B97" s="4">
        <v>9.0</v>
      </c>
      <c r="C97" s="4">
        <v>2.0</v>
      </c>
      <c r="D97" s="4" t="s">
        <v>12160</v>
      </c>
      <c r="E97" s="4">
        <f t="shared" si="7"/>
        <v>22.22222222</v>
      </c>
      <c r="F97" s="4">
        <v>0.0</v>
      </c>
      <c r="G97" s="8">
        <f t="shared" si="8"/>
        <v>133.3333333</v>
      </c>
      <c r="H97" s="452">
        <f t="shared" si="9"/>
        <v>133.3333333</v>
      </c>
    </row>
    <row r="98">
      <c r="A98" s="4" t="s">
        <v>120</v>
      </c>
      <c r="B98" s="4">
        <v>3.0</v>
      </c>
      <c r="C98" s="4">
        <v>2.0</v>
      </c>
      <c r="D98" s="4" t="s">
        <v>12160</v>
      </c>
      <c r="E98" s="4">
        <f t="shared" si="7"/>
        <v>66.66666667</v>
      </c>
      <c r="F98" s="4">
        <v>0.0</v>
      </c>
      <c r="G98" s="8">
        <f t="shared" si="8"/>
        <v>400</v>
      </c>
      <c r="H98" s="452">
        <f t="shared" si="9"/>
        <v>400</v>
      </c>
    </row>
    <row r="99">
      <c r="A99" s="4" t="s">
        <v>9277</v>
      </c>
      <c r="B99" s="4">
        <v>6.0</v>
      </c>
      <c r="C99" s="4">
        <v>5.0</v>
      </c>
      <c r="D99" s="4" t="s">
        <v>12160</v>
      </c>
      <c r="E99" s="4">
        <f t="shared" si="7"/>
        <v>83.33333333</v>
      </c>
      <c r="F99" s="4">
        <v>0.0</v>
      </c>
      <c r="G99" s="8">
        <f t="shared" si="8"/>
        <v>500</v>
      </c>
      <c r="H99" s="452">
        <f t="shared" si="9"/>
        <v>500</v>
      </c>
    </row>
    <row r="100">
      <c r="A100" s="4" t="s">
        <v>107</v>
      </c>
      <c r="B100" s="4">
        <v>7.0</v>
      </c>
      <c r="C100" s="4">
        <v>5.0</v>
      </c>
      <c r="D100" s="4" t="s">
        <v>12160</v>
      </c>
      <c r="E100" s="4">
        <f t="shared" si="7"/>
        <v>71.42857143</v>
      </c>
      <c r="F100" s="4">
        <v>0.0</v>
      </c>
      <c r="G100" s="8">
        <f t="shared" si="8"/>
        <v>428.5714286</v>
      </c>
      <c r="H100" s="452">
        <f t="shared" si="9"/>
        <v>428.5714286</v>
      </c>
    </row>
    <row r="101">
      <c r="A101" s="4" t="s">
        <v>123</v>
      </c>
      <c r="B101" s="4">
        <v>0.0</v>
      </c>
      <c r="C101" s="4">
        <v>0.0</v>
      </c>
      <c r="D101" s="4" t="s">
        <v>12160</v>
      </c>
      <c r="E101" s="4" t="str">
        <f t="shared" si="7"/>
        <v>#DIV/0!</v>
      </c>
      <c r="F101" s="4">
        <v>0.0</v>
      </c>
      <c r="G101" s="8" t="str">
        <f t="shared" si="8"/>
        <v>#DIV/0!</v>
      </c>
      <c r="H101" s="452" t="str">
        <f t="shared" si="9"/>
        <v>#DIV/0!</v>
      </c>
    </row>
    <row r="102">
      <c r="A102" s="4" t="s">
        <v>9274</v>
      </c>
      <c r="B102" s="4">
        <v>7.0</v>
      </c>
      <c r="C102" s="4">
        <v>3.0</v>
      </c>
      <c r="D102" s="4" t="s">
        <v>12160</v>
      </c>
      <c r="E102" s="4">
        <f t="shared" si="7"/>
        <v>42.85714286</v>
      </c>
      <c r="F102" s="4">
        <v>0.0</v>
      </c>
      <c r="G102" s="8">
        <f t="shared" si="8"/>
        <v>257.1428571</v>
      </c>
      <c r="H102" s="452">
        <f t="shared" si="9"/>
        <v>257.1428571</v>
      </c>
    </row>
    <row r="104">
      <c r="A104" s="444" t="s">
        <v>12170</v>
      </c>
    </row>
    <row r="105">
      <c r="A105" s="310" t="s">
        <v>4405</v>
      </c>
      <c r="B105" s="310" t="s">
        <v>12154</v>
      </c>
      <c r="C105" s="310" t="s">
        <v>12155</v>
      </c>
      <c r="D105" s="310" t="s">
        <v>12156</v>
      </c>
      <c r="E105" s="310" t="s">
        <v>12157</v>
      </c>
      <c r="F105" s="310" t="s">
        <v>12158</v>
      </c>
      <c r="G105" s="310" t="s">
        <v>12159</v>
      </c>
      <c r="H105" s="310" t="s">
        <v>439</v>
      </c>
    </row>
    <row r="106">
      <c r="A106" s="4" t="s">
        <v>11</v>
      </c>
      <c r="B106" s="4">
        <v>14.0</v>
      </c>
      <c r="C106" s="4">
        <v>7.0</v>
      </c>
      <c r="D106" s="4" t="s">
        <v>12160</v>
      </c>
      <c r="E106" s="4">
        <f t="shared" ref="E106:E132" si="10">(C106/B106)*100</f>
        <v>50</v>
      </c>
      <c r="F106" s="4">
        <v>0.0</v>
      </c>
      <c r="G106" s="8">
        <f t="shared" ref="G106:G132" si="11">E106*6</f>
        <v>300</v>
      </c>
      <c r="H106" s="452">
        <f t="shared" ref="H106:H132" si="12">F106+G106</f>
        <v>300</v>
      </c>
    </row>
    <row r="107">
      <c r="A107" s="4" t="s">
        <v>4</v>
      </c>
      <c r="B107" s="4">
        <v>29.0</v>
      </c>
      <c r="C107" s="4">
        <v>12.0</v>
      </c>
      <c r="D107" s="4" t="s">
        <v>12171</v>
      </c>
      <c r="E107" s="4">
        <f t="shared" si="10"/>
        <v>41.37931034</v>
      </c>
      <c r="F107" s="4">
        <v>100.0</v>
      </c>
      <c r="G107" s="8">
        <f t="shared" si="11"/>
        <v>248.2758621</v>
      </c>
      <c r="H107" s="452">
        <f t="shared" si="12"/>
        <v>348.2758621</v>
      </c>
    </row>
    <row r="108">
      <c r="A108" s="4" t="s">
        <v>9</v>
      </c>
      <c r="B108" s="4">
        <v>22.0</v>
      </c>
      <c r="C108" s="4">
        <v>8.0</v>
      </c>
      <c r="D108" s="4" t="s">
        <v>12160</v>
      </c>
      <c r="E108" s="4">
        <f t="shared" si="10"/>
        <v>36.36363636</v>
      </c>
      <c r="F108" s="4">
        <v>0.0</v>
      </c>
      <c r="G108" s="8">
        <f t="shared" si="11"/>
        <v>218.1818182</v>
      </c>
      <c r="H108" s="452">
        <f t="shared" si="12"/>
        <v>218.1818182</v>
      </c>
    </row>
    <row r="109">
      <c r="A109" s="4" t="s">
        <v>17</v>
      </c>
      <c r="B109" s="4">
        <v>27.0</v>
      </c>
      <c r="C109" s="4">
        <v>13.0</v>
      </c>
      <c r="D109" s="4" t="s">
        <v>12160</v>
      </c>
      <c r="E109" s="4">
        <f t="shared" si="10"/>
        <v>48.14814815</v>
      </c>
      <c r="F109" s="4">
        <v>0.0</v>
      </c>
      <c r="G109" s="8">
        <f t="shared" si="11"/>
        <v>288.8888889</v>
      </c>
      <c r="H109" s="452">
        <f t="shared" si="12"/>
        <v>288.8888889</v>
      </c>
    </row>
    <row r="110">
      <c r="A110" s="4" t="s">
        <v>15</v>
      </c>
      <c r="B110" s="4">
        <v>17.0</v>
      </c>
      <c r="C110" s="4">
        <v>6.0</v>
      </c>
      <c r="D110" s="4" t="s">
        <v>12160</v>
      </c>
      <c r="E110" s="4">
        <f t="shared" si="10"/>
        <v>35.29411765</v>
      </c>
      <c r="F110" s="4">
        <v>0.0</v>
      </c>
      <c r="G110" s="8">
        <f t="shared" si="11"/>
        <v>211.7647059</v>
      </c>
      <c r="H110" s="452">
        <f t="shared" si="12"/>
        <v>211.7647059</v>
      </c>
    </row>
    <row r="111">
      <c r="A111" s="4" t="s">
        <v>6</v>
      </c>
      <c r="B111" s="4">
        <v>33.0</v>
      </c>
      <c r="C111" s="4">
        <v>21.0</v>
      </c>
      <c r="D111" s="4" t="s">
        <v>12172</v>
      </c>
      <c r="E111" s="4">
        <f t="shared" si="10"/>
        <v>63.63636364</v>
      </c>
      <c r="F111" s="4">
        <v>100.0</v>
      </c>
      <c r="G111" s="8">
        <f t="shared" si="11"/>
        <v>381.8181818</v>
      </c>
      <c r="H111" s="452">
        <f t="shared" si="12"/>
        <v>481.8181818</v>
      </c>
    </row>
    <row r="112">
      <c r="A112" s="4" t="s">
        <v>7</v>
      </c>
      <c r="B112" s="4">
        <v>20.0</v>
      </c>
      <c r="C112" s="4">
        <v>9.0</v>
      </c>
      <c r="D112" s="4" t="s">
        <v>12160</v>
      </c>
      <c r="E112" s="4">
        <f t="shared" si="10"/>
        <v>45</v>
      </c>
      <c r="F112" s="4">
        <v>0.0</v>
      </c>
      <c r="G112" s="8">
        <f t="shared" si="11"/>
        <v>270</v>
      </c>
      <c r="H112" s="452">
        <f t="shared" si="12"/>
        <v>270</v>
      </c>
    </row>
    <row r="113">
      <c r="A113" s="4" t="s">
        <v>5</v>
      </c>
      <c r="B113" s="4">
        <v>31.0</v>
      </c>
      <c r="C113" s="4">
        <v>16.0</v>
      </c>
      <c r="D113" s="4" t="s">
        <v>12173</v>
      </c>
      <c r="E113" s="4">
        <f t="shared" si="10"/>
        <v>51.61290323</v>
      </c>
      <c r="F113" s="4">
        <v>70.0</v>
      </c>
      <c r="G113" s="8">
        <f t="shared" si="11"/>
        <v>309.6774194</v>
      </c>
      <c r="H113" s="452">
        <f t="shared" si="12"/>
        <v>379.6774194</v>
      </c>
    </row>
    <row r="114">
      <c r="A114" s="4" t="s">
        <v>10</v>
      </c>
      <c r="B114" s="4">
        <v>18.0</v>
      </c>
      <c r="C114" s="4">
        <v>7.0</v>
      </c>
      <c r="D114" s="4" t="s">
        <v>12174</v>
      </c>
      <c r="E114" s="4">
        <f t="shared" si="10"/>
        <v>38.88888889</v>
      </c>
      <c r="F114" s="4">
        <v>70.0</v>
      </c>
      <c r="G114" s="8">
        <f t="shared" si="11"/>
        <v>233.3333333</v>
      </c>
      <c r="H114" s="452">
        <f t="shared" si="12"/>
        <v>303.3333333</v>
      </c>
    </row>
    <row r="115">
      <c r="A115" s="4" t="s">
        <v>14</v>
      </c>
      <c r="B115" s="4">
        <v>21.0</v>
      </c>
      <c r="C115" s="4">
        <v>9.0</v>
      </c>
      <c r="D115" s="4" t="s">
        <v>12175</v>
      </c>
      <c r="E115" s="4">
        <f t="shared" si="10"/>
        <v>42.85714286</v>
      </c>
      <c r="F115" s="4">
        <v>70.0</v>
      </c>
      <c r="G115" s="8">
        <f t="shared" si="11"/>
        <v>257.1428571</v>
      </c>
      <c r="H115" s="452">
        <f t="shared" si="12"/>
        <v>327.1428571</v>
      </c>
    </row>
    <row r="116">
      <c r="A116" s="4" t="s">
        <v>16</v>
      </c>
      <c r="B116" s="4">
        <v>25.0</v>
      </c>
      <c r="C116" s="4">
        <v>15.0</v>
      </c>
      <c r="D116" s="4" t="s">
        <v>12160</v>
      </c>
      <c r="E116" s="4">
        <f t="shared" si="10"/>
        <v>60</v>
      </c>
      <c r="F116" s="4">
        <v>0.0</v>
      </c>
      <c r="G116" s="8">
        <f t="shared" si="11"/>
        <v>360</v>
      </c>
      <c r="H116" s="452">
        <f t="shared" si="12"/>
        <v>360</v>
      </c>
    </row>
    <row r="117">
      <c r="A117" s="4" t="s">
        <v>12</v>
      </c>
      <c r="B117" s="4">
        <v>15.0</v>
      </c>
      <c r="C117" s="4">
        <v>9.0</v>
      </c>
      <c r="D117" s="4" t="s">
        <v>12176</v>
      </c>
      <c r="E117" s="4">
        <f t="shared" si="10"/>
        <v>60</v>
      </c>
      <c r="F117" s="4">
        <v>100.0</v>
      </c>
      <c r="G117" s="8">
        <f t="shared" si="11"/>
        <v>360</v>
      </c>
      <c r="H117" s="452">
        <f t="shared" si="12"/>
        <v>460</v>
      </c>
    </row>
    <row r="118">
      <c r="A118" s="4" t="s">
        <v>8</v>
      </c>
      <c r="B118" s="4">
        <v>15.0</v>
      </c>
      <c r="C118" s="4">
        <v>8.0</v>
      </c>
      <c r="D118" s="4" t="s">
        <v>12177</v>
      </c>
      <c r="E118" s="4">
        <f t="shared" si="10"/>
        <v>53.33333333</v>
      </c>
      <c r="F118" s="4">
        <v>70.0</v>
      </c>
      <c r="G118" s="8">
        <f t="shared" si="11"/>
        <v>320</v>
      </c>
      <c r="H118" s="452">
        <f t="shared" si="12"/>
        <v>390</v>
      </c>
    </row>
    <row r="119">
      <c r="A119" s="4" t="s">
        <v>13</v>
      </c>
      <c r="B119" s="4">
        <v>16.0</v>
      </c>
      <c r="C119" s="4">
        <v>11.0</v>
      </c>
      <c r="D119" s="4" t="s">
        <v>12178</v>
      </c>
      <c r="E119" s="4">
        <f t="shared" si="10"/>
        <v>68.75</v>
      </c>
      <c r="F119" s="4">
        <v>100.0</v>
      </c>
      <c r="G119" s="8">
        <f t="shared" si="11"/>
        <v>412.5</v>
      </c>
      <c r="H119" s="452">
        <f t="shared" si="12"/>
        <v>512.5</v>
      </c>
    </row>
    <row r="120">
      <c r="A120" s="4" t="s">
        <v>19</v>
      </c>
      <c r="B120" s="4">
        <v>3.0</v>
      </c>
      <c r="C120" s="4">
        <v>2.0</v>
      </c>
      <c r="D120" s="4" t="s">
        <v>12160</v>
      </c>
      <c r="E120" s="4">
        <f t="shared" si="10"/>
        <v>66.66666667</v>
      </c>
      <c r="F120" s="4">
        <v>0.0</v>
      </c>
      <c r="G120" s="8">
        <f t="shared" si="11"/>
        <v>400</v>
      </c>
      <c r="H120" s="452">
        <f t="shared" si="12"/>
        <v>400</v>
      </c>
    </row>
    <row r="121">
      <c r="A121" s="4" t="s">
        <v>18</v>
      </c>
      <c r="B121" s="4">
        <v>3.0</v>
      </c>
      <c r="C121" s="4">
        <v>2.0</v>
      </c>
      <c r="D121" s="4" t="s">
        <v>12160</v>
      </c>
      <c r="E121" s="4">
        <f t="shared" si="10"/>
        <v>66.66666667</v>
      </c>
      <c r="F121" s="4">
        <v>0.0</v>
      </c>
      <c r="G121" s="8">
        <f t="shared" si="11"/>
        <v>400</v>
      </c>
      <c r="H121" s="452">
        <f t="shared" si="12"/>
        <v>400</v>
      </c>
    </row>
    <row r="122">
      <c r="A122" s="4" t="s">
        <v>103</v>
      </c>
      <c r="B122" s="4">
        <v>2.0</v>
      </c>
      <c r="C122" s="4">
        <v>1.0</v>
      </c>
      <c r="D122" s="4" t="s">
        <v>12160</v>
      </c>
      <c r="E122" s="4">
        <f t="shared" si="10"/>
        <v>50</v>
      </c>
      <c r="F122" s="4">
        <v>0.0</v>
      </c>
      <c r="G122" s="8">
        <f t="shared" si="11"/>
        <v>300</v>
      </c>
      <c r="H122" s="452">
        <f t="shared" si="12"/>
        <v>300</v>
      </c>
    </row>
    <row r="123">
      <c r="A123" s="4" t="s">
        <v>104</v>
      </c>
      <c r="B123" s="4">
        <v>2.0</v>
      </c>
      <c r="C123" s="4">
        <v>0.0</v>
      </c>
      <c r="D123" s="4" t="s">
        <v>12160</v>
      </c>
      <c r="E123" s="4">
        <f t="shared" si="10"/>
        <v>0</v>
      </c>
      <c r="F123" s="4">
        <v>0.0</v>
      </c>
      <c r="G123" s="8">
        <f t="shared" si="11"/>
        <v>0</v>
      </c>
      <c r="H123" s="452">
        <f t="shared" si="12"/>
        <v>0</v>
      </c>
    </row>
    <row r="124">
      <c r="A124" s="4" t="s">
        <v>105</v>
      </c>
      <c r="B124" s="4">
        <v>6.0</v>
      </c>
      <c r="C124" s="4">
        <v>3.0</v>
      </c>
      <c r="D124" s="4" t="s">
        <v>12160</v>
      </c>
      <c r="E124" s="4">
        <f t="shared" si="10"/>
        <v>50</v>
      </c>
      <c r="F124" s="4">
        <v>0.0</v>
      </c>
      <c r="G124" s="8">
        <f t="shared" si="11"/>
        <v>300</v>
      </c>
      <c r="H124" s="452">
        <f t="shared" si="12"/>
        <v>300</v>
      </c>
    </row>
    <row r="125">
      <c r="A125" s="4" t="s">
        <v>115</v>
      </c>
      <c r="B125" s="4">
        <v>1.0</v>
      </c>
      <c r="C125" s="4">
        <v>0.0</v>
      </c>
      <c r="D125" s="4" t="s">
        <v>12160</v>
      </c>
      <c r="E125" s="4">
        <f t="shared" si="10"/>
        <v>0</v>
      </c>
      <c r="F125" s="4">
        <v>0.0</v>
      </c>
      <c r="G125" s="8">
        <f t="shared" si="11"/>
        <v>0</v>
      </c>
      <c r="H125" s="452">
        <f t="shared" si="12"/>
        <v>0</v>
      </c>
    </row>
    <row r="126">
      <c r="A126" s="4" t="s">
        <v>109</v>
      </c>
      <c r="B126" s="4">
        <v>0.0</v>
      </c>
      <c r="C126" s="4">
        <v>0.0</v>
      </c>
      <c r="D126" s="4" t="s">
        <v>12160</v>
      </c>
      <c r="E126" s="4" t="str">
        <f t="shared" si="10"/>
        <v>#DIV/0!</v>
      </c>
      <c r="F126" s="4">
        <v>0.0</v>
      </c>
      <c r="G126" s="8" t="str">
        <f t="shared" si="11"/>
        <v>#DIV/0!</v>
      </c>
      <c r="H126" s="452" t="str">
        <f t="shared" si="12"/>
        <v>#DIV/0!</v>
      </c>
    </row>
    <row r="127">
      <c r="A127" s="4" t="s">
        <v>106</v>
      </c>
      <c r="B127" s="4">
        <v>0.0</v>
      </c>
      <c r="C127" s="4">
        <v>0.0</v>
      </c>
      <c r="D127" s="4" t="s">
        <v>12160</v>
      </c>
      <c r="E127" s="4" t="str">
        <f t="shared" si="10"/>
        <v>#DIV/0!</v>
      </c>
      <c r="F127" s="4">
        <v>0.0</v>
      </c>
      <c r="G127" s="8" t="str">
        <f t="shared" si="11"/>
        <v>#DIV/0!</v>
      </c>
      <c r="H127" s="452" t="str">
        <f t="shared" si="12"/>
        <v>#DIV/0!</v>
      </c>
    </row>
    <row r="128">
      <c r="A128" s="4" t="s">
        <v>120</v>
      </c>
      <c r="B128" s="4">
        <v>0.0</v>
      </c>
      <c r="C128" s="4">
        <v>0.0</v>
      </c>
      <c r="D128" s="4" t="s">
        <v>12160</v>
      </c>
      <c r="E128" s="4" t="str">
        <f t="shared" si="10"/>
        <v>#DIV/0!</v>
      </c>
      <c r="F128" s="4">
        <v>0.0</v>
      </c>
      <c r="G128" s="8" t="str">
        <f t="shared" si="11"/>
        <v>#DIV/0!</v>
      </c>
      <c r="H128" s="452" t="str">
        <f t="shared" si="12"/>
        <v>#DIV/0!</v>
      </c>
    </row>
    <row r="129">
      <c r="A129" s="4" t="s">
        <v>9277</v>
      </c>
      <c r="B129" s="4">
        <v>0.0</v>
      </c>
      <c r="C129" s="4">
        <v>0.0</v>
      </c>
      <c r="D129" s="4" t="s">
        <v>12160</v>
      </c>
      <c r="E129" s="4" t="str">
        <f t="shared" si="10"/>
        <v>#DIV/0!</v>
      </c>
      <c r="F129" s="4">
        <v>0.0</v>
      </c>
      <c r="G129" s="8" t="str">
        <f t="shared" si="11"/>
        <v>#DIV/0!</v>
      </c>
      <c r="H129" s="452" t="str">
        <f t="shared" si="12"/>
        <v>#DIV/0!</v>
      </c>
    </row>
    <row r="130">
      <c r="A130" s="4" t="s">
        <v>107</v>
      </c>
      <c r="B130" s="4">
        <v>0.0</v>
      </c>
      <c r="C130" s="4">
        <v>0.0</v>
      </c>
      <c r="D130" s="4" t="s">
        <v>12160</v>
      </c>
      <c r="E130" s="4" t="str">
        <f t="shared" si="10"/>
        <v>#DIV/0!</v>
      </c>
      <c r="F130" s="4">
        <v>0.0</v>
      </c>
      <c r="G130" s="8" t="str">
        <f t="shared" si="11"/>
        <v>#DIV/0!</v>
      </c>
      <c r="H130" s="452" t="str">
        <f t="shared" si="12"/>
        <v>#DIV/0!</v>
      </c>
    </row>
    <row r="131">
      <c r="A131" s="4" t="s">
        <v>123</v>
      </c>
      <c r="B131" s="4">
        <v>0.0</v>
      </c>
      <c r="C131" s="4">
        <v>0.0</v>
      </c>
      <c r="D131" s="4" t="s">
        <v>12160</v>
      </c>
      <c r="E131" s="4" t="str">
        <f t="shared" si="10"/>
        <v>#DIV/0!</v>
      </c>
      <c r="F131" s="4">
        <v>0.0</v>
      </c>
      <c r="G131" s="8" t="str">
        <f t="shared" si="11"/>
        <v>#DIV/0!</v>
      </c>
      <c r="H131" s="452" t="str">
        <f t="shared" si="12"/>
        <v>#DIV/0!</v>
      </c>
    </row>
    <row r="132">
      <c r="A132" s="4" t="s">
        <v>9274</v>
      </c>
      <c r="B132" s="4">
        <v>0.0</v>
      </c>
      <c r="C132" s="4">
        <v>0.0</v>
      </c>
      <c r="D132" s="4" t="s">
        <v>12160</v>
      </c>
      <c r="E132" s="4" t="str">
        <f t="shared" si="10"/>
        <v>#DIV/0!</v>
      </c>
      <c r="F132" s="4">
        <v>0.0</v>
      </c>
      <c r="G132" s="8" t="str">
        <f t="shared" si="11"/>
        <v>#DIV/0!</v>
      </c>
      <c r="H132" s="452" t="str">
        <f t="shared" si="12"/>
        <v>#DIV/0!</v>
      </c>
    </row>
    <row r="134">
      <c r="A134" s="444" t="s">
        <v>12179</v>
      </c>
    </row>
    <row r="135">
      <c r="A135" s="310" t="s">
        <v>4405</v>
      </c>
      <c r="B135" s="310" t="s">
        <v>12154</v>
      </c>
      <c r="C135" s="310" t="s">
        <v>12155</v>
      </c>
      <c r="D135" s="310" t="s">
        <v>12156</v>
      </c>
      <c r="E135" s="310" t="s">
        <v>12157</v>
      </c>
      <c r="F135" s="310" t="s">
        <v>12158</v>
      </c>
      <c r="G135" s="310" t="s">
        <v>12159</v>
      </c>
      <c r="H135" s="310" t="s">
        <v>439</v>
      </c>
    </row>
    <row r="136">
      <c r="A136" s="4" t="s">
        <v>5</v>
      </c>
      <c r="B136" s="4">
        <v>0.0</v>
      </c>
      <c r="C136" s="4">
        <v>0.0</v>
      </c>
      <c r="D136" s="4" t="s">
        <v>12160</v>
      </c>
      <c r="E136" s="4" t="str">
        <f t="shared" ref="E136:E162" si="13">(C136/B136)*100</f>
        <v>#DIV/0!</v>
      </c>
      <c r="F136" s="4">
        <v>0.0</v>
      </c>
      <c r="G136" s="8" t="str">
        <f t="shared" ref="G136:G162" si="14">E136*6</f>
        <v>#DIV/0!</v>
      </c>
      <c r="H136" s="452" t="str">
        <f t="shared" ref="H136:H162" si="15">F136+G136</f>
        <v>#DIV/0!</v>
      </c>
    </row>
    <row r="137">
      <c r="A137" s="4" t="s">
        <v>6</v>
      </c>
      <c r="B137" s="4">
        <v>0.0</v>
      </c>
      <c r="C137" s="4">
        <v>0.0</v>
      </c>
      <c r="D137" s="4" t="s">
        <v>12160</v>
      </c>
      <c r="E137" s="4" t="str">
        <f t="shared" si="13"/>
        <v>#DIV/0!</v>
      </c>
      <c r="F137" s="4">
        <v>0.0</v>
      </c>
      <c r="G137" s="8" t="str">
        <f t="shared" si="14"/>
        <v>#DIV/0!</v>
      </c>
      <c r="H137" s="452" t="str">
        <f t="shared" si="15"/>
        <v>#DIV/0!</v>
      </c>
    </row>
    <row r="138">
      <c r="A138" s="4" t="s">
        <v>10</v>
      </c>
      <c r="B138" s="4">
        <v>0.0</v>
      </c>
      <c r="C138" s="4">
        <v>0.0</v>
      </c>
      <c r="D138" s="4" t="s">
        <v>12160</v>
      </c>
      <c r="E138" s="4" t="str">
        <f t="shared" si="13"/>
        <v>#DIV/0!</v>
      </c>
      <c r="F138" s="4">
        <v>0.0</v>
      </c>
      <c r="G138" s="8" t="str">
        <f t="shared" si="14"/>
        <v>#DIV/0!</v>
      </c>
      <c r="H138" s="452" t="str">
        <f t="shared" si="15"/>
        <v>#DIV/0!</v>
      </c>
    </row>
    <row r="139">
      <c r="A139" s="4" t="s">
        <v>17</v>
      </c>
      <c r="B139" s="4">
        <v>0.0</v>
      </c>
      <c r="C139" s="4">
        <v>0.0</v>
      </c>
      <c r="D139" s="4" t="s">
        <v>12160</v>
      </c>
      <c r="E139" s="4" t="str">
        <f t="shared" si="13"/>
        <v>#DIV/0!</v>
      </c>
      <c r="F139" s="4">
        <v>0.0</v>
      </c>
      <c r="G139" s="8" t="str">
        <f t="shared" si="14"/>
        <v>#DIV/0!</v>
      </c>
      <c r="H139" s="452" t="str">
        <f t="shared" si="15"/>
        <v>#DIV/0!</v>
      </c>
    </row>
    <row r="140">
      <c r="A140" s="4" t="s">
        <v>12</v>
      </c>
      <c r="B140" s="4">
        <v>0.0</v>
      </c>
      <c r="C140" s="4">
        <v>0.0</v>
      </c>
      <c r="D140" s="4" t="s">
        <v>12160</v>
      </c>
      <c r="E140" s="4" t="str">
        <f t="shared" si="13"/>
        <v>#DIV/0!</v>
      </c>
      <c r="F140" s="4">
        <v>0.0</v>
      </c>
      <c r="G140" s="8" t="str">
        <f t="shared" si="14"/>
        <v>#DIV/0!</v>
      </c>
      <c r="H140" s="452" t="str">
        <f t="shared" si="15"/>
        <v>#DIV/0!</v>
      </c>
    </row>
    <row r="141">
      <c r="A141" s="4" t="s">
        <v>9</v>
      </c>
      <c r="B141" s="4">
        <v>0.0</v>
      </c>
      <c r="C141" s="4">
        <v>0.0</v>
      </c>
      <c r="D141" s="4" t="s">
        <v>12160</v>
      </c>
      <c r="E141" s="4" t="str">
        <f t="shared" si="13"/>
        <v>#DIV/0!</v>
      </c>
      <c r="F141" s="4">
        <v>0.0</v>
      </c>
      <c r="G141" s="8" t="str">
        <f t="shared" si="14"/>
        <v>#DIV/0!</v>
      </c>
      <c r="H141" s="452" t="str">
        <f t="shared" si="15"/>
        <v>#DIV/0!</v>
      </c>
    </row>
    <row r="142">
      <c r="A142" s="4" t="s">
        <v>4</v>
      </c>
      <c r="B142" s="4">
        <v>0.0</v>
      </c>
      <c r="C142" s="4">
        <v>0.0</v>
      </c>
      <c r="D142" s="4" t="s">
        <v>12160</v>
      </c>
      <c r="E142" s="4" t="str">
        <f t="shared" si="13"/>
        <v>#DIV/0!</v>
      </c>
      <c r="F142" s="4">
        <v>0.0</v>
      </c>
      <c r="G142" s="8" t="str">
        <f t="shared" si="14"/>
        <v>#DIV/0!</v>
      </c>
      <c r="H142" s="452" t="str">
        <f t="shared" si="15"/>
        <v>#DIV/0!</v>
      </c>
    </row>
    <row r="143">
      <c r="A143" s="4" t="s">
        <v>14</v>
      </c>
      <c r="B143" s="4">
        <v>0.0</v>
      </c>
      <c r="C143" s="4">
        <v>0.0</v>
      </c>
      <c r="D143" s="4" t="s">
        <v>12160</v>
      </c>
      <c r="E143" s="4" t="str">
        <f t="shared" si="13"/>
        <v>#DIV/0!</v>
      </c>
      <c r="F143" s="4">
        <v>0.0</v>
      </c>
      <c r="G143" s="8" t="str">
        <f t="shared" si="14"/>
        <v>#DIV/0!</v>
      </c>
      <c r="H143" s="452" t="str">
        <f t="shared" si="15"/>
        <v>#DIV/0!</v>
      </c>
    </row>
    <row r="144">
      <c r="A144" s="4" t="s">
        <v>7</v>
      </c>
      <c r="B144" s="4">
        <v>0.0</v>
      </c>
      <c r="C144" s="4">
        <v>0.0</v>
      </c>
      <c r="D144" s="4" t="s">
        <v>12160</v>
      </c>
      <c r="E144" s="4" t="str">
        <f t="shared" si="13"/>
        <v>#DIV/0!</v>
      </c>
      <c r="F144" s="4">
        <v>0.0</v>
      </c>
      <c r="G144" s="8" t="str">
        <f t="shared" si="14"/>
        <v>#DIV/0!</v>
      </c>
      <c r="H144" s="452" t="str">
        <f t="shared" si="15"/>
        <v>#DIV/0!</v>
      </c>
    </row>
    <row r="145">
      <c r="A145" s="4" t="s">
        <v>8</v>
      </c>
      <c r="B145" s="4">
        <v>0.0</v>
      </c>
      <c r="C145" s="4">
        <v>0.0</v>
      </c>
      <c r="D145" s="4" t="s">
        <v>12160</v>
      </c>
      <c r="E145" s="4" t="str">
        <f t="shared" si="13"/>
        <v>#DIV/0!</v>
      </c>
      <c r="F145" s="4">
        <v>0.0</v>
      </c>
      <c r="G145" s="8" t="str">
        <f t="shared" si="14"/>
        <v>#DIV/0!</v>
      </c>
      <c r="H145" s="452" t="str">
        <f t="shared" si="15"/>
        <v>#DIV/0!</v>
      </c>
    </row>
    <row r="146">
      <c r="A146" s="4" t="s">
        <v>11</v>
      </c>
      <c r="B146" s="4">
        <v>0.0</v>
      </c>
      <c r="C146" s="4">
        <v>0.0</v>
      </c>
      <c r="D146" s="4" t="s">
        <v>12160</v>
      </c>
      <c r="E146" s="4" t="str">
        <f t="shared" si="13"/>
        <v>#DIV/0!</v>
      </c>
      <c r="F146" s="4">
        <v>0.0</v>
      </c>
      <c r="G146" s="8" t="str">
        <f t="shared" si="14"/>
        <v>#DIV/0!</v>
      </c>
      <c r="H146" s="452" t="str">
        <f t="shared" si="15"/>
        <v>#DIV/0!</v>
      </c>
    </row>
    <row r="147">
      <c r="A147" s="4" t="s">
        <v>13</v>
      </c>
      <c r="B147" s="4">
        <v>0.0</v>
      </c>
      <c r="C147" s="4">
        <v>0.0</v>
      </c>
      <c r="D147" s="4" t="s">
        <v>12160</v>
      </c>
      <c r="E147" s="4" t="str">
        <f t="shared" si="13"/>
        <v>#DIV/0!</v>
      </c>
      <c r="F147" s="4">
        <v>0.0</v>
      </c>
      <c r="G147" s="8" t="str">
        <f t="shared" si="14"/>
        <v>#DIV/0!</v>
      </c>
      <c r="H147" s="452" t="str">
        <f t="shared" si="15"/>
        <v>#DIV/0!</v>
      </c>
    </row>
    <row r="148">
      <c r="A148" s="4" t="s">
        <v>15</v>
      </c>
      <c r="B148" s="4">
        <v>0.0</v>
      </c>
      <c r="C148" s="4">
        <v>0.0</v>
      </c>
      <c r="D148" s="4" t="s">
        <v>12160</v>
      </c>
      <c r="E148" s="4" t="str">
        <f t="shared" si="13"/>
        <v>#DIV/0!</v>
      </c>
      <c r="F148" s="4">
        <v>0.0</v>
      </c>
      <c r="G148" s="8" t="str">
        <f t="shared" si="14"/>
        <v>#DIV/0!</v>
      </c>
      <c r="H148" s="452" t="str">
        <f t="shared" si="15"/>
        <v>#DIV/0!</v>
      </c>
    </row>
    <row r="149">
      <c r="A149" s="4" t="s">
        <v>16</v>
      </c>
      <c r="B149" s="4">
        <v>0.0</v>
      </c>
      <c r="C149" s="4">
        <v>0.0</v>
      </c>
      <c r="D149" s="4" t="s">
        <v>12160</v>
      </c>
      <c r="E149" s="4" t="str">
        <f t="shared" si="13"/>
        <v>#DIV/0!</v>
      </c>
      <c r="F149" s="4">
        <v>0.0</v>
      </c>
      <c r="G149" s="8" t="str">
        <f t="shared" si="14"/>
        <v>#DIV/0!</v>
      </c>
      <c r="H149" s="452" t="str">
        <f t="shared" si="15"/>
        <v>#DIV/0!</v>
      </c>
    </row>
    <row r="150">
      <c r="A150" s="4" t="s">
        <v>19</v>
      </c>
      <c r="B150" s="4">
        <v>0.0</v>
      </c>
      <c r="C150" s="4">
        <v>0.0</v>
      </c>
      <c r="D150" s="4" t="s">
        <v>12160</v>
      </c>
      <c r="E150" s="4" t="str">
        <f t="shared" si="13"/>
        <v>#DIV/0!</v>
      </c>
      <c r="F150" s="4">
        <v>0.0</v>
      </c>
      <c r="G150" s="8" t="str">
        <f t="shared" si="14"/>
        <v>#DIV/0!</v>
      </c>
      <c r="H150" s="452" t="str">
        <f t="shared" si="15"/>
        <v>#DIV/0!</v>
      </c>
    </row>
    <row r="151">
      <c r="A151" s="4" t="s">
        <v>18</v>
      </c>
      <c r="B151" s="4">
        <v>0.0</v>
      </c>
      <c r="C151" s="4">
        <v>0.0</v>
      </c>
      <c r="D151" s="4" t="s">
        <v>12160</v>
      </c>
      <c r="E151" s="4" t="str">
        <f t="shared" si="13"/>
        <v>#DIV/0!</v>
      </c>
      <c r="F151" s="4">
        <v>0.0</v>
      </c>
      <c r="G151" s="8" t="str">
        <f t="shared" si="14"/>
        <v>#DIV/0!</v>
      </c>
      <c r="H151" s="452" t="str">
        <f t="shared" si="15"/>
        <v>#DIV/0!</v>
      </c>
    </row>
    <row r="152">
      <c r="A152" s="4" t="s">
        <v>103</v>
      </c>
      <c r="B152" s="4">
        <v>0.0</v>
      </c>
      <c r="C152" s="4">
        <v>0.0</v>
      </c>
      <c r="D152" s="4" t="s">
        <v>12160</v>
      </c>
      <c r="E152" s="4" t="str">
        <f t="shared" si="13"/>
        <v>#DIV/0!</v>
      </c>
      <c r="F152" s="4">
        <v>0.0</v>
      </c>
      <c r="G152" s="8" t="str">
        <f t="shared" si="14"/>
        <v>#DIV/0!</v>
      </c>
      <c r="H152" s="452" t="str">
        <f t="shared" si="15"/>
        <v>#DIV/0!</v>
      </c>
    </row>
    <row r="153">
      <c r="A153" s="4" t="s">
        <v>104</v>
      </c>
      <c r="B153" s="4">
        <v>0.0</v>
      </c>
      <c r="C153" s="4">
        <v>0.0</v>
      </c>
      <c r="D153" s="4" t="s">
        <v>12160</v>
      </c>
      <c r="E153" s="4" t="str">
        <f t="shared" si="13"/>
        <v>#DIV/0!</v>
      </c>
      <c r="F153" s="4">
        <v>0.0</v>
      </c>
      <c r="G153" s="8" t="str">
        <f t="shared" si="14"/>
        <v>#DIV/0!</v>
      </c>
      <c r="H153" s="452" t="str">
        <f t="shared" si="15"/>
        <v>#DIV/0!</v>
      </c>
    </row>
    <row r="154">
      <c r="A154" s="4" t="s">
        <v>105</v>
      </c>
      <c r="B154" s="4">
        <v>0.0</v>
      </c>
      <c r="C154" s="4">
        <v>0.0</v>
      </c>
      <c r="D154" s="4" t="s">
        <v>12160</v>
      </c>
      <c r="E154" s="4" t="str">
        <f t="shared" si="13"/>
        <v>#DIV/0!</v>
      </c>
      <c r="F154" s="4">
        <v>0.0</v>
      </c>
      <c r="G154" s="8" t="str">
        <f t="shared" si="14"/>
        <v>#DIV/0!</v>
      </c>
      <c r="H154" s="452" t="str">
        <f t="shared" si="15"/>
        <v>#DIV/0!</v>
      </c>
    </row>
    <row r="155">
      <c r="A155" s="4" t="s">
        <v>115</v>
      </c>
      <c r="B155" s="4">
        <v>0.0</v>
      </c>
      <c r="C155" s="4">
        <v>0.0</v>
      </c>
      <c r="D155" s="4" t="s">
        <v>12160</v>
      </c>
      <c r="E155" s="4" t="str">
        <f t="shared" si="13"/>
        <v>#DIV/0!</v>
      </c>
      <c r="F155" s="4">
        <v>0.0</v>
      </c>
      <c r="G155" s="8" t="str">
        <f t="shared" si="14"/>
        <v>#DIV/0!</v>
      </c>
      <c r="H155" s="452" t="str">
        <f t="shared" si="15"/>
        <v>#DIV/0!</v>
      </c>
    </row>
    <row r="156">
      <c r="A156" s="4" t="s">
        <v>109</v>
      </c>
      <c r="B156" s="4">
        <v>0.0</v>
      </c>
      <c r="C156" s="4">
        <v>0.0</v>
      </c>
      <c r="D156" s="4" t="s">
        <v>12160</v>
      </c>
      <c r="E156" s="4" t="str">
        <f t="shared" si="13"/>
        <v>#DIV/0!</v>
      </c>
      <c r="F156" s="4">
        <v>0.0</v>
      </c>
      <c r="G156" s="8" t="str">
        <f t="shared" si="14"/>
        <v>#DIV/0!</v>
      </c>
      <c r="H156" s="452" t="str">
        <f t="shared" si="15"/>
        <v>#DIV/0!</v>
      </c>
    </row>
    <row r="157">
      <c r="A157" s="4" t="s">
        <v>106</v>
      </c>
      <c r="B157" s="4">
        <v>0.0</v>
      </c>
      <c r="C157" s="4">
        <v>0.0</v>
      </c>
      <c r="D157" s="4" t="s">
        <v>12160</v>
      </c>
      <c r="E157" s="4" t="str">
        <f t="shared" si="13"/>
        <v>#DIV/0!</v>
      </c>
      <c r="F157" s="4">
        <v>0.0</v>
      </c>
      <c r="G157" s="8" t="str">
        <f t="shared" si="14"/>
        <v>#DIV/0!</v>
      </c>
      <c r="H157" s="452" t="str">
        <f t="shared" si="15"/>
        <v>#DIV/0!</v>
      </c>
    </row>
    <row r="158">
      <c r="A158" s="4" t="s">
        <v>120</v>
      </c>
      <c r="B158" s="4">
        <v>0.0</v>
      </c>
      <c r="C158" s="4">
        <v>0.0</v>
      </c>
      <c r="D158" s="4" t="s">
        <v>12160</v>
      </c>
      <c r="E158" s="4" t="str">
        <f t="shared" si="13"/>
        <v>#DIV/0!</v>
      </c>
      <c r="F158" s="4">
        <v>0.0</v>
      </c>
      <c r="G158" s="8" t="str">
        <f t="shared" si="14"/>
        <v>#DIV/0!</v>
      </c>
      <c r="H158" s="452" t="str">
        <f t="shared" si="15"/>
        <v>#DIV/0!</v>
      </c>
    </row>
    <row r="159">
      <c r="A159" s="4" t="s">
        <v>9277</v>
      </c>
      <c r="B159" s="4">
        <v>0.0</v>
      </c>
      <c r="C159" s="4">
        <v>0.0</v>
      </c>
      <c r="D159" s="4" t="s">
        <v>12160</v>
      </c>
      <c r="E159" s="4" t="str">
        <f t="shared" si="13"/>
        <v>#DIV/0!</v>
      </c>
      <c r="F159" s="4">
        <v>0.0</v>
      </c>
      <c r="G159" s="8" t="str">
        <f t="shared" si="14"/>
        <v>#DIV/0!</v>
      </c>
      <c r="H159" s="452" t="str">
        <f t="shared" si="15"/>
        <v>#DIV/0!</v>
      </c>
    </row>
    <row r="160">
      <c r="A160" s="4" t="s">
        <v>107</v>
      </c>
      <c r="B160" s="4">
        <v>0.0</v>
      </c>
      <c r="C160" s="4">
        <v>0.0</v>
      </c>
      <c r="D160" s="4" t="s">
        <v>12160</v>
      </c>
      <c r="E160" s="4" t="str">
        <f t="shared" si="13"/>
        <v>#DIV/0!</v>
      </c>
      <c r="F160" s="4">
        <v>0.0</v>
      </c>
      <c r="G160" s="8" t="str">
        <f t="shared" si="14"/>
        <v>#DIV/0!</v>
      </c>
      <c r="H160" s="452" t="str">
        <f t="shared" si="15"/>
        <v>#DIV/0!</v>
      </c>
    </row>
    <row r="161">
      <c r="A161" s="4" t="s">
        <v>123</v>
      </c>
      <c r="B161" s="4">
        <v>0.0</v>
      </c>
      <c r="C161" s="4">
        <v>0.0</v>
      </c>
      <c r="D161" s="4" t="s">
        <v>12160</v>
      </c>
      <c r="E161" s="4" t="str">
        <f t="shared" si="13"/>
        <v>#DIV/0!</v>
      </c>
      <c r="F161" s="4">
        <v>0.0</v>
      </c>
      <c r="G161" s="8" t="str">
        <f t="shared" si="14"/>
        <v>#DIV/0!</v>
      </c>
      <c r="H161" s="452" t="str">
        <f t="shared" si="15"/>
        <v>#DIV/0!</v>
      </c>
    </row>
    <row r="162">
      <c r="A162" s="4" t="s">
        <v>9274</v>
      </c>
      <c r="B162" s="4">
        <v>0.0</v>
      </c>
      <c r="C162" s="4">
        <v>0.0</v>
      </c>
      <c r="D162" s="4" t="s">
        <v>12160</v>
      </c>
      <c r="E162" s="4" t="str">
        <f t="shared" si="13"/>
        <v>#DIV/0!</v>
      </c>
      <c r="F162" s="4">
        <v>0.0</v>
      </c>
      <c r="G162" s="8" t="str">
        <f t="shared" si="14"/>
        <v>#DIV/0!</v>
      </c>
      <c r="H162" s="452" t="str">
        <f t="shared" si="15"/>
        <v>#DIV/0!</v>
      </c>
    </row>
    <row r="164">
      <c r="A164" s="444" t="s">
        <v>12180</v>
      </c>
    </row>
    <row r="165">
      <c r="A165" s="310" t="s">
        <v>4405</v>
      </c>
      <c r="B165" s="310" t="s">
        <v>12154</v>
      </c>
      <c r="C165" s="310" t="s">
        <v>12155</v>
      </c>
      <c r="D165" s="310" t="s">
        <v>12156</v>
      </c>
      <c r="E165" s="310" t="s">
        <v>12157</v>
      </c>
      <c r="F165" s="310" t="s">
        <v>12158</v>
      </c>
      <c r="G165" s="310" t="s">
        <v>12159</v>
      </c>
      <c r="H165" s="310" t="s">
        <v>439</v>
      </c>
    </row>
    <row r="166">
      <c r="A166" s="4" t="s">
        <v>4</v>
      </c>
      <c r="B166" s="4">
        <v>20.0</v>
      </c>
      <c r="C166" s="4">
        <v>14.0</v>
      </c>
      <c r="D166" s="4" t="s">
        <v>12160</v>
      </c>
      <c r="E166" s="4">
        <f t="shared" ref="E166:E192" si="16">(C166/B166)*100</f>
        <v>70</v>
      </c>
      <c r="F166" s="4">
        <v>0.0</v>
      </c>
      <c r="G166" s="8">
        <f t="shared" ref="G166:G192" si="17">E166*6</f>
        <v>420</v>
      </c>
      <c r="H166" s="452">
        <f t="shared" ref="H166:H192" si="18">F166+G166</f>
        <v>420</v>
      </c>
    </row>
    <row r="167">
      <c r="A167" s="4" t="s">
        <v>14</v>
      </c>
      <c r="B167" s="4">
        <v>9.0</v>
      </c>
      <c r="C167" s="4">
        <v>8.0</v>
      </c>
      <c r="D167" s="4" t="s">
        <v>12160</v>
      </c>
      <c r="E167" s="4">
        <f t="shared" si="16"/>
        <v>88.88888889</v>
      </c>
      <c r="F167" s="4">
        <v>0.0</v>
      </c>
      <c r="G167" s="8">
        <f t="shared" si="17"/>
        <v>533.3333333</v>
      </c>
      <c r="H167" s="452">
        <f t="shared" si="18"/>
        <v>533.3333333</v>
      </c>
    </row>
    <row r="168">
      <c r="A168" s="4" t="s">
        <v>10</v>
      </c>
      <c r="B168" s="4">
        <v>13.0</v>
      </c>
      <c r="C168" s="4">
        <v>9.0</v>
      </c>
      <c r="D168" s="4" t="s">
        <v>12160</v>
      </c>
      <c r="E168" s="4">
        <f t="shared" si="16"/>
        <v>69.23076923</v>
      </c>
      <c r="F168" s="4">
        <v>0.0</v>
      </c>
      <c r="G168" s="8">
        <f t="shared" si="17"/>
        <v>415.3846154</v>
      </c>
      <c r="H168" s="452">
        <f t="shared" si="18"/>
        <v>415.3846154</v>
      </c>
    </row>
    <row r="169">
      <c r="A169" s="4" t="s">
        <v>12</v>
      </c>
      <c r="B169" s="4">
        <v>12.0</v>
      </c>
      <c r="C169" s="4">
        <v>6.0</v>
      </c>
      <c r="D169" s="4" t="s">
        <v>12160</v>
      </c>
      <c r="E169" s="4">
        <f t="shared" si="16"/>
        <v>50</v>
      </c>
      <c r="F169" s="4">
        <v>0.0</v>
      </c>
      <c r="G169" s="8">
        <f t="shared" si="17"/>
        <v>300</v>
      </c>
      <c r="H169" s="452">
        <f t="shared" si="18"/>
        <v>300</v>
      </c>
    </row>
    <row r="170">
      <c r="A170" s="4" t="s">
        <v>13</v>
      </c>
      <c r="B170" s="4">
        <v>16.0</v>
      </c>
      <c r="C170" s="4">
        <v>11.0</v>
      </c>
      <c r="D170" s="4" t="s">
        <v>12160</v>
      </c>
      <c r="E170" s="4">
        <f t="shared" si="16"/>
        <v>68.75</v>
      </c>
      <c r="F170" s="4">
        <v>0.0</v>
      </c>
      <c r="G170" s="8">
        <f t="shared" si="17"/>
        <v>412.5</v>
      </c>
      <c r="H170" s="452">
        <f t="shared" si="18"/>
        <v>412.5</v>
      </c>
    </row>
    <row r="171">
      <c r="A171" s="4" t="s">
        <v>17</v>
      </c>
      <c r="B171" s="4">
        <v>16.0</v>
      </c>
      <c r="C171" s="4">
        <v>9.0</v>
      </c>
      <c r="D171" s="4" t="s">
        <v>12160</v>
      </c>
      <c r="E171" s="4">
        <f t="shared" si="16"/>
        <v>56.25</v>
      </c>
      <c r="F171" s="4">
        <v>0.0</v>
      </c>
      <c r="G171" s="8">
        <f t="shared" si="17"/>
        <v>337.5</v>
      </c>
      <c r="H171" s="452">
        <f t="shared" si="18"/>
        <v>337.5</v>
      </c>
    </row>
    <row r="172">
      <c r="A172" s="4" t="s">
        <v>6</v>
      </c>
      <c r="B172" s="4">
        <v>18.0</v>
      </c>
      <c r="C172" s="4">
        <v>7.0</v>
      </c>
      <c r="D172" s="4" t="s">
        <v>12160</v>
      </c>
      <c r="E172" s="4">
        <f t="shared" si="16"/>
        <v>38.88888889</v>
      </c>
      <c r="F172" s="4">
        <v>0.0</v>
      </c>
      <c r="G172" s="8">
        <f t="shared" si="17"/>
        <v>233.3333333</v>
      </c>
      <c r="H172" s="452">
        <f t="shared" si="18"/>
        <v>233.3333333</v>
      </c>
    </row>
    <row r="173">
      <c r="A173" s="4" t="s">
        <v>15</v>
      </c>
      <c r="B173" s="4">
        <v>12.0</v>
      </c>
      <c r="C173" s="4">
        <v>5.0</v>
      </c>
      <c r="D173" s="4" t="s">
        <v>12160</v>
      </c>
      <c r="E173" s="4">
        <f t="shared" si="16"/>
        <v>41.66666667</v>
      </c>
      <c r="F173" s="4">
        <v>0.0</v>
      </c>
      <c r="G173" s="8">
        <f t="shared" si="17"/>
        <v>250</v>
      </c>
      <c r="H173" s="452">
        <f t="shared" si="18"/>
        <v>250</v>
      </c>
    </row>
    <row r="174">
      <c r="A174" s="4" t="s">
        <v>9</v>
      </c>
      <c r="B174" s="4">
        <v>14.0</v>
      </c>
      <c r="C174" s="4">
        <v>5.0</v>
      </c>
      <c r="D174" s="4" t="s">
        <v>12160</v>
      </c>
      <c r="E174" s="4">
        <f t="shared" si="16"/>
        <v>35.71428571</v>
      </c>
      <c r="F174" s="4">
        <v>0.0</v>
      </c>
      <c r="G174" s="8">
        <f t="shared" si="17"/>
        <v>214.2857143</v>
      </c>
      <c r="H174" s="452">
        <f t="shared" si="18"/>
        <v>214.2857143</v>
      </c>
    </row>
    <row r="175">
      <c r="A175" s="4" t="s">
        <v>5</v>
      </c>
      <c r="B175" s="4">
        <v>16.0</v>
      </c>
      <c r="C175" s="4">
        <v>5.0</v>
      </c>
      <c r="D175" s="4" t="s">
        <v>12160</v>
      </c>
      <c r="E175" s="4">
        <f t="shared" si="16"/>
        <v>31.25</v>
      </c>
      <c r="F175" s="4">
        <v>0.0</v>
      </c>
      <c r="G175" s="8">
        <f t="shared" si="17"/>
        <v>187.5</v>
      </c>
      <c r="H175" s="452">
        <f t="shared" si="18"/>
        <v>187.5</v>
      </c>
    </row>
    <row r="176">
      <c r="A176" s="4" t="s">
        <v>7</v>
      </c>
      <c r="B176" s="4">
        <v>11.0</v>
      </c>
      <c r="C176" s="4">
        <v>4.0</v>
      </c>
      <c r="D176" s="4" t="s">
        <v>12160</v>
      </c>
      <c r="E176" s="4">
        <f t="shared" si="16"/>
        <v>36.36363636</v>
      </c>
      <c r="F176" s="4">
        <v>0.0</v>
      </c>
      <c r="G176" s="8">
        <f t="shared" si="17"/>
        <v>218.1818182</v>
      </c>
      <c r="H176" s="452">
        <f t="shared" si="18"/>
        <v>218.1818182</v>
      </c>
    </row>
    <row r="177">
      <c r="A177" s="4" t="s">
        <v>11</v>
      </c>
      <c r="B177" s="4">
        <v>10.0</v>
      </c>
      <c r="C177" s="4">
        <v>3.0</v>
      </c>
      <c r="D177" s="4" t="s">
        <v>12160</v>
      </c>
      <c r="E177" s="4">
        <f t="shared" si="16"/>
        <v>30</v>
      </c>
      <c r="F177" s="4">
        <v>0.0</v>
      </c>
      <c r="G177" s="8">
        <f t="shared" si="17"/>
        <v>180</v>
      </c>
      <c r="H177" s="452">
        <f t="shared" si="18"/>
        <v>180</v>
      </c>
    </row>
    <row r="178">
      <c r="A178" s="4" t="s">
        <v>8</v>
      </c>
      <c r="B178" s="4">
        <v>10.0</v>
      </c>
      <c r="C178" s="4">
        <v>3.0</v>
      </c>
      <c r="D178" s="4" t="s">
        <v>12160</v>
      </c>
      <c r="E178" s="4">
        <f t="shared" si="16"/>
        <v>30</v>
      </c>
      <c r="F178" s="4">
        <v>0.0</v>
      </c>
      <c r="G178" s="8">
        <f t="shared" si="17"/>
        <v>180</v>
      </c>
      <c r="H178" s="452">
        <f t="shared" si="18"/>
        <v>180</v>
      </c>
    </row>
    <row r="179">
      <c r="A179" s="4" t="s">
        <v>16</v>
      </c>
      <c r="B179" s="4">
        <v>6.0</v>
      </c>
      <c r="C179" s="4">
        <v>1.0</v>
      </c>
      <c r="D179" s="4" t="s">
        <v>12160</v>
      </c>
      <c r="E179" s="4">
        <f t="shared" si="16"/>
        <v>16.66666667</v>
      </c>
      <c r="F179" s="4">
        <v>0.0</v>
      </c>
      <c r="G179" s="8">
        <f t="shared" si="17"/>
        <v>100</v>
      </c>
      <c r="H179" s="452">
        <f t="shared" si="18"/>
        <v>100</v>
      </c>
    </row>
    <row r="180">
      <c r="A180" s="4" t="s">
        <v>19</v>
      </c>
      <c r="B180" s="4">
        <v>6.0</v>
      </c>
      <c r="C180" s="4">
        <v>4.0</v>
      </c>
      <c r="D180" s="4" t="s">
        <v>12181</v>
      </c>
      <c r="E180" s="4">
        <f t="shared" si="16"/>
        <v>66.66666667</v>
      </c>
      <c r="F180" s="4">
        <v>70.0</v>
      </c>
      <c r="G180" s="8">
        <f t="shared" si="17"/>
        <v>400</v>
      </c>
      <c r="H180" s="452">
        <f t="shared" si="18"/>
        <v>470</v>
      </c>
    </row>
    <row r="181">
      <c r="A181" s="4" t="s">
        <v>18</v>
      </c>
      <c r="B181" s="4">
        <v>6.0</v>
      </c>
      <c r="C181" s="4">
        <v>2.0</v>
      </c>
      <c r="D181" s="4" t="s">
        <v>12160</v>
      </c>
      <c r="E181" s="4">
        <f t="shared" si="16"/>
        <v>33.33333333</v>
      </c>
      <c r="F181" s="4">
        <v>0.0</v>
      </c>
      <c r="G181" s="8">
        <f t="shared" si="17"/>
        <v>200</v>
      </c>
      <c r="H181" s="452">
        <f t="shared" si="18"/>
        <v>200</v>
      </c>
    </row>
    <row r="182">
      <c r="A182" s="4" t="s">
        <v>103</v>
      </c>
      <c r="B182" s="4">
        <v>6.0</v>
      </c>
      <c r="C182" s="4">
        <v>4.0</v>
      </c>
      <c r="D182" s="4" t="s">
        <v>12182</v>
      </c>
      <c r="E182" s="4">
        <f t="shared" si="16"/>
        <v>66.66666667</v>
      </c>
      <c r="F182" s="4">
        <v>100.0</v>
      </c>
      <c r="G182" s="8">
        <f t="shared" si="17"/>
        <v>400</v>
      </c>
      <c r="H182" s="452">
        <f t="shared" si="18"/>
        <v>500</v>
      </c>
    </row>
    <row r="183">
      <c r="A183" s="4" t="s">
        <v>104</v>
      </c>
      <c r="B183" s="4">
        <v>4.0</v>
      </c>
      <c r="C183" s="4">
        <v>1.0</v>
      </c>
      <c r="D183" s="4" t="s">
        <v>12160</v>
      </c>
      <c r="E183" s="4">
        <f t="shared" si="16"/>
        <v>25</v>
      </c>
      <c r="F183" s="4">
        <v>0.0</v>
      </c>
      <c r="G183" s="8">
        <f t="shared" si="17"/>
        <v>150</v>
      </c>
      <c r="H183" s="452">
        <f t="shared" si="18"/>
        <v>150</v>
      </c>
    </row>
    <row r="184">
      <c r="A184" s="4" t="s">
        <v>105</v>
      </c>
      <c r="B184" s="4">
        <v>6.0</v>
      </c>
      <c r="C184" s="4">
        <v>3.0</v>
      </c>
      <c r="D184" s="4" t="s">
        <v>12160</v>
      </c>
      <c r="E184" s="4">
        <f t="shared" si="16"/>
        <v>50</v>
      </c>
      <c r="F184" s="4">
        <v>0.0</v>
      </c>
      <c r="G184" s="8">
        <f t="shared" si="17"/>
        <v>300</v>
      </c>
      <c r="H184" s="452">
        <f t="shared" si="18"/>
        <v>300</v>
      </c>
    </row>
    <row r="185">
      <c r="A185" s="4" t="s">
        <v>115</v>
      </c>
      <c r="B185" s="4">
        <v>0.0</v>
      </c>
      <c r="C185" s="4">
        <v>0.0</v>
      </c>
      <c r="D185" s="4" t="s">
        <v>12160</v>
      </c>
      <c r="E185" s="4" t="str">
        <f t="shared" si="16"/>
        <v>#DIV/0!</v>
      </c>
      <c r="F185" s="4">
        <v>0.0</v>
      </c>
      <c r="G185" s="8" t="str">
        <f t="shared" si="17"/>
        <v>#DIV/0!</v>
      </c>
      <c r="H185" s="452" t="str">
        <f t="shared" si="18"/>
        <v>#DIV/0!</v>
      </c>
    </row>
    <row r="186">
      <c r="A186" s="4" t="s">
        <v>109</v>
      </c>
      <c r="B186" s="4">
        <v>0.0</v>
      </c>
      <c r="C186" s="4">
        <v>0.0</v>
      </c>
      <c r="D186" s="4" t="s">
        <v>12160</v>
      </c>
      <c r="E186" s="4" t="str">
        <f t="shared" si="16"/>
        <v>#DIV/0!</v>
      </c>
      <c r="F186" s="4">
        <v>0.0</v>
      </c>
      <c r="G186" s="8" t="str">
        <f t="shared" si="17"/>
        <v>#DIV/0!</v>
      </c>
      <c r="H186" s="452" t="str">
        <f t="shared" si="18"/>
        <v>#DIV/0!</v>
      </c>
    </row>
    <row r="187">
      <c r="A187" s="4" t="s">
        <v>106</v>
      </c>
      <c r="B187" s="4">
        <v>0.0</v>
      </c>
      <c r="C187" s="4">
        <v>0.0</v>
      </c>
      <c r="D187" s="4" t="s">
        <v>12160</v>
      </c>
      <c r="E187" s="4" t="str">
        <f t="shared" si="16"/>
        <v>#DIV/0!</v>
      </c>
      <c r="F187" s="4">
        <v>0.0</v>
      </c>
      <c r="G187" s="8" t="str">
        <f t="shared" si="17"/>
        <v>#DIV/0!</v>
      </c>
      <c r="H187" s="452" t="str">
        <f t="shared" si="18"/>
        <v>#DIV/0!</v>
      </c>
    </row>
    <row r="188">
      <c r="A188" s="4" t="s">
        <v>120</v>
      </c>
      <c r="B188" s="4">
        <v>0.0</v>
      </c>
      <c r="C188" s="4">
        <v>0.0</v>
      </c>
      <c r="D188" s="4" t="s">
        <v>12160</v>
      </c>
      <c r="E188" s="4" t="str">
        <f t="shared" si="16"/>
        <v>#DIV/0!</v>
      </c>
      <c r="F188" s="4">
        <v>0.0</v>
      </c>
      <c r="G188" s="8" t="str">
        <f t="shared" si="17"/>
        <v>#DIV/0!</v>
      </c>
      <c r="H188" s="452" t="str">
        <f t="shared" si="18"/>
        <v>#DIV/0!</v>
      </c>
    </row>
    <row r="189">
      <c r="A189" s="4" t="s">
        <v>9277</v>
      </c>
      <c r="B189" s="4">
        <v>0.0</v>
      </c>
      <c r="C189" s="4">
        <v>0.0</v>
      </c>
      <c r="D189" s="4" t="s">
        <v>12160</v>
      </c>
      <c r="E189" s="4" t="str">
        <f t="shared" si="16"/>
        <v>#DIV/0!</v>
      </c>
      <c r="F189" s="4">
        <v>0.0</v>
      </c>
      <c r="G189" s="8" t="str">
        <f t="shared" si="17"/>
        <v>#DIV/0!</v>
      </c>
      <c r="H189" s="452" t="str">
        <f t="shared" si="18"/>
        <v>#DIV/0!</v>
      </c>
    </row>
    <row r="190">
      <c r="A190" s="4" t="s">
        <v>107</v>
      </c>
      <c r="B190" s="4">
        <v>0.0</v>
      </c>
      <c r="C190" s="4">
        <v>0.0</v>
      </c>
      <c r="D190" s="4" t="s">
        <v>12160</v>
      </c>
      <c r="E190" s="4" t="str">
        <f t="shared" si="16"/>
        <v>#DIV/0!</v>
      </c>
      <c r="F190" s="4">
        <v>0.0</v>
      </c>
      <c r="G190" s="8" t="str">
        <f t="shared" si="17"/>
        <v>#DIV/0!</v>
      </c>
      <c r="H190" s="452" t="str">
        <f t="shared" si="18"/>
        <v>#DIV/0!</v>
      </c>
    </row>
    <row r="191">
      <c r="A191" s="4" t="s">
        <v>123</v>
      </c>
      <c r="B191" s="4">
        <v>0.0</v>
      </c>
      <c r="C191" s="4">
        <v>0.0</v>
      </c>
      <c r="D191" s="4" t="s">
        <v>12160</v>
      </c>
      <c r="E191" s="4" t="str">
        <f t="shared" si="16"/>
        <v>#DIV/0!</v>
      </c>
      <c r="F191" s="4">
        <v>0.0</v>
      </c>
      <c r="G191" s="8" t="str">
        <f t="shared" si="17"/>
        <v>#DIV/0!</v>
      </c>
      <c r="H191" s="452" t="str">
        <f t="shared" si="18"/>
        <v>#DIV/0!</v>
      </c>
    </row>
    <row r="192">
      <c r="A192" s="4" t="s">
        <v>9274</v>
      </c>
      <c r="B192" s="4">
        <v>0.0</v>
      </c>
      <c r="C192" s="4">
        <v>0.0</v>
      </c>
      <c r="D192" s="4" t="s">
        <v>12160</v>
      </c>
      <c r="E192" s="4" t="str">
        <f t="shared" si="16"/>
        <v>#DIV/0!</v>
      </c>
      <c r="F192" s="4">
        <v>0.0</v>
      </c>
      <c r="G192" s="8" t="str">
        <f t="shared" si="17"/>
        <v>#DIV/0!</v>
      </c>
      <c r="H192" s="452" t="str">
        <f t="shared" si="18"/>
        <v>#DIV/0!</v>
      </c>
    </row>
    <row r="194">
      <c r="A194" s="444" t="s">
        <v>12183</v>
      </c>
    </row>
    <row r="195">
      <c r="A195" s="310" t="s">
        <v>4405</v>
      </c>
      <c r="B195" s="310" t="s">
        <v>12154</v>
      </c>
      <c r="C195" s="310" t="s">
        <v>12155</v>
      </c>
      <c r="D195" s="310" t="s">
        <v>12156</v>
      </c>
      <c r="E195" s="310" t="s">
        <v>12157</v>
      </c>
      <c r="F195" s="310" t="s">
        <v>12158</v>
      </c>
      <c r="G195" s="310" t="s">
        <v>12159</v>
      </c>
      <c r="H195" s="310" t="s">
        <v>439</v>
      </c>
    </row>
    <row r="196">
      <c r="A196" s="4" t="s">
        <v>4</v>
      </c>
      <c r="B196" s="4">
        <v>0.0</v>
      </c>
      <c r="C196" s="4">
        <v>0.0</v>
      </c>
      <c r="D196" s="4" t="s">
        <v>12160</v>
      </c>
      <c r="E196" s="4" t="str">
        <f t="shared" ref="E196:E222" si="19">(C196/B196)*100</f>
        <v>#DIV/0!</v>
      </c>
      <c r="F196" s="4">
        <v>0.0</v>
      </c>
      <c r="G196" s="8" t="str">
        <f t="shared" ref="G196:G222" si="20">E196*6</f>
        <v>#DIV/0!</v>
      </c>
      <c r="H196" s="452" t="str">
        <f t="shared" ref="H196:H222" si="21">F196+G196</f>
        <v>#DIV/0!</v>
      </c>
    </row>
    <row r="197">
      <c r="A197" s="4" t="s">
        <v>14</v>
      </c>
      <c r="B197" s="4">
        <v>0.0</v>
      </c>
      <c r="C197" s="4">
        <v>0.0</v>
      </c>
      <c r="D197" s="4" t="s">
        <v>12160</v>
      </c>
      <c r="E197" s="4" t="str">
        <f t="shared" si="19"/>
        <v>#DIV/0!</v>
      </c>
      <c r="F197" s="4">
        <v>0.0</v>
      </c>
      <c r="G197" s="8" t="str">
        <f t="shared" si="20"/>
        <v>#DIV/0!</v>
      </c>
      <c r="H197" s="452" t="str">
        <f t="shared" si="21"/>
        <v>#DIV/0!</v>
      </c>
    </row>
    <row r="198">
      <c r="A198" s="4" t="s">
        <v>10</v>
      </c>
      <c r="B198" s="4">
        <v>0.0</v>
      </c>
      <c r="C198" s="4">
        <v>0.0</v>
      </c>
      <c r="D198" s="4" t="s">
        <v>12160</v>
      </c>
      <c r="E198" s="4" t="str">
        <f t="shared" si="19"/>
        <v>#DIV/0!</v>
      </c>
      <c r="F198" s="4">
        <v>0.0</v>
      </c>
      <c r="G198" s="8" t="str">
        <f t="shared" si="20"/>
        <v>#DIV/0!</v>
      </c>
      <c r="H198" s="452" t="str">
        <f t="shared" si="21"/>
        <v>#DIV/0!</v>
      </c>
    </row>
    <row r="199">
      <c r="A199" s="4" t="s">
        <v>12</v>
      </c>
      <c r="B199" s="4">
        <v>0.0</v>
      </c>
      <c r="C199" s="4">
        <v>0.0</v>
      </c>
      <c r="D199" s="4" t="s">
        <v>12160</v>
      </c>
      <c r="E199" s="4" t="str">
        <f t="shared" si="19"/>
        <v>#DIV/0!</v>
      </c>
      <c r="F199" s="4">
        <v>0.0</v>
      </c>
      <c r="G199" s="8" t="str">
        <f t="shared" si="20"/>
        <v>#DIV/0!</v>
      </c>
      <c r="H199" s="452" t="str">
        <f t="shared" si="21"/>
        <v>#DIV/0!</v>
      </c>
    </row>
    <row r="200">
      <c r="A200" s="4" t="s">
        <v>13</v>
      </c>
      <c r="B200" s="4">
        <v>0.0</v>
      </c>
      <c r="C200" s="4">
        <v>0.0</v>
      </c>
      <c r="D200" s="4" t="s">
        <v>12160</v>
      </c>
      <c r="E200" s="4" t="str">
        <f t="shared" si="19"/>
        <v>#DIV/0!</v>
      </c>
      <c r="F200" s="4">
        <v>0.0</v>
      </c>
      <c r="G200" s="8" t="str">
        <f t="shared" si="20"/>
        <v>#DIV/0!</v>
      </c>
      <c r="H200" s="452" t="str">
        <f t="shared" si="21"/>
        <v>#DIV/0!</v>
      </c>
    </row>
    <row r="201">
      <c r="A201" s="4" t="s">
        <v>17</v>
      </c>
      <c r="B201" s="4">
        <v>0.0</v>
      </c>
      <c r="C201" s="4">
        <v>0.0</v>
      </c>
      <c r="D201" s="4" t="s">
        <v>12160</v>
      </c>
      <c r="E201" s="4" t="str">
        <f t="shared" si="19"/>
        <v>#DIV/0!</v>
      </c>
      <c r="F201" s="4">
        <v>0.0</v>
      </c>
      <c r="G201" s="8" t="str">
        <f t="shared" si="20"/>
        <v>#DIV/0!</v>
      </c>
      <c r="H201" s="452" t="str">
        <f t="shared" si="21"/>
        <v>#DIV/0!</v>
      </c>
    </row>
    <row r="202">
      <c r="A202" s="4" t="s">
        <v>6</v>
      </c>
      <c r="B202" s="4">
        <v>0.0</v>
      </c>
      <c r="C202" s="4">
        <v>0.0</v>
      </c>
      <c r="D202" s="4" t="s">
        <v>12160</v>
      </c>
      <c r="E202" s="4" t="str">
        <f t="shared" si="19"/>
        <v>#DIV/0!</v>
      </c>
      <c r="F202" s="4">
        <v>0.0</v>
      </c>
      <c r="G202" s="8" t="str">
        <f t="shared" si="20"/>
        <v>#DIV/0!</v>
      </c>
      <c r="H202" s="452" t="str">
        <f t="shared" si="21"/>
        <v>#DIV/0!</v>
      </c>
    </row>
    <row r="203">
      <c r="A203" s="4" t="s">
        <v>15</v>
      </c>
      <c r="B203" s="4">
        <v>0.0</v>
      </c>
      <c r="C203" s="4">
        <v>0.0</v>
      </c>
      <c r="D203" s="4" t="s">
        <v>12160</v>
      </c>
      <c r="E203" s="4" t="str">
        <f t="shared" si="19"/>
        <v>#DIV/0!</v>
      </c>
      <c r="F203" s="4">
        <v>0.0</v>
      </c>
      <c r="G203" s="8" t="str">
        <f t="shared" si="20"/>
        <v>#DIV/0!</v>
      </c>
      <c r="H203" s="452" t="str">
        <f t="shared" si="21"/>
        <v>#DIV/0!</v>
      </c>
    </row>
    <row r="204">
      <c r="A204" s="4" t="s">
        <v>9</v>
      </c>
      <c r="B204" s="4">
        <v>0.0</v>
      </c>
      <c r="C204" s="4">
        <v>0.0</v>
      </c>
      <c r="D204" s="4" t="s">
        <v>12160</v>
      </c>
      <c r="E204" s="4" t="str">
        <f t="shared" si="19"/>
        <v>#DIV/0!</v>
      </c>
      <c r="F204" s="4">
        <v>0.0</v>
      </c>
      <c r="G204" s="8" t="str">
        <f t="shared" si="20"/>
        <v>#DIV/0!</v>
      </c>
      <c r="H204" s="452" t="str">
        <f t="shared" si="21"/>
        <v>#DIV/0!</v>
      </c>
    </row>
    <row r="205">
      <c r="A205" s="4" t="s">
        <v>5</v>
      </c>
      <c r="B205" s="4">
        <v>0.0</v>
      </c>
      <c r="C205" s="4">
        <v>0.0</v>
      </c>
      <c r="D205" s="4" t="s">
        <v>12160</v>
      </c>
      <c r="E205" s="4" t="str">
        <f t="shared" si="19"/>
        <v>#DIV/0!</v>
      </c>
      <c r="F205" s="4">
        <v>0.0</v>
      </c>
      <c r="G205" s="8" t="str">
        <f t="shared" si="20"/>
        <v>#DIV/0!</v>
      </c>
      <c r="H205" s="452" t="str">
        <f t="shared" si="21"/>
        <v>#DIV/0!</v>
      </c>
    </row>
    <row r="206">
      <c r="A206" s="4" t="s">
        <v>7</v>
      </c>
      <c r="B206" s="4">
        <v>0.0</v>
      </c>
      <c r="C206" s="4">
        <v>0.0</v>
      </c>
      <c r="D206" s="4" t="s">
        <v>12160</v>
      </c>
      <c r="E206" s="4" t="str">
        <f t="shared" si="19"/>
        <v>#DIV/0!</v>
      </c>
      <c r="F206" s="4">
        <v>0.0</v>
      </c>
      <c r="G206" s="8" t="str">
        <f t="shared" si="20"/>
        <v>#DIV/0!</v>
      </c>
      <c r="H206" s="452" t="str">
        <f t="shared" si="21"/>
        <v>#DIV/0!</v>
      </c>
    </row>
    <row r="207">
      <c r="A207" s="4" t="s">
        <v>11</v>
      </c>
      <c r="B207" s="4">
        <v>0.0</v>
      </c>
      <c r="C207" s="4">
        <v>0.0</v>
      </c>
      <c r="D207" s="4" t="s">
        <v>12160</v>
      </c>
      <c r="E207" s="4" t="str">
        <f t="shared" si="19"/>
        <v>#DIV/0!</v>
      </c>
      <c r="F207" s="4">
        <v>0.0</v>
      </c>
      <c r="G207" s="8" t="str">
        <f t="shared" si="20"/>
        <v>#DIV/0!</v>
      </c>
      <c r="H207" s="452" t="str">
        <f t="shared" si="21"/>
        <v>#DIV/0!</v>
      </c>
    </row>
    <row r="208">
      <c r="A208" s="4" t="s">
        <v>8</v>
      </c>
      <c r="B208" s="4">
        <v>0.0</v>
      </c>
      <c r="C208" s="4">
        <v>0.0</v>
      </c>
      <c r="D208" s="4" t="s">
        <v>12160</v>
      </c>
      <c r="E208" s="4" t="str">
        <f t="shared" si="19"/>
        <v>#DIV/0!</v>
      </c>
      <c r="F208" s="4">
        <v>0.0</v>
      </c>
      <c r="G208" s="8" t="str">
        <f t="shared" si="20"/>
        <v>#DIV/0!</v>
      </c>
      <c r="H208" s="452" t="str">
        <f t="shared" si="21"/>
        <v>#DIV/0!</v>
      </c>
    </row>
    <row r="209">
      <c r="A209" s="4" t="s">
        <v>16</v>
      </c>
      <c r="B209" s="4">
        <v>0.0</v>
      </c>
      <c r="C209" s="4">
        <v>0.0</v>
      </c>
      <c r="D209" s="4" t="s">
        <v>12160</v>
      </c>
      <c r="E209" s="4" t="str">
        <f t="shared" si="19"/>
        <v>#DIV/0!</v>
      </c>
      <c r="F209" s="4">
        <v>0.0</v>
      </c>
      <c r="G209" s="8" t="str">
        <f t="shared" si="20"/>
        <v>#DIV/0!</v>
      </c>
      <c r="H209" s="452" t="str">
        <f t="shared" si="21"/>
        <v>#DIV/0!</v>
      </c>
    </row>
    <row r="210">
      <c r="A210" s="4" t="s">
        <v>19</v>
      </c>
      <c r="B210" s="4">
        <v>0.0</v>
      </c>
      <c r="C210" s="4">
        <v>0.0</v>
      </c>
      <c r="D210" s="4" t="s">
        <v>12160</v>
      </c>
      <c r="E210" s="4" t="str">
        <f t="shared" si="19"/>
        <v>#DIV/0!</v>
      </c>
      <c r="F210" s="4">
        <v>0.0</v>
      </c>
      <c r="G210" s="8" t="str">
        <f t="shared" si="20"/>
        <v>#DIV/0!</v>
      </c>
      <c r="H210" s="452" t="str">
        <f t="shared" si="21"/>
        <v>#DIV/0!</v>
      </c>
    </row>
    <row r="211">
      <c r="A211" s="4" t="s">
        <v>18</v>
      </c>
      <c r="B211" s="4">
        <v>0.0</v>
      </c>
      <c r="C211" s="4">
        <v>0.0</v>
      </c>
      <c r="D211" s="4" t="s">
        <v>12160</v>
      </c>
      <c r="E211" s="4" t="str">
        <f t="shared" si="19"/>
        <v>#DIV/0!</v>
      </c>
      <c r="F211" s="4">
        <v>0.0</v>
      </c>
      <c r="G211" s="8" t="str">
        <f t="shared" si="20"/>
        <v>#DIV/0!</v>
      </c>
      <c r="H211" s="452" t="str">
        <f t="shared" si="21"/>
        <v>#DIV/0!</v>
      </c>
    </row>
    <row r="212">
      <c r="A212" s="4" t="s">
        <v>103</v>
      </c>
      <c r="B212" s="4">
        <v>3.0</v>
      </c>
      <c r="C212" s="4">
        <v>2.0</v>
      </c>
      <c r="D212" s="4" t="s">
        <v>12160</v>
      </c>
      <c r="E212" s="4">
        <f t="shared" si="19"/>
        <v>66.66666667</v>
      </c>
      <c r="F212" s="4">
        <v>0.0</v>
      </c>
      <c r="G212" s="8">
        <f t="shared" si="20"/>
        <v>400</v>
      </c>
      <c r="H212" s="452">
        <f t="shared" si="21"/>
        <v>400</v>
      </c>
    </row>
    <row r="213">
      <c r="A213" s="4" t="s">
        <v>104</v>
      </c>
      <c r="B213" s="4">
        <v>0.0</v>
      </c>
      <c r="C213" s="4">
        <v>0.0</v>
      </c>
      <c r="D213" s="4" t="s">
        <v>12160</v>
      </c>
      <c r="E213" s="4" t="str">
        <f t="shared" si="19"/>
        <v>#DIV/0!</v>
      </c>
      <c r="F213" s="4">
        <v>0.0</v>
      </c>
      <c r="G213" s="8" t="str">
        <f t="shared" si="20"/>
        <v>#DIV/0!</v>
      </c>
      <c r="H213" s="452" t="str">
        <f t="shared" si="21"/>
        <v>#DIV/0!</v>
      </c>
    </row>
    <row r="214">
      <c r="A214" s="4" t="s">
        <v>105</v>
      </c>
      <c r="B214" s="4">
        <v>3.0</v>
      </c>
      <c r="C214" s="4">
        <v>1.0</v>
      </c>
      <c r="D214" s="4" t="s">
        <v>12160</v>
      </c>
      <c r="E214" s="4">
        <f t="shared" si="19"/>
        <v>33.33333333</v>
      </c>
      <c r="F214" s="4">
        <v>0.0</v>
      </c>
      <c r="G214" s="8">
        <f t="shared" si="20"/>
        <v>200</v>
      </c>
      <c r="H214" s="452">
        <f t="shared" si="21"/>
        <v>200</v>
      </c>
    </row>
    <row r="215">
      <c r="A215" s="4" t="s">
        <v>115</v>
      </c>
      <c r="B215" s="4">
        <v>0.0</v>
      </c>
      <c r="C215" s="4">
        <v>0.0</v>
      </c>
      <c r="D215" s="4" t="s">
        <v>12160</v>
      </c>
      <c r="E215" s="4" t="str">
        <f t="shared" si="19"/>
        <v>#DIV/0!</v>
      </c>
      <c r="F215" s="4">
        <v>0.0</v>
      </c>
      <c r="G215" s="8" t="str">
        <f t="shared" si="20"/>
        <v>#DIV/0!</v>
      </c>
      <c r="H215" s="452" t="str">
        <f t="shared" si="21"/>
        <v>#DIV/0!</v>
      </c>
    </row>
    <row r="216">
      <c r="A216" s="4" t="s">
        <v>109</v>
      </c>
      <c r="B216" s="4">
        <v>0.0</v>
      </c>
      <c r="C216" s="4">
        <v>0.0</v>
      </c>
      <c r="D216" s="4" t="s">
        <v>12160</v>
      </c>
      <c r="E216" s="4" t="str">
        <f t="shared" si="19"/>
        <v>#DIV/0!</v>
      </c>
      <c r="F216" s="4">
        <v>0.0</v>
      </c>
      <c r="G216" s="8" t="str">
        <f t="shared" si="20"/>
        <v>#DIV/0!</v>
      </c>
      <c r="H216" s="452" t="str">
        <f t="shared" si="21"/>
        <v>#DIV/0!</v>
      </c>
    </row>
    <row r="217">
      <c r="A217" s="4" t="s">
        <v>106</v>
      </c>
      <c r="B217" s="4">
        <v>0.0</v>
      </c>
      <c r="C217" s="4">
        <v>0.0</v>
      </c>
      <c r="D217" s="4" t="s">
        <v>12160</v>
      </c>
      <c r="E217" s="4" t="str">
        <f t="shared" si="19"/>
        <v>#DIV/0!</v>
      </c>
      <c r="F217" s="4">
        <v>0.0</v>
      </c>
      <c r="G217" s="8" t="str">
        <f t="shared" si="20"/>
        <v>#DIV/0!</v>
      </c>
      <c r="H217" s="452" t="str">
        <f t="shared" si="21"/>
        <v>#DIV/0!</v>
      </c>
    </row>
    <row r="218">
      <c r="A218" s="4" t="s">
        <v>120</v>
      </c>
      <c r="B218" s="4">
        <v>0.0</v>
      </c>
      <c r="C218" s="4">
        <v>0.0</v>
      </c>
      <c r="D218" s="4" t="s">
        <v>12160</v>
      </c>
      <c r="E218" s="4" t="str">
        <f t="shared" si="19"/>
        <v>#DIV/0!</v>
      </c>
      <c r="F218" s="4">
        <v>0.0</v>
      </c>
      <c r="G218" s="8" t="str">
        <f t="shared" si="20"/>
        <v>#DIV/0!</v>
      </c>
      <c r="H218" s="452" t="str">
        <f t="shared" si="21"/>
        <v>#DIV/0!</v>
      </c>
    </row>
    <row r="219">
      <c r="A219" s="4" t="s">
        <v>9277</v>
      </c>
      <c r="B219" s="4">
        <v>0.0</v>
      </c>
      <c r="C219" s="4">
        <v>0.0</v>
      </c>
      <c r="D219" s="4" t="s">
        <v>12160</v>
      </c>
      <c r="E219" s="4" t="str">
        <f t="shared" si="19"/>
        <v>#DIV/0!</v>
      </c>
      <c r="F219" s="4">
        <v>0.0</v>
      </c>
      <c r="G219" s="8" t="str">
        <f t="shared" si="20"/>
        <v>#DIV/0!</v>
      </c>
      <c r="H219" s="452" t="str">
        <f t="shared" si="21"/>
        <v>#DIV/0!</v>
      </c>
    </row>
    <row r="220">
      <c r="A220" s="4" t="s">
        <v>107</v>
      </c>
      <c r="B220" s="4">
        <v>0.0</v>
      </c>
      <c r="C220" s="4">
        <v>0.0</v>
      </c>
      <c r="D220" s="4" t="s">
        <v>12160</v>
      </c>
      <c r="E220" s="4" t="str">
        <f t="shared" si="19"/>
        <v>#DIV/0!</v>
      </c>
      <c r="F220" s="4">
        <v>0.0</v>
      </c>
      <c r="G220" s="8" t="str">
        <f t="shared" si="20"/>
        <v>#DIV/0!</v>
      </c>
      <c r="H220" s="452" t="str">
        <f t="shared" si="21"/>
        <v>#DIV/0!</v>
      </c>
    </row>
    <row r="221">
      <c r="A221" s="4" t="s">
        <v>123</v>
      </c>
      <c r="B221" s="4">
        <v>0.0</v>
      </c>
      <c r="C221" s="4">
        <v>0.0</v>
      </c>
      <c r="D221" s="4" t="s">
        <v>12160</v>
      </c>
      <c r="E221" s="4" t="str">
        <f t="shared" si="19"/>
        <v>#DIV/0!</v>
      </c>
      <c r="F221" s="4">
        <v>0.0</v>
      </c>
      <c r="G221" s="8" t="str">
        <f t="shared" si="20"/>
        <v>#DIV/0!</v>
      </c>
      <c r="H221" s="452" t="str">
        <f t="shared" si="21"/>
        <v>#DIV/0!</v>
      </c>
    </row>
    <row r="222">
      <c r="A222" s="4" t="s">
        <v>9274</v>
      </c>
      <c r="B222" s="4">
        <v>0.0</v>
      </c>
      <c r="C222" s="4">
        <v>0.0</v>
      </c>
      <c r="D222" s="4" t="s">
        <v>12160</v>
      </c>
      <c r="E222" s="4" t="str">
        <f t="shared" si="19"/>
        <v>#DIV/0!</v>
      </c>
      <c r="F222" s="4">
        <v>0.0</v>
      </c>
      <c r="G222" s="8" t="str">
        <f t="shared" si="20"/>
        <v>#DIV/0!</v>
      </c>
      <c r="H222" s="452" t="str">
        <f t="shared" si="21"/>
        <v>#DIV/0!</v>
      </c>
    </row>
    <row r="224">
      <c r="A224" s="444" t="s">
        <v>12184</v>
      </c>
    </row>
    <row r="225">
      <c r="A225" s="310" t="s">
        <v>4405</v>
      </c>
      <c r="B225" s="310" t="s">
        <v>12154</v>
      </c>
      <c r="C225" s="310" t="s">
        <v>12155</v>
      </c>
      <c r="D225" s="310" t="s">
        <v>12156</v>
      </c>
      <c r="E225" s="310" t="s">
        <v>12157</v>
      </c>
      <c r="F225" s="310" t="s">
        <v>12158</v>
      </c>
      <c r="G225" s="310" t="s">
        <v>12159</v>
      </c>
      <c r="H225" s="310" t="s">
        <v>439</v>
      </c>
    </row>
    <row r="226">
      <c r="A226" s="4" t="s">
        <v>4</v>
      </c>
      <c r="B226" s="4">
        <f t="shared" ref="B226:C226" si="22">B22+B50+B78+B107+B142+B166+B196</f>
        <v>116</v>
      </c>
      <c r="C226" s="4">
        <f t="shared" si="22"/>
        <v>62</v>
      </c>
      <c r="D226" s="4" t="s">
        <v>12171</v>
      </c>
      <c r="E226" s="4">
        <f t="shared" ref="E226:E252" si="24">(C226/B226)*100</f>
        <v>53.44827586</v>
      </c>
      <c r="F226" s="4">
        <v>100.0</v>
      </c>
      <c r="G226" s="8">
        <f t="shared" ref="G226:G252" si="25">E226*6</f>
        <v>320.6896552</v>
      </c>
      <c r="H226" s="452">
        <f t="shared" ref="H226:H252" si="26">F226+G226</f>
        <v>420.6896552</v>
      </c>
    </row>
    <row r="227">
      <c r="A227" s="4" t="s">
        <v>17</v>
      </c>
      <c r="B227" s="4">
        <f t="shared" ref="B227:C227" si="23">B19+B47+B83+B109+B139+B171+B201</f>
        <v>190</v>
      </c>
      <c r="C227" s="4">
        <f t="shared" si="23"/>
        <v>103</v>
      </c>
      <c r="D227" s="4" t="s">
        <v>12160</v>
      </c>
      <c r="E227" s="4">
        <f t="shared" si="24"/>
        <v>54.21052632</v>
      </c>
      <c r="F227" s="4">
        <v>0.0</v>
      </c>
      <c r="G227" s="8">
        <f t="shared" si="25"/>
        <v>325.2631579</v>
      </c>
      <c r="H227" s="452">
        <f t="shared" si="26"/>
        <v>325.2631579</v>
      </c>
    </row>
    <row r="228">
      <c r="A228" s="4" t="s">
        <v>13</v>
      </c>
      <c r="B228" s="4">
        <f t="shared" ref="B228:C228" si="27">B27+B46+B77+B119+B147+B170+B200</f>
        <v>80</v>
      </c>
      <c r="C228" s="4">
        <f t="shared" si="27"/>
        <v>48</v>
      </c>
      <c r="D228" s="4" t="s">
        <v>12185</v>
      </c>
      <c r="E228" s="4">
        <f t="shared" si="24"/>
        <v>60</v>
      </c>
      <c r="F228" s="4">
        <v>300.0</v>
      </c>
      <c r="G228" s="8">
        <f t="shared" si="25"/>
        <v>360</v>
      </c>
      <c r="H228" s="452">
        <f t="shared" si="26"/>
        <v>660</v>
      </c>
    </row>
    <row r="229">
      <c r="A229" s="4" t="s">
        <v>6</v>
      </c>
      <c r="B229" s="4">
        <f t="shared" ref="B229:C229" si="28">B17+B48+B76+B111+B137+B172+B202</f>
        <v>153</v>
      </c>
      <c r="C229" s="4">
        <f t="shared" si="28"/>
        <v>84</v>
      </c>
      <c r="D229" s="4" t="s">
        <v>12186</v>
      </c>
      <c r="E229" s="4">
        <f t="shared" si="24"/>
        <v>54.90196078</v>
      </c>
      <c r="F229" s="4">
        <v>290.0</v>
      </c>
      <c r="G229" s="8">
        <f t="shared" si="25"/>
        <v>329.4117647</v>
      </c>
      <c r="H229" s="452">
        <f t="shared" si="26"/>
        <v>619.4117647</v>
      </c>
    </row>
    <row r="230">
      <c r="A230" s="4" t="s">
        <v>10</v>
      </c>
      <c r="B230" s="4">
        <f t="shared" ref="B230:C230" si="29">B18+B52+B80+B114+B138+B168+B198</f>
        <v>101</v>
      </c>
      <c r="C230" s="4">
        <f t="shared" si="29"/>
        <v>55</v>
      </c>
      <c r="D230" s="4" t="s">
        <v>12174</v>
      </c>
      <c r="E230" s="4">
        <f t="shared" si="24"/>
        <v>54.45544554</v>
      </c>
      <c r="F230" s="4">
        <v>70.0</v>
      </c>
      <c r="G230" s="8">
        <f t="shared" si="25"/>
        <v>326.7326733</v>
      </c>
      <c r="H230" s="452">
        <f t="shared" si="26"/>
        <v>396.7326733</v>
      </c>
    </row>
    <row r="231">
      <c r="A231" s="4" t="s">
        <v>14</v>
      </c>
      <c r="B231" s="4">
        <f t="shared" ref="B231:C231" si="30">B23+B59+B89+B115+B143+B167+B197</f>
        <v>34</v>
      </c>
      <c r="C231" s="4">
        <f t="shared" si="30"/>
        <v>19</v>
      </c>
      <c r="D231" s="4" t="s">
        <v>12175</v>
      </c>
      <c r="E231" s="4">
        <f t="shared" si="24"/>
        <v>55.88235294</v>
      </c>
      <c r="F231" s="4">
        <v>70.0</v>
      </c>
      <c r="G231" s="8">
        <f t="shared" si="25"/>
        <v>335.2941176</v>
      </c>
      <c r="H231" s="452">
        <f t="shared" si="26"/>
        <v>405.2941176</v>
      </c>
    </row>
    <row r="232">
      <c r="A232" s="4" t="s">
        <v>11</v>
      </c>
      <c r="B232" s="4">
        <f t="shared" ref="B232:C232" si="31">B26+B54+B79+B106+B146+B177+B207</f>
        <v>99</v>
      </c>
      <c r="C232" s="4">
        <f t="shared" si="31"/>
        <v>48</v>
      </c>
      <c r="D232" s="4" t="s">
        <v>12167</v>
      </c>
      <c r="E232" s="4">
        <f t="shared" si="24"/>
        <v>48.48484848</v>
      </c>
      <c r="F232" s="4">
        <v>25.0</v>
      </c>
      <c r="G232" s="8">
        <f t="shared" si="25"/>
        <v>290.9090909</v>
      </c>
      <c r="H232" s="452">
        <f t="shared" si="26"/>
        <v>315.9090909</v>
      </c>
    </row>
    <row r="233">
      <c r="A233" s="4" t="s">
        <v>15</v>
      </c>
      <c r="B233" s="4">
        <f t="shared" ref="B233:C233" si="32">B28+B57+B84+B110+B148+B173+B203</f>
        <v>71</v>
      </c>
      <c r="C233" s="4">
        <f t="shared" si="32"/>
        <v>34</v>
      </c>
      <c r="D233" s="4" t="s">
        <v>12160</v>
      </c>
      <c r="E233" s="4">
        <f t="shared" si="24"/>
        <v>47.88732394</v>
      </c>
      <c r="F233" s="4">
        <v>0.0</v>
      </c>
      <c r="G233" s="8">
        <f t="shared" si="25"/>
        <v>287.3239437</v>
      </c>
      <c r="H233" s="452">
        <f t="shared" si="26"/>
        <v>287.3239437</v>
      </c>
    </row>
    <row r="234">
      <c r="A234" s="4" t="s">
        <v>12</v>
      </c>
      <c r="B234" s="4">
        <f t="shared" ref="B234:C234" si="33">B20+B55+B85+B117+B140+B169</f>
        <v>88</v>
      </c>
      <c r="C234" s="4">
        <f t="shared" si="33"/>
        <v>41</v>
      </c>
      <c r="D234" s="4" t="s">
        <v>12176</v>
      </c>
      <c r="E234" s="4">
        <f t="shared" si="24"/>
        <v>46.59090909</v>
      </c>
      <c r="F234" s="4">
        <v>100.0</v>
      </c>
      <c r="G234" s="8">
        <f t="shared" si="25"/>
        <v>279.5454545</v>
      </c>
      <c r="H234" s="452">
        <f t="shared" si="26"/>
        <v>379.5454545</v>
      </c>
    </row>
    <row r="235">
      <c r="A235" s="4" t="s">
        <v>8</v>
      </c>
      <c r="B235" s="4">
        <f>B25+B49+B82+B118+B145+B178+B208</f>
        <v>61</v>
      </c>
      <c r="C235" s="4">
        <f>C25+C49+C82+C118+C145+C178</f>
        <v>32</v>
      </c>
      <c r="D235" s="4" t="s">
        <v>12187</v>
      </c>
      <c r="E235" s="4">
        <f t="shared" si="24"/>
        <v>52.45901639</v>
      </c>
      <c r="F235" s="4">
        <v>140.0</v>
      </c>
      <c r="G235" s="8">
        <f t="shared" si="25"/>
        <v>314.7540984</v>
      </c>
      <c r="H235" s="452">
        <f t="shared" si="26"/>
        <v>454.7540984</v>
      </c>
    </row>
    <row r="236">
      <c r="A236" s="4" t="s">
        <v>7</v>
      </c>
      <c r="B236" s="4">
        <f>B24+B53+B81+B112+B144+B176</f>
        <v>67</v>
      </c>
      <c r="C236" s="4">
        <f>C24+C53+C81+C112+C176+C144+C208</f>
        <v>31</v>
      </c>
      <c r="D236" s="4" t="s">
        <v>12160</v>
      </c>
      <c r="E236" s="4">
        <f t="shared" si="24"/>
        <v>46.26865672</v>
      </c>
      <c r="F236" s="4">
        <v>0.0</v>
      </c>
      <c r="G236" s="8">
        <f t="shared" si="25"/>
        <v>277.6119403</v>
      </c>
      <c r="H236" s="452">
        <f t="shared" si="26"/>
        <v>277.6119403</v>
      </c>
    </row>
    <row r="237">
      <c r="A237" s="4" t="s">
        <v>5</v>
      </c>
      <c r="B237" s="4">
        <f t="shared" ref="B237:C237" si="34">B16+B51+B88+B113+B136+B175</f>
        <v>91</v>
      </c>
      <c r="C237" s="4">
        <f t="shared" si="34"/>
        <v>41</v>
      </c>
      <c r="D237" s="4" t="s">
        <v>12188</v>
      </c>
      <c r="E237" s="4">
        <f t="shared" si="24"/>
        <v>45.05494505</v>
      </c>
      <c r="F237" s="4">
        <v>170.0</v>
      </c>
      <c r="G237" s="8">
        <f t="shared" si="25"/>
        <v>270.3296703</v>
      </c>
      <c r="H237" s="452">
        <f t="shared" si="26"/>
        <v>440.3296703</v>
      </c>
    </row>
    <row r="238">
      <c r="A238" s="4" t="s">
        <v>9</v>
      </c>
      <c r="B238" s="4">
        <f t="shared" ref="B238:C238" si="35">B21+B56+B86+B108+B141+B174+B204</f>
        <v>112</v>
      </c>
      <c r="C238" s="4">
        <f t="shared" si="35"/>
        <v>41</v>
      </c>
      <c r="D238" s="4" t="s">
        <v>12160</v>
      </c>
      <c r="E238" s="4">
        <f t="shared" si="24"/>
        <v>36.60714286</v>
      </c>
      <c r="F238" s="4">
        <v>0.0</v>
      </c>
      <c r="G238" s="8">
        <f t="shared" si="25"/>
        <v>219.6428571</v>
      </c>
      <c r="H238" s="452">
        <f t="shared" si="26"/>
        <v>219.6428571</v>
      </c>
    </row>
    <row r="239">
      <c r="A239" s="4" t="s">
        <v>16</v>
      </c>
      <c r="B239" s="4">
        <f t="shared" ref="B239:C239" si="36">B29+B58+B87+B116+B149+B179</f>
        <v>50</v>
      </c>
      <c r="C239" s="4">
        <f t="shared" si="36"/>
        <v>21</v>
      </c>
      <c r="D239" s="4" t="s">
        <v>12160</v>
      </c>
      <c r="E239" s="4">
        <f t="shared" si="24"/>
        <v>42</v>
      </c>
      <c r="F239" s="4">
        <v>0.0</v>
      </c>
      <c r="G239" s="8">
        <f t="shared" si="25"/>
        <v>252</v>
      </c>
      <c r="H239" s="452">
        <f t="shared" si="26"/>
        <v>252</v>
      </c>
    </row>
    <row r="240">
      <c r="A240" s="4" t="s">
        <v>19</v>
      </c>
      <c r="B240" s="4">
        <f t="shared" ref="B240:B252" si="37">B30+B60+B90+B120+B150+B180+B210</f>
        <v>38</v>
      </c>
      <c r="C240" s="4">
        <f>C30+C60+C90+C120+C150+C180</f>
        <v>18</v>
      </c>
      <c r="D240" s="4" t="s">
        <v>12181</v>
      </c>
      <c r="E240" s="4">
        <f t="shared" si="24"/>
        <v>47.36842105</v>
      </c>
      <c r="F240" s="4">
        <v>70.0</v>
      </c>
      <c r="G240" s="8">
        <f t="shared" si="25"/>
        <v>284.2105263</v>
      </c>
      <c r="H240" s="452">
        <f t="shared" si="26"/>
        <v>354.2105263</v>
      </c>
    </row>
    <row r="241">
      <c r="A241" s="4" t="s">
        <v>18</v>
      </c>
      <c r="B241" s="4">
        <f t="shared" si="37"/>
        <v>33</v>
      </c>
      <c r="C241" s="4">
        <f>C31+C61+C91+C121+C151+C181+C210+C211</f>
        <v>12</v>
      </c>
      <c r="D241" s="4" t="s">
        <v>12160</v>
      </c>
      <c r="E241" s="4">
        <f t="shared" si="24"/>
        <v>36.36363636</v>
      </c>
      <c r="F241" s="4">
        <v>0.0</v>
      </c>
      <c r="G241" s="8">
        <f t="shared" si="25"/>
        <v>218.1818182</v>
      </c>
      <c r="H241" s="452">
        <f t="shared" si="26"/>
        <v>218.1818182</v>
      </c>
    </row>
    <row r="242">
      <c r="A242" s="4" t="s">
        <v>103</v>
      </c>
      <c r="B242" s="4">
        <f t="shared" si="37"/>
        <v>36</v>
      </c>
      <c r="C242" s="4">
        <f t="shared" ref="C242:C252" si="38">C32+C62+C92+C122+C152+C182+C212</f>
        <v>19</v>
      </c>
      <c r="D242" s="4" t="s">
        <v>12182</v>
      </c>
      <c r="E242" s="4">
        <f t="shared" si="24"/>
        <v>52.77777778</v>
      </c>
      <c r="F242" s="4">
        <v>100.0</v>
      </c>
      <c r="G242" s="8">
        <f t="shared" si="25"/>
        <v>316.6666667</v>
      </c>
      <c r="H242" s="452">
        <f t="shared" si="26"/>
        <v>416.6666667</v>
      </c>
    </row>
    <row r="243">
      <c r="A243" s="4" t="s">
        <v>104</v>
      </c>
      <c r="B243" s="4">
        <f t="shared" si="37"/>
        <v>16</v>
      </c>
      <c r="C243" s="4">
        <f t="shared" si="38"/>
        <v>3</v>
      </c>
      <c r="D243" s="4" t="s">
        <v>12160</v>
      </c>
      <c r="E243" s="4">
        <f t="shared" si="24"/>
        <v>18.75</v>
      </c>
      <c r="F243" s="4">
        <v>0.0</v>
      </c>
      <c r="G243" s="8">
        <f t="shared" si="25"/>
        <v>112.5</v>
      </c>
      <c r="H243" s="452">
        <f t="shared" si="26"/>
        <v>112.5</v>
      </c>
    </row>
    <row r="244">
      <c r="A244" s="4" t="s">
        <v>105</v>
      </c>
      <c r="B244" s="4">
        <f t="shared" si="37"/>
        <v>40</v>
      </c>
      <c r="C244" s="4">
        <f t="shared" si="38"/>
        <v>21</v>
      </c>
      <c r="D244" s="4" t="s">
        <v>12160</v>
      </c>
      <c r="E244" s="4">
        <f t="shared" si="24"/>
        <v>52.5</v>
      </c>
      <c r="F244" s="4">
        <v>0.0</v>
      </c>
      <c r="G244" s="8">
        <f t="shared" si="25"/>
        <v>315</v>
      </c>
      <c r="H244" s="452">
        <f t="shared" si="26"/>
        <v>315</v>
      </c>
    </row>
    <row r="245">
      <c r="A245" s="4" t="s">
        <v>115</v>
      </c>
      <c r="B245" s="4">
        <f t="shared" si="37"/>
        <v>18</v>
      </c>
      <c r="C245" s="4">
        <f t="shared" si="38"/>
        <v>9</v>
      </c>
      <c r="D245" s="4" t="s">
        <v>12160</v>
      </c>
      <c r="E245" s="4">
        <f t="shared" si="24"/>
        <v>50</v>
      </c>
      <c r="F245" s="4">
        <v>0.0</v>
      </c>
      <c r="G245" s="8">
        <f t="shared" si="25"/>
        <v>300</v>
      </c>
      <c r="H245" s="452">
        <f t="shared" si="26"/>
        <v>300</v>
      </c>
    </row>
    <row r="246">
      <c r="A246" s="4" t="s">
        <v>109</v>
      </c>
      <c r="B246" s="4">
        <f t="shared" si="37"/>
        <v>16</v>
      </c>
      <c r="C246" s="4">
        <f t="shared" si="38"/>
        <v>9</v>
      </c>
      <c r="D246" s="4" t="s">
        <v>12160</v>
      </c>
      <c r="E246" s="4">
        <f t="shared" si="24"/>
        <v>56.25</v>
      </c>
      <c r="F246" s="4">
        <v>0.0</v>
      </c>
      <c r="G246" s="8">
        <f t="shared" si="25"/>
        <v>337.5</v>
      </c>
      <c r="H246" s="452">
        <f t="shared" si="26"/>
        <v>337.5</v>
      </c>
    </row>
    <row r="247">
      <c r="A247" s="4" t="s">
        <v>106</v>
      </c>
      <c r="B247" s="4">
        <f t="shared" si="37"/>
        <v>9</v>
      </c>
      <c r="C247" s="4">
        <f t="shared" si="38"/>
        <v>2</v>
      </c>
      <c r="D247" s="4" t="s">
        <v>12160</v>
      </c>
      <c r="E247" s="4">
        <f t="shared" si="24"/>
        <v>22.22222222</v>
      </c>
      <c r="F247" s="4">
        <v>0.0</v>
      </c>
      <c r="G247" s="8">
        <f t="shared" si="25"/>
        <v>133.3333333</v>
      </c>
      <c r="H247" s="452">
        <f t="shared" si="26"/>
        <v>133.3333333</v>
      </c>
    </row>
    <row r="248">
      <c r="A248" s="4" t="s">
        <v>120</v>
      </c>
      <c r="B248" s="4">
        <f t="shared" si="37"/>
        <v>10</v>
      </c>
      <c r="C248" s="4">
        <f t="shared" si="38"/>
        <v>6</v>
      </c>
      <c r="D248" s="4" t="s">
        <v>12160</v>
      </c>
      <c r="E248" s="4">
        <f t="shared" si="24"/>
        <v>60</v>
      </c>
      <c r="F248" s="4">
        <v>0.0</v>
      </c>
      <c r="G248" s="8">
        <f t="shared" si="25"/>
        <v>360</v>
      </c>
      <c r="H248" s="452">
        <f t="shared" si="26"/>
        <v>360</v>
      </c>
    </row>
    <row r="249">
      <c r="A249" s="4" t="s">
        <v>9277</v>
      </c>
      <c r="B249" s="4">
        <f t="shared" si="37"/>
        <v>14</v>
      </c>
      <c r="C249" s="4">
        <f t="shared" si="38"/>
        <v>8</v>
      </c>
      <c r="D249" s="4" t="s">
        <v>12160</v>
      </c>
      <c r="E249" s="4">
        <f t="shared" si="24"/>
        <v>57.14285714</v>
      </c>
      <c r="F249" s="4">
        <v>0.0</v>
      </c>
      <c r="G249" s="8">
        <f t="shared" si="25"/>
        <v>342.8571429</v>
      </c>
      <c r="H249" s="452">
        <f t="shared" si="26"/>
        <v>342.8571429</v>
      </c>
      <c r="I249" s="8"/>
    </row>
    <row r="250">
      <c r="A250" s="4" t="s">
        <v>107</v>
      </c>
      <c r="B250" s="4">
        <f t="shared" si="37"/>
        <v>8</v>
      </c>
      <c r="C250" s="4">
        <f t="shared" si="38"/>
        <v>5</v>
      </c>
      <c r="D250" s="4" t="s">
        <v>12160</v>
      </c>
      <c r="E250" s="4">
        <f t="shared" si="24"/>
        <v>62.5</v>
      </c>
      <c r="F250" s="4">
        <v>0.0</v>
      </c>
      <c r="G250" s="8">
        <f t="shared" si="25"/>
        <v>375</v>
      </c>
      <c r="H250" s="452">
        <f t="shared" si="26"/>
        <v>375</v>
      </c>
      <c r="I250" s="8"/>
    </row>
    <row r="251">
      <c r="A251" s="4" t="s">
        <v>123</v>
      </c>
      <c r="B251" s="4">
        <f t="shared" si="37"/>
        <v>5</v>
      </c>
      <c r="C251" s="4">
        <f t="shared" si="38"/>
        <v>5</v>
      </c>
      <c r="D251" s="4" t="s">
        <v>12160</v>
      </c>
      <c r="E251" s="4">
        <f t="shared" si="24"/>
        <v>100</v>
      </c>
      <c r="F251" s="4">
        <v>0.0</v>
      </c>
      <c r="G251" s="8">
        <f t="shared" si="25"/>
        <v>600</v>
      </c>
      <c r="H251" s="452">
        <f t="shared" si="26"/>
        <v>600</v>
      </c>
      <c r="I251" s="8"/>
    </row>
    <row r="252">
      <c r="A252" s="4" t="s">
        <v>9274</v>
      </c>
      <c r="B252" s="4">
        <f t="shared" si="37"/>
        <v>13</v>
      </c>
      <c r="C252" s="4">
        <f t="shared" si="38"/>
        <v>7</v>
      </c>
      <c r="D252" s="4" t="s">
        <v>12160</v>
      </c>
      <c r="E252" s="4">
        <f t="shared" si="24"/>
        <v>53.84615385</v>
      </c>
      <c r="F252" s="4">
        <v>0.0</v>
      </c>
      <c r="G252" s="8">
        <f t="shared" si="25"/>
        <v>323.0769231</v>
      </c>
      <c r="H252" s="452">
        <f t="shared" si="26"/>
        <v>323.0769231</v>
      </c>
      <c r="I252" s="8"/>
    </row>
    <row r="253">
      <c r="A253" s="310"/>
      <c r="B253" s="310"/>
      <c r="C253" s="310"/>
      <c r="D253" s="310"/>
      <c r="E253" s="310"/>
      <c r="F253" s="310"/>
      <c r="G253" s="310"/>
      <c r="H253" s="310"/>
      <c r="I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</row>
  </sheetData>
  <mergeCells count="13">
    <mergeCell ref="A74:H74"/>
    <mergeCell ref="A104:H104"/>
    <mergeCell ref="A134:H134"/>
    <mergeCell ref="A164:H164"/>
    <mergeCell ref="A194:H194"/>
    <mergeCell ref="A224:H224"/>
    <mergeCell ref="A1:B1"/>
    <mergeCell ref="D1:E1"/>
    <mergeCell ref="A2:A8"/>
    <mergeCell ref="D11:E11"/>
    <mergeCell ref="D12:E12"/>
    <mergeCell ref="A14:H14"/>
    <mergeCell ref="A44:H44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1.5"/>
    <col customWidth="1" min="3" max="3" width="47.0"/>
    <col customWidth="1" min="4" max="5" width="32.0"/>
    <col customWidth="1" min="6" max="6" width="23.5"/>
    <col customWidth="1" min="7" max="7" width="27.38"/>
  </cols>
  <sheetData>
    <row r="1">
      <c r="A1" s="33" t="s">
        <v>3753</v>
      </c>
    </row>
    <row r="2">
      <c r="A2" s="33" t="s">
        <v>12189</v>
      </c>
    </row>
    <row r="3">
      <c r="A3" s="4" t="s">
        <v>12190</v>
      </c>
    </row>
    <row r="4">
      <c r="A4" s="33" t="s">
        <v>339</v>
      </c>
      <c r="B4" s="33" t="s">
        <v>12191</v>
      </c>
      <c r="C4" s="33" t="s">
        <v>12192</v>
      </c>
      <c r="D4" s="33" t="s">
        <v>12193</v>
      </c>
      <c r="E4" s="33" t="s">
        <v>385</v>
      </c>
      <c r="F4" s="33" t="s">
        <v>12194</v>
      </c>
      <c r="G4" s="33" t="s">
        <v>976</v>
      </c>
    </row>
    <row r="5">
      <c r="A5" s="31" t="s">
        <v>12195</v>
      </c>
      <c r="B5" s="31" t="s">
        <v>12196</v>
      </c>
      <c r="C5" s="84" t="s">
        <v>12197</v>
      </c>
      <c r="D5" s="31" t="s">
        <v>2980</v>
      </c>
      <c r="E5" s="31" t="s">
        <v>12198</v>
      </c>
      <c r="F5" s="31" t="s">
        <v>12199</v>
      </c>
      <c r="G5" s="31" t="s">
        <v>431</v>
      </c>
    </row>
    <row r="6">
      <c r="A6" s="31" t="s">
        <v>12200</v>
      </c>
      <c r="B6" s="31" t="s">
        <v>12201</v>
      </c>
      <c r="C6" s="84" t="s">
        <v>12202</v>
      </c>
      <c r="D6" s="31" t="s">
        <v>3172</v>
      </c>
      <c r="E6" s="31" t="s">
        <v>12203</v>
      </c>
      <c r="F6" s="31" t="s">
        <v>12204</v>
      </c>
    </row>
    <row r="7">
      <c r="A7" s="31" t="s">
        <v>12205</v>
      </c>
      <c r="C7" s="84" t="s">
        <v>12206</v>
      </c>
      <c r="D7" s="31" t="s">
        <v>3004</v>
      </c>
      <c r="E7" s="31" t="s">
        <v>12207</v>
      </c>
      <c r="F7" s="31" t="s">
        <v>12208</v>
      </c>
    </row>
    <row r="8">
      <c r="A8" s="31" t="s">
        <v>12209</v>
      </c>
      <c r="C8" s="84" t="s">
        <v>12210</v>
      </c>
      <c r="D8" s="31" t="s">
        <v>1417</v>
      </c>
      <c r="E8" s="31" t="s">
        <v>12211</v>
      </c>
      <c r="F8" s="31" t="s">
        <v>12212</v>
      </c>
    </row>
    <row r="9">
      <c r="A9" s="31" t="s">
        <v>12213</v>
      </c>
      <c r="F9" s="31" t="s">
        <v>12214</v>
      </c>
    </row>
    <row r="10">
      <c r="A10" s="31" t="s">
        <v>12215</v>
      </c>
      <c r="F10" s="31" t="s">
        <v>12216</v>
      </c>
    </row>
    <row r="11">
      <c r="A11" s="31" t="s">
        <v>12217</v>
      </c>
      <c r="F11" s="31" t="s">
        <v>12218</v>
      </c>
    </row>
    <row r="12">
      <c r="A12" s="31" t="s">
        <v>7274</v>
      </c>
      <c r="F12" s="31" t="s">
        <v>12219</v>
      </c>
    </row>
    <row r="13">
      <c r="A13" s="31" t="s">
        <v>12220</v>
      </c>
      <c r="F13" s="31" t="s">
        <v>12221</v>
      </c>
    </row>
    <row r="14">
      <c r="A14" s="31" t="s">
        <v>12222</v>
      </c>
      <c r="F14" s="31" t="s">
        <v>12223</v>
      </c>
    </row>
    <row r="15">
      <c r="A15" s="31" t="s">
        <v>12224</v>
      </c>
      <c r="F15" s="31" t="s">
        <v>12225</v>
      </c>
    </row>
    <row r="16">
      <c r="A16" s="31" t="s">
        <v>12226</v>
      </c>
    </row>
    <row r="17">
      <c r="A17" s="31" t="s">
        <v>12227</v>
      </c>
    </row>
    <row r="18">
      <c r="A18" s="31" t="s">
        <v>12228</v>
      </c>
    </row>
    <row r="19">
      <c r="A19" s="31" t="s">
        <v>12229</v>
      </c>
    </row>
    <row r="20">
      <c r="A20" s="31" t="s">
        <v>12230</v>
      </c>
    </row>
    <row r="21">
      <c r="A21" s="31" t="s">
        <v>12231</v>
      </c>
    </row>
    <row r="22">
      <c r="A22" s="31" t="s">
        <v>12232</v>
      </c>
    </row>
    <row r="23">
      <c r="A23" s="31" t="s">
        <v>12233</v>
      </c>
    </row>
    <row r="24">
      <c r="A24" s="31" t="s">
        <v>12234</v>
      </c>
    </row>
    <row r="28">
      <c r="A28" s="47" t="s">
        <v>12235</v>
      </c>
    </row>
    <row r="29">
      <c r="A29" s="82" t="s">
        <v>12236</v>
      </c>
    </row>
    <row r="30">
      <c r="A30" s="82">
        <v>2026.0</v>
      </c>
    </row>
    <row r="31">
      <c r="A31" s="50" t="s">
        <v>665</v>
      </c>
      <c r="B31" s="50" t="s">
        <v>119</v>
      </c>
      <c r="C31" s="50" t="s">
        <v>142</v>
      </c>
      <c r="D31" s="50" t="s">
        <v>126</v>
      </c>
      <c r="E31" s="50" t="s">
        <v>130</v>
      </c>
    </row>
    <row r="32">
      <c r="A32" s="84" t="s">
        <v>12237</v>
      </c>
      <c r="B32" s="84" t="s">
        <v>666</v>
      </c>
      <c r="C32" s="84" t="s">
        <v>2316</v>
      </c>
      <c r="D32" s="84" t="s">
        <v>1128</v>
      </c>
    </row>
    <row r="33">
      <c r="A33" s="31" t="s">
        <v>12238</v>
      </c>
      <c r="B33" s="31" t="s">
        <v>5252</v>
      </c>
      <c r="C33" s="31" t="s">
        <v>1194</v>
      </c>
      <c r="D33" s="31" t="s">
        <v>12239</v>
      </c>
    </row>
    <row r="34">
      <c r="A34" s="31" t="s">
        <v>684</v>
      </c>
      <c r="B34" s="31" t="s">
        <v>671</v>
      </c>
      <c r="C34" s="31" t="s">
        <v>671</v>
      </c>
      <c r="D34" s="31" t="s">
        <v>1759</v>
      </c>
    </row>
    <row r="35">
      <c r="C35" s="31" t="s">
        <v>12240</v>
      </c>
    </row>
    <row r="36">
      <c r="C36" s="31" t="s">
        <v>12241</v>
      </c>
    </row>
    <row r="37">
      <c r="C37" s="31" t="s">
        <v>682</v>
      </c>
    </row>
    <row r="42">
      <c r="A42" s="86" t="s">
        <v>12242</v>
      </c>
    </row>
    <row r="43">
      <c r="A43" s="87">
        <v>2026.0</v>
      </c>
    </row>
    <row r="44">
      <c r="A44" s="50" t="s">
        <v>687</v>
      </c>
      <c r="B44" s="50" t="s">
        <v>688</v>
      </c>
      <c r="C44" s="50" t="s">
        <v>689</v>
      </c>
      <c r="D44" s="50" t="s">
        <v>690</v>
      </c>
      <c r="E44" s="50" t="s">
        <v>691</v>
      </c>
      <c r="F44" s="50" t="s">
        <v>692</v>
      </c>
    </row>
    <row r="45">
      <c r="A45" s="84" t="s">
        <v>12243</v>
      </c>
      <c r="B45" s="84" t="s">
        <v>12244</v>
      </c>
    </row>
    <row r="46">
      <c r="A46" s="31" t="s">
        <v>1570</v>
      </c>
      <c r="B46" s="31" t="s">
        <v>12238</v>
      </c>
    </row>
    <row r="47">
      <c r="A47" s="31" t="s">
        <v>1571</v>
      </c>
      <c r="B47" s="31" t="s">
        <v>707</v>
      </c>
    </row>
    <row r="48">
      <c r="A48" s="31" t="s">
        <v>2613</v>
      </c>
    </row>
    <row r="49">
      <c r="A49" s="31" t="s">
        <v>672</v>
      </c>
    </row>
    <row r="50">
      <c r="A50" s="31" t="s">
        <v>12245</v>
      </c>
    </row>
    <row r="51">
      <c r="A51" s="31" t="s">
        <v>728</v>
      </c>
    </row>
    <row r="52">
      <c r="A52" s="31" t="s">
        <v>12209</v>
      </c>
    </row>
    <row r="53">
      <c r="A53" s="31" t="s">
        <v>677</v>
      </c>
    </row>
    <row r="54">
      <c r="A54" s="31" t="s">
        <v>12246</v>
      </c>
    </row>
    <row r="55">
      <c r="A55" s="31" t="s">
        <v>703</v>
      </c>
    </row>
  </sheetData>
  <mergeCells count="8">
    <mergeCell ref="A1:I1"/>
    <mergeCell ref="A2:I2"/>
    <mergeCell ref="A3:I3"/>
    <mergeCell ref="A28:E28"/>
    <mergeCell ref="A29:E29"/>
    <mergeCell ref="A30:E30"/>
    <mergeCell ref="A42:F42"/>
    <mergeCell ref="A43:F43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8.75"/>
    <col customWidth="1" min="3" max="3" width="20.88"/>
    <col customWidth="1" min="4" max="4" width="34.5"/>
    <col customWidth="1" min="5" max="5" width="16.63"/>
    <col customWidth="1" min="6" max="6" width="26.13"/>
  </cols>
  <sheetData>
    <row r="1">
      <c r="A1" s="33" t="s">
        <v>3861</v>
      </c>
    </row>
    <row r="2">
      <c r="A2" s="33" t="s">
        <v>12247</v>
      </c>
    </row>
    <row r="3">
      <c r="A3" s="4" t="s">
        <v>12248</v>
      </c>
    </row>
    <row r="4">
      <c r="A4" s="33" t="s">
        <v>339</v>
      </c>
      <c r="B4" s="33" t="s">
        <v>12249</v>
      </c>
      <c r="C4" s="33" t="s">
        <v>12250</v>
      </c>
      <c r="D4" s="33" t="s">
        <v>12251</v>
      </c>
      <c r="E4" s="76" t="s">
        <v>12252</v>
      </c>
      <c r="F4" s="76" t="s">
        <v>12253</v>
      </c>
    </row>
    <row r="5">
      <c r="A5" s="31" t="s">
        <v>12254</v>
      </c>
      <c r="B5" s="31" t="s">
        <v>12255</v>
      </c>
      <c r="C5" s="31" t="s">
        <v>12256</v>
      </c>
      <c r="D5" s="31" t="s">
        <v>12257</v>
      </c>
      <c r="E5" s="31" t="s">
        <v>12258</v>
      </c>
      <c r="F5" s="31" t="s">
        <v>12259</v>
      </c>
    </row>
    <row r="6">
      <c r="A6" s="31" t="s">
        <v>12260</v>
      </c>
      <c r="C6" s="31" t="s">
        <v>12261</v>
      </c>
      <c r="D6" s="31" t="s">
        <v>12262</v>
      </c>
      <c r="E6" s="31" t="s">
        <v>12263</v>
      </c>
      <c r="F6" s="31" t="s">
        <v>12264</v>
      </c>
    </row>
    <row r="7">
      <c r="A7" s="31" t="s">
        <v>12265</v>
      </c>
      <c r="D7" s="31" t="s">
        <v>12266</v>
      </c>
    </row>
    <row r="8">
      <c r="A8" s="31" t="s">
        <v>12267</v>
      </c>
      <c r="D8" s="31" t="s">
        <v>12268</v>
      </c>
    </row>
    <row r="9">
      <c r="A9" s="31" t="s">
        <v>2539</v>
      </c>
    </row>
    <row r="10">
      <c r="A10" s="31" t="s">
        <v>12269</v>
      </c>
    </row>
    <row r="11">
      <c r="A11" s="31" t="s">
        <v>12270</v>
      </c>
    </row>
    <row r="12">
      <c r="A12" s="31" t="s">
        <v>12271</v>
      </c>
    </row>
    <row r="13">
      <c r="A13" s="31" t="s">
        <v>12272</v>
      </c>
    </row>
    <row r="14">
      <c r="A14" s="31" t="s">
        <v>12273</v>
      </c>
    </row>
    <row r="15">
      <c r="A15" s="31" t="s">
        <v>12274</v>
      </c>
    </row>
    <row r="16">
      <c r="A16" s="31" t="s">
        <v>5296</v>
      </c>
    </row>
    <row r="17">
      <c r="A17" s="31" t="s">
        <v>12275</v>
      </c>
    </row>
    <row r="18">
      <c r="A18" s="31" t="s">
        <v>12276</v>
      </c>
    </row>
    <row r="19">
      <c r="A19" s="31" t="s">
        <v>12277</v>
      </c>
    </row>
    <row r="26">
      <c r="A26" s="47" t="s">
        <v>12278</v>
      </c>
    </row>
    <row r="27">
      <c r="A27" s="82" t="s">
        <v>12279</v>
      </c>
    </row>
    <row r="28">
      <c r="A28" s="82">
        <v>2026.0</v>
      </c>
    </row>
    <row r="29">
      <c r="A29" s="50" t="s">
        <v>665</v>
      </c>
      <c r="B29" s="50" t="s">
        <v>119</v>
      </c>
      <c r="C29" s="50" t="s">
        <v>142</v>
      </c>
      <c r="D29" s="50" t="s">
        <v>126</v>
      </c>
      <c r="E29" s="50" t="s">
        <v>130</v>
      </c>
    </row>
    <row r="30">
      <c r="D30" s="31" t="s">
        <v>1193</v>
      </c>
    </row>
    <row r="31">
      <c r="D31" s="31" t="s">
        <v>677</v>
      </c>
    </row>
    <row r="40">
      <c r="A40" s="86" t="s">
        <v>2035</v>
      </c>
    </row>
    <row r="41">
      <c r="A41" s="87">
        <v>2026.0</v>
      </c>
    </row>
    <row r="42">
      <c r="A42" s="50" t="s">
        <v>687</v>
      </c>
      <c r="B42" s="50" t="s">
        <v>688</v>
      </c>
      <c r="C42" s="50" t="s">
        <v>689</v>
      </c>
      <c r="D42" s="50" t="s">
        <v>690</v>
      </c>
      <c r="E42" s="50" t="s">
        <v>691</v>
      </c>
      <c r="F42" s="50" t="s">
        <v>692</v>
      </c>
    </row>
  </sheetData>
  <mergeCells count="8">
    <mergeCell ref="A1:I1"/>
    <mergeCell ref="A2:I2"/>
    <mergeCell ref="A3:I3"/>
    <mergeCell ref="A26:E26"/>
    <mergeCell ref="A27:E27"/>
    <mergeCell ref="A28:E28"/>
    <mergeCell ref="A40:F40"/>
    <mergeCell ref="A41:F41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1.5"/>
    <col customWidth="1" min="3" max="3" width="30.25"/>
    <col customWidth="1" min="4" max="4" width="31.88"/>
    <col customWidth="1" min="5" max="5" width="20.63"/>
    <col customWidth="1" min="6" max="6" width="20.75"/>
    <col customWidth="1" min="7" max="7" width="25.0"/>
    <col customWidth="1" min="8" max="8" width="28.38"/>
  </cols>
  <sheetData>
    <row r="1">
      <c r="A1" s="33" t="s">
        <v>12280</v>
      </c>
    </row>
    <row r="2">
      <c r="A2" s="4" t="s">
        <v>12281</v>
      </c>
    </row>
    <row r="3">
      <c r="A3" s="4" t="s">
        <v>12282</v>
      </c>
    </row>
    <row r="4">
      <c r="A4" s="33" t="s">
        <v>339</v>
      </c>
      <c r="B4" s="33" t="s">
        <v>12191</v>
      </c>
      <c r="C4" s="33" t="s">
        <v>12283</v>
      </c>
      <c r="D4" s="33" t="s">
        <v>344</v>
      </c>
      <c r="E4" s="33" t="s">
        <v>12284</v>
      </c>
      <c r="F4" s="33" t="s">
        <v>12285</v>
      </c>
      <c r="G4" s="33" t="s">
        <v>12286</v>
      </c>
      <c r="H4" s="33" t="s">
        <v>12287</v>
      </c>
    </row>
    <row r="5">
      <c r="A5" s="31" t="s">
        <v>12288</v>
      </c>
      <c r="B5" s="31" t="s">
        <v>12289</v>
      </c>
      <c r="C5" s="31" t="s">
        <v>12290</v>
      </c>
      <c r="D5" s="31" t="s">
        <v>12291</v>
      </c>
      <c r="E5" s="31" t="s">
        <v>12292</v>
      </c>
      <c r="F5" s="31" t="s">
        <v>2232</v>
      </c>
      <c r="G5" s="31" t="s">
        <v>12293</v>
      </c>
      <c r="H5" s="31" t="s">
        <v>445</v>
      </c>
    </row>
    <row r="6">
      <c r="A6" s="31" t="s">
        <v>12294</v>
      </c>
      <c r="B6" s="31" t="s">
        <v>12295</v>
      </c>
      <c r="C6" s="31" t="s">
        <v>12296</v>
      </c>
      <c r="D6" s="31" t="s">
        <v>12297</v>
      </c>
      <c r="F6" s="31" t="s">
        <v>12261</v>
      </c>
      <c r="G6" s="31" t="s">
        <v>12298</v>
      </c>
      <c r="H6" s="31" t="s">
        <v>12299</v>
      </c>
    </row>
    <row r="7">
      <c r="A7" s="31" t="s">
        <v>12300</v>
      </c>
      <c r="C7" s="31" t="s">
        <v>12301</v>
      </c>
      <c r="D7" s="31" t="s">
        <v>12302</v>
      </c>
      <c r="F7" s="31" t="s">
        <v>2333</v>
      </c>
      <c r="G7" s="31" t="s">
        <v>12303</v>
      </c>
      <c r="H7" s="31" t="s">
        <v>12304</v>
      </c>
    </row>
    <row r="8">
      <c r="A8" s="31" t="s">
        <v>12305</v>
      </c>
      <c r="C8" s="31" t="s">
        <v>12306</v>
      </c>
      <c r="F8" s="31" t="s">
        <v>12221</v>
      </c>
      <c r="G8" s="31" t="s">
        <v>12307</v>
      </c>
      <c r="H8" s="31" t="s">
        <v>569</v>
      </c>
    </row>
    <row r="9">
      <c r="A9" s="31" t="s">
        <v>12308</v>
      </c>
      <c r="C9" s="31" t="s">
        <v>12309</v>
      </c>
      <c r="F9" s="31" t="s">
        <v>12310</v>
      </c>
      <c r="G9" s="31" t="s">
        <v>12311</v>
      </c>
      <c r="H9" s="31" t="s">
        <v>1412</v>
      </c>
    </row>
    <row r="10">
      <c r="A10" s="31" t="s">
        <v>12312</v>
      </c>
      <c r="F10" s="31" t="s">
        <v>12261</v>
      </c>
      <c r="G10" s="31" t="s">
        <v>12313</v>
      </c>
      <c r="H10" s="31" t="s">
        <v>12314</v>
      </c>
    </row>
    <row r="11">
      <c r="A11" s="31" t="s">
        <v>12315</v>
      </c>
      <c r="G11" s="31" t="s">
        <v>12316</v>
      </c>
      <c r="H11" s="31" t="s">
        <v>475</v>
      </c>
    </row>
    <row r="12">
      <c r="A12" s="31" t="s">
        <v>12317</v>
      </c>
      <c r="G12" s="31" t="s">
        <v>12318</v>
      </c>
      <c r="H12" s="31" t="s">
        <v>1654</v>
      </c>
    </row>
    <row r="13">
      <c r="A13" s="31" t="s">
        <v>12319</v>
      </c>
      <c r="G13" s="31" t="s">
        <v>12320</v>
      </c>
      <c r="H13" s="31" t="s">
        <v>12321</v>
      </c>
    </row>
    <row r="14">
      <c r="A14" s="31" t="s">
        <v>12322</v>
      </c>
      <c r="G14" s="31" t="s">
        <v>12323</v>
      </c>
      <c r="H14" s="31" t="s">
        <v>12324</v>
      </c>
    </row>
    <row r="15">
      <c r="A15" s="31" t="s">
        <v>12325</v>
      </c>
      <c r="G15" s="31" t="s">
        <v>12326</v>
      </c>
      <c r="H15" s="31" t="s">
        <v>1665</v>
      </c>
    </row>
    <row r="16">
      <c r="A16" s="31" t="s">
        <v>12327</v>
      </c>
      <c r="H16" s="31" t="s">
        <v>1747</v>
      </c>
    </row>
    <row r="17">
      <c r="A17" s="31" t="s">
        <v>12328</v>
      </c>
      <c r="G17" s="33" t="s">
        <v>12329</v>
      </c>
      <c r="H17" s="31" t="s">
        <v>12330</v>
      </c>
    </row>
    <row r="18">
      <c r="A18" s="31" t="s">
        <v>12331</v>
      </c>
      <c r="G18" s="31" t="s">
        <v>12332</v>
      </c>
      <c r="H18" s="31" t="s">
        <v>475</v>
      </c>
    </row>
    <row r="19">
      <c r="A19" s="31" t="s">
        <v>6011</v>
      </c>
      <c r="G19" s="31" t="s">
        <v>12314</v>
      </c>
      <c r="H19" s="31" t="s">
        <v>1706</v>
      </c>
    </row>
    <row r="20">
      <c r="A20" s="31" t="s">
        <v>12333</v>
      </c>
      <c r="G20" s="31" t="s">
        <v>12219</v>
      </c>
      <c r="H20" s="31" t="s">
        <v>1711</v>
      </c>
    </row>
    <row r="21">
      <c r="A21" s="31" t="s">
        <v>12334</v>
      </c>
      <c r="G21" s="31" t="s">
        <v>12335</v>
      </c>
      <c r="H21" s="31" t="s">
        <v>1732</v>
      </c>
    </row>
    <row r="22">
      <c r="A22" s="31" t="s">
        <v>12336</v>
      </c>
      <c r="G22" s="31" t="s">
        <v>12337</v>
      </c>
      <c r="H22" s="31" t="s">
        <v>12338</v>
      </c>
    </row>
    <row r="23">
      <c r="A23" s="31" t="s">
        <v>12339</v>
      </c>
      <c r="G23" s="31" t="s">
        <v>11340</v>
      </c>
      <c r="H23" s="31" t="s">
        <v>5015</v>
      </c>
    </row>
    <row r="24">
      <c r="G24" s="31" t="s">
        <v>12340</v>
      </c>
      <c r="H24" s="31" t="s">
        <v>495</v>
      </c>
    </row>
    <row r="25">
      <c r="G25" s="31" t="s">
        <v>12341</v>
      </c>
      <c r="H25" s="31" t="s">
        <v>1732</v>
      </c>
    </row>
    <row r="26">
      <c r="G26" s="31" t="s">
        <v>9429</v>
      </c>
      <c r="H26" s="31" t="s">
        <v>12342</v>
      </c>
    </row>
    <row r="27">
      <c r="G27" s="31" t="s">
        <v>12343</v>
      </c>
    </row>
    <row r="29">
      <c r="G29" s="33" t="s">
        <v>12344</v>
      </c>
    </row>
    <row r="30">
      <c r="G30" s="31" t="s">
        <v>12345</v>
      </c>
    </row>
  </sheetData>
  <mergeCells count="3">
    <mergeCell ref="A1:I1"/>
    <mergeCell ref="A2:I2"/>
    <mergeCell ref="A3:I3"/>
  </mergeCells>
  <drawing r:id="rId1"/>
</worksheet>
</file>